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HP-PC\Desktop\"/>
    </mc:Choice>
  </mc:AlternateContent>
  <xr:revisionPtr revIDLastSave="0" documentId="8_{43FD9FE0-BAA5-4295-8E9D-ABBA41297EB8}" xr6:coauthVersionLast="47" xr6:coauthVersionMax="47" xr10:uidLastSave="{00000000-0000-0000-0000-000000000000}"/>
  <bookViews>
    <workbookView xWindow="-120" yWindow="-120" windowWidth="29040" windowHeight="15840" tabRatio="703" activeTab="3" xr2:uid="{12973447-BD3E-4C25-A17A-3E2BBCA16D11}"/>
  </bookViews>
  <sheets>
    <sheet name="Menu" sheetId="19" r:id="rId1"/>
    <sheet name="Dieta" sheetId="35" r:id="rId2"/>
    <sheet name="Resumen" sheetId="34" r:id="rId3"/>
    <sheet name="2022-1" sheetId="7" r:id="rId4"/>
    <sheet name="2022-2" sheetId="27" r:id="rId5"/>
    <sheet name="2022-3" sheetId="28" r:id="rId6"/>
    <sheet name="2022-4" sheetId="29" r:id="rId7"/>
    <sheet name="2023-1" sheetId="30" r:id="rId8"/>
    <sheet name="2023-2" sheetId="31" r:id="rId9"/>
    <sheet name="2023-3" sheetId="32" r:id="rId10"/>
    <sheet name="2023-4" sheetId="33" r:id="rId11"/>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 i="34" l="1"/>
  <c r="G24" i="34"/>
  <c r="G30" i="34"/>
  <c r="G36" i="34"/>
  <c r="G42" i="34"/>
  <c r="G48" i="34"/>
  <c r="G54" i="34"/>
  <c r="G60" i="34"/>
  <c r="G66" i="34"/>
  <c r="G72" i="34"/>
  <c r="G78" i="34"/>
  <c r="G84" i="34"/>
  <c r="G90" i="34"/>
  <c r="G96" i="34"/>
  <c r="G102" i="34"/>
  <c r="G108" i="34"/>
  <c r="G114" i="34"/>
  <c r="G120" i="34"/>
  <c r="G126" i="34"/>
  <c r="G132" i="34"/>
  <c r="G138" i="34"/>
  <c r="G144" i="34"/>
  <c r="G150" i="34"/>
  <c r="G12" i="34"/>
  <c r="F8" i="34"/>
  <c r="F9" i="34"/>
  <c r="F10" i="34"/>
  <c r="F11" i="34"/>
  <c r="F12" i="34"/>
  <c r="F13" i="34"/>
  <c r="F14" i="34"/>
  <c r="F15" i="34"/>
  <c r="F16" i="34"/>
  <c r="F17" i="34"/>
  <c r="F18" i="34"/>
  <c r="F19" i="34"/>
  <c r="F20" i="34"/>
  <c r="F21" i="34"/>
  <c r="F22" i="34"/>
  <c r="F23" i="34"/>
  <c r="F24" i="34"/>
  <c r="F25" i="34"/>
  <c r="F26" i="34"/>
  <c r="F27" i="34"/>
  <c r="F28" i="34"/>
  <c r="F29" i="34"/>
  <c r="F30" i="34"/>
  <c r="F31" i="34"/>
  <c r="F32" i="34"/>
  <c r="F33" i="34"/>
  <c r="F34" i="34"/>
  <c r="F35" i="34"/>
  <c r="F36" i="34"/>
  <c r="F37" i="34"/>
  <c r="F38" i="34"/>
  <c r="F39" i="34"/>
  <c r="F40" i="34"/>
  <c r="F41" i="34"/>
  <c r="F42" i="34"/>
  <c r="F43" i="34"/>
  <c r="F44" i="34"/>
  <c r="F45" i="34"/>
  <c r="F46" i="34"/>
  <c r="F47" i="34"/>
  <c r="F48" i="34"/>
  <c r="F49" i="34"/>
  <c r="F50" i="34"/>
  <c r="F51" i="34"/>
  <c r="F52" i="34"/>
  <c r="F53" i="34"/>
  <c r="F54" i="34"/>
  <c r="F55" i="34"/>
  <c r="F56" i="34"/>
  <c r="F57" i="34"/>
  <c r="F58" i="34"/>
  <c r="F59" i="34"/>
  <c r="F60" i="34"/>
  <c r="F61"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148" i="34"/>
  <c r="F149" i="34"/>
  <c r="F150" i="34"/>
  <c r="F151" i="34"/>
  <c r="F152" i="34"/>
  <c r="F153" i="34"/>
  <c r="F154" i="34"/>
  <c r="F155" i="34"/>
  <c r="F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7" i="34"/>
  <c r="AA128" i="35"/>
  <c r="W128" i="35"/>
  <c r="S128" i="35"/>
  <c r="O128" i="35"/>
  <c r="K128" i="35"/>
  <c r="AA127" i="35"/>
  <c r="W127" i="35"/>
  <c r="S127" i="35"/>
  <c r="O127" i="35"/>
  <c r="K127" i="35"/>
  <c r="AE127" i="35" s="1"/>
  <c r="AA121" i="35"/>
  <c r="W121" i="35"/>
  <c r="S121" i="35"/>
  <c r="O121" i="35"/>
  <c r="K121" i="35"/>
  <c r="AA120" i="35"/>
  <c r="W120" i="35"/>
  <c r="S120" i="35"/>
  <c r="O120" i="35"/>
  <c r="K120" i="35"/>
  <c r="AA114" i="35"/>
  <c r="W114" i="35"/>
  <c r="S114" i="35"/>
  <c r="O114" i="35"/>
  <c r="K114" i="35"/>
  <c r="AA113" i="35"/>
  <c r="W113" i="35"/>
  <c r="S113" i="35"/>
  <c r="O113" i="35"/>
  <c r="K113" i="35"/>
  <c r="AE113" i="35" s="1"/>
  <c r="AA107" i="35"/>
  <c r="W107" i="35"/>
  <c r="S107" i="35"/>
  <c r="O107" i="35"/>
  <c r="K107" i="35"/>
  <c r="AA106" i="35"/>
  <c r="W106" i="35"/>
  <c r="S106" i="35"/>
  <c r="O106" i="35"/>
  <c r="K106" i="35"/>
  <c r="AA100" i="35"/>
  <c r="W100" i="35"/>
  <c r="S100" i="35"/>
  <c r="O100" i="35"/>
  <c r="K100" i="35"/>
  <c r="AA99" i="35"/>
  <c r="W99" i="35"/>
  <c r="S99" i="35"/>
  <c r="O99" i="35"/>
  <c r="K99" i="35"/>
  <c r="AE99" i="35" s="1"/>
  <c r="AA93" i="35"/>
  <c r="W93" i="35"/>
  <c r="S93" i="35"/>
  <c r="O93" i="35"/>
  <c r="K93" i="35"/>
  <c r="AA92" i="35"/>
  <c r="W92" i="35"/>
  <c r="S92" i="35"/>
  <c r="O92" i="35"/>
  <c r="K92" i="35"/>
  <c r="AA86" i="35"/>
  <c r="W86" i="35"/>
  <c r="S86" i="35"/>
  <c r="O86" i="35"/>
  <c r="K86" i="35"/>
  <c r="AA85" i="35"/>
  <c r="W85" i="35"/>
  <c r="S85" i="35"/>
  <c r="O85" i="35"/>
  <c r="K85" i="35"/>
  <c r="AE85" i="35" s="1"/>
  <c r="AA79" i="35"/>
  <c r="W79" i="35"/>
  <c r="S79" i="35"/>
  <c r="O79" i="35"/>
  <c r="AE79" i="35" s="1"/>
  <c r="K79" i="35"/>
  <c r="AA78" i="35"/>
  <c r="W78" i="35"/>
  <c r="S78" i="35"/>
  <c r="O78" i="35"/>
  <c r="K78" i="35"/>
  <c r="AA72" i="35"/>
  <c r="W72" i="35"/>
  <c r="S72" i="35"/>
  <c r="O72" i="35"/>
  <c r="K72" i="35"/>
  <c r="AA71" i="35"/>
  <c r="W71" i="35"/>
  <c r="S71" i="35"/>
  <c r="O71" i="35"/>
  <c r="K71" i="35"/>
  <c r="AA65" i="35"/>
  <c r="W65" i="35"/>
  <c r="S65" i="35"/>
  <c r="O65" i="35"/>
  <c r="K65" i="35"/>
  <c r="AA64" i="35"/>
  <c r="W64" i="35"/>
  <c r="S64" i="35"/>
  <c r="O64" i="35"/>
  <c r="K64" i="35"/>
  <c r="AA58" i="35"/>
  <c r="W58" i="35"/>
  <c r="S58" i="35"/>
  <c r="O58" i="35"/>
  <c r="K58" i="35"/>
  <c r="AA57" i="35"/>
  <c r="W57" i="35"/>
  <c r="S57" i="35"/>
  <c r="O57" i="35"/>
  <c r="K57" i="35"/>
  <c r="AA51" i="35"/>
  <c r="W51" i="35"/>
  <c r="S51" i="35"/>
  <c r="O51" i="35"/>
  <c r="K51" i="35"/>
  <c r="AA50" i="35"/>
  <c r="W50" i="35"/>
  <c r="S50" i="35"/>
  <c r="O50" i="35"/>
  <c r="K50" i="35"/>
  <c r="AA44" i="35"/>
  <c r="W44" i="35"/>
  <c r="S44" i="35"/>
  <c r="O44" i="35"/>
  <c r="K44" i="35"/>
  <c r="AA43" i="35"/>
  <c r="W43" i="35"/>
  <c r="S43" i="35"/>
  <c r="O43" i="35"/>
  <c r="K43" i="35"/>
  <c r="AA37" i="35"/>
  <c r="W37" i="35"/>
  <c r="S37" i="35"/>
  <c r="O37" i="35"/>
  <c r="K37" i="35"/>
  <c r="AA36" i="35"/>
  <c r="W36" i="35"/>
  <c r="S36" i="35"/>
  <c r="O36" i="35"/>
  <c r="K36" i="35"/>
  <c r="AA30" i="35"/>
  <c r="AA29" i="35"/>
  <c r="W30" i="35"/>
  <c r="W29" i="35"/>
  <c r="S30" i="35"/>
  <c r="S29" i="35"/>
  <c r="O30" i="35"/>
  <c r="O29" i="35"/>
  <c r="K30" i="35"/>
  <c r="K29" i="35"/>
  <c r="G95" i="35"/>
  <c r="H95" i="35"/>
  <c r="H36" i="35"/>
  <c r="H29" i="35"/>
  <c r="H35" i="35"/>
  <c r="H34" i="35"/>
  <c r="H40" i="35"/>
  <c r="H45" i="35"/>
  <c r="H63" i="35"/>
  <c r="H62" i="35"/>
  <c r="H60" i="35"/>
  <c r="H65" i="35"/>
  <c r="H26" i="35"/>
  <c r="H58" i="35"/>
  <c r="H79" i="35"/>
  <c r="H28" i="35"/>
  <c r="H69" i="35"/>
  <c r="H67" i="35"/>
  <c r="H113" i="35"/>
  <c r="H48" i="35"/>
  <c r="H49" i="35"/>
  <c r="H30" i="35"/>
  <c r="H27" i="35"/>
  <c r="H31" i="35"/>
  <c r="H39" i="35"/>
  <c r="H56" i="35"/>
  <c r="H46" i="35"/>
  <c r="H57" i="35"/>
  <c r="H54" i="35"/>
  <c r="H41" i="35"/>
  <c r="H44" i="35"/>
  <c r="H51" i="35"/>
  <c r="H66" i="35"/>
  <c r="H64" i="35"/>
  <c r="H53" i="35"/>
  <c r="H61" i="35"/>
  <c r="H73" i="35"/>
  <c r="H109" i="35"/>
  <c r="H82" i="35"/>
  <c r="H110" i="35"/>
  <c r="H96" i="35"/>
  <c r="H105" i="35"/>
  <c r="H84" i="35"/>
  <c r="H83" i="35"/>
  <c r="H88" i="35"/>
  <c r="H86" i="35"/>
  <c r="H81" i="35"/>
  <c r="H71" i="35"/>
  <c r="H52" i="35"/>
  <c r="H90" i="35"/>
  <c r="H98" i="35"/>
  <c r="H72" i="35"/>
  <c r="H77" i="35"/>
  <c r="H68" i="35"/>
  <c r="H75" i="35"/>
  <c r="H47" i="35"/>
  <c r="H80" i="35"/>
  <c r="H97" i="35"/>
  <c r="H87" i="35"/>
  <c r="H70" i="35"/>
  <c r="H76" i="35"/>
  <c r="H24" i="35"/>
  <c r="H37" i="35"/>
  <c r="H59" i="35"/>
  <c r="H43" i="35"/>
  <c r="H32" i="35"/>
  <c r="H33" i="35"/>
  <c r="H38" i="35"/>
  <c r="H42" i="35"/>
  <c r="H55" i="35"/>
  <c r="H119" i="35"/>
  <c r="H116" i="35"/>
  <c r="H114" i="35"/>
  <c r="H107" i="35"/>
  <c r="H102" i="35"/>
  <c r="H74" i="35"/>
  <c r="H106" i="35"/>
  <c r="H111" i="35"/>
  <c r="H85" i="35"/>
  <c r="H89" i="35"/>
  <c r="H104" i="35"/>
  <c r="H115" i="35"/>
  <c r="H78" i="35"/>
  <c r="H108" i="35"/>
  <c r="H91" i="35"/>
  <c r="H99" i="35"/>
  <c r="H112" i="35"/>
  <c r="H101" i="35"/>
  <c r="H92" i="35"/>
  <c r="H93" i="35"/>
  <c r="H94" i="35"/>
  <c r="H103" i="35"/>
  <c r="H118" i="35"/>
  <c r="H50" i="35"/>
  <c r="H121" i="35"/>
  <c r="H122" i="35"/>
  <c r="H123" i="35"/>
  <c r="H124" i="35"/>
  <c r="H125" i="35"/>
  <c r="H126" i="35"/>
  <c r="H127" i="35"/>
  <c r="H100" i="35"/>
  <c r="H117" i="35"/>
  <c r="H128" i="35"/>
  <c r="H120" i="35"/>
  <c r="H25" i="35"/>
  <c r="G36" i="35"/>
  <c r="G29" i="35"/>
  <c r="G35" i="35"/>
  <c r="G34" i="35"/>
  <c r="G40" i="35"/>
  <c r="G45" i="35"/>
  <c r="G63" i="35"/>
  <c r="G62" i="35"/>
  <c r="G60" i="35"/>
  <c r="G65" i="35"/>
  <c r="G26" i="35"/>
  <c r="G58" i="35"/>
  <c r="G79" i="35"/>
  <c r="G28" i="35"/>
  <c r="G69" i="35"/>
  <c r="G67" i="35"/>
  <c r="G113" i="35"/>
  <c r="G48" i="35"/>
  <c r="G49" i="35"/>
  <c r="G30" i="35"/>
  <c r="G27" i="35"/>
  <c r="G31" i="35"/>
  <c r="G39" i="35"/>
  <c r="G56" i="35"/>
  <c r="G46" i="35"/>
  <c r="G57" i="35"/>
  <c r="G54" i="35"/>
  <c r="G41" i="35"/>
  <c r="G44" i="35"/>
  <c r="G51" i="35"/>
  <c r="G66" i="35"/>
  <c r="G64" i="35"/>
  <c r="G53" i="35"/>
  <c r="G61" i="35"/>
  <c r="G73" i="35"/>
  <c r="G109" i="35"/>
  <c r="G82" i="35"/>
  <c r="G110" i="35"/>
  <c r="G96" i="35"/>
  <c r="G105" i="35"/>
  <c r="G84" i="35"/>
  <c r="G83" i="35"/>
  <c r="G88" i="35"/>
  <c r="G86" i="35"/>
  <c r="G81" i="35"/>
  <c r="G71" i="35"/>
  <c r="G52" i="35"/>
  <c r="G90" i="35"/>
  <c r="G98" i="35"/>
  <c r="G72" i="35"/>
  <c r="G77" i="35"/>
  <c r="G68" i="35"/>
  <c r="G75" i="35"/>
  <c r="G47" i="35"/>
  <c r="G80" i="35"/>
  <c r="G97" i="35"/>
  <c r="G87" i="35"/>
  <c r="G70" i="35"/>
  <c r="G76" i="35"/>
  <c r="G24" i="35"/>
  <c r="G37" i="35"/>
  <c r="G59" i="35"/>
  <c r="G43" i="35"/>
  <c r="G32" i="35"/>
  <c r="G33" i="35"/>
  <c r="G38" i="35"/>
  <c r="G42" i="35"/>
  <c r="G55" i="35"/>
  <c r="G119" i="35"/>
  <c r="G116" i="35"/>
  <c r="G114" i="35"/>
  <c r="G107" i="35"/>
  <c r="G102" i="35"/>
  <c r="G74" i="35"/>
  <c r="G106" i="35"/>
  <c r="G111" i="35"/>
  <c r="G85" i="35"/>
  <c r="G89" i="35"/>
  <c r="G104" i="35"/>
  <c r="G115" i="35"/>
  <c r="G78" i="35"/>
  <c r="G108" i="35"/>
  <c r="G91" i="35"/>
  <c r="G99" i="35"/>
  <c r="G112" i="35"/>
  <c r="G101" i="35"/>
  <c r="G92" i="35"/>
  <c r="G93" i="35"/>
  <c r="G94" i="35"/>
  <c r="G103" i="35"/>
  <c r="G118" i="35"/>
  <c r="G50" i="35"/>
  <c r="G121" i="35"/>
  <c r="G122" i="35"/>
  <c r="G123" i="35"/>
  <c r="G124" i="35"/>
  <c r="G125" i="35"/>
  <c r="G126" i="35"/>
  <c r="G127" i="35"/>
  <c r="G100" i="35"/>
  <c r="G117" i="35"/>
  <c r="G128" i="35"/>
  <c r="G120" i="35"/>
  <c r="G25" i="35"/>
  <c r="B11" i="35" a="1"/>
  <c r="B11" i="35" s="1"/>
  <c r="B13" i="35" s="1" a="1"/>
  <c r="B13" i="35" s="1"/>
  <c r="Z253" i="33"/>
  <c r="V253" i="33"/>
  <c r="R253" i="33"/>
  <c r="N253" i="33"/>
  <c r="J253" i="33"/>
  <c r="F253" i="33"/>
  <c r="B253" i="33"/>
  <c r="Z252" i="33"/>
  <c r="V252" i="33"/>
  <c r="R252" i="33"/>
  <c r="N252" i="33"/>
  <c r="J252" i="33"/>
  <c r="F252" i="33"/>
  <c r="B252" i="33"/>
  <c r="Z251" i="33"/>
  <c r="V251" i="33"/>
  <c r="R251" i="33"/>
  <c r="N251" i="33"/>
  <c r="J251" i="33"/>
  <c r="F251" i="33"/>
  <c r="B251" i="33"/>
  <c r="Z250" i="33"/>
  <c r="V250" i="33"/>
  <c r="R250" i="33"/>
  <c r="N250" i="33"/>
  <c r="J250" i="33"/>
  <c r="F250" i="33"/>
  <c r="B250" i="33"/>
  <c r="Z249" i="33"/>
  <c r="V249" i="33"/>
  <c r="R249" i="33"/>
  <c r="N249" i="33"/>
  <c r="J249" i="33"/>
  <c r="F249" i="33"/>
  <c r="B249" i="33"/>
  <c r="Z248" i="33"/>
  <c r="V248" i="33"/>
  <c r="R248" i="33"/>
  <c r="N248" i="33"/>
  <c r="J248" i="33"/>
  <c r="F248" i="33"/>
  <c r="B248" i="33"/>
  <c r="Z247" i="33"/>
  <c r="V247" i="33"/>
  <c r="R247" i="33"/>
  <c r="N247" i="33"/>
  <c r="J247" i="33"/>
  <c r="F247" i="33"/>
  <c r="B247" i="33"/>
  <c r="Z246" i="33"/>
  <c r="V246" i="33"/>
  <c r="R246" i="33"/>
  <c r="N246" i="33"/>
  <c r="J246" i="33"/>
  <c r="F246" i="33"/>
  <c r="B246" i="33"/>
  <c r="Z245" i="33"/>
  <c r="V245" i="33"/>
  <c r="R245" i="33"/>
  <c r="N245" i="33"/>
  <c r="J245" i="33"/>
  <c r="F245" i="33"/>
  <c r="B245" i="33"/>
  <c r="Z244" i="33"/>
  <c r="V244" i="33"/>
  <c r="R244" i="33"/>
  <c r="N244" i="33"/>
  <c r="J244" i="33"/>
  <c r="F244" i="33"/>
  <c r="B244" i="33"/>
  <c r="Z243" i="33"/>
  <c r="V243" i="33"/>
  <c r="R243" i="33"/>
  <c r="N243" i="33"/>
  <c r="J243" i="33"/>
  <c r="F243" i="33"/>
  <c r="B243" i="33"/>
  <c r="Z242" i="33"/>
  <c r="V242" i="33"/>
  <c r="R242" i="33"/>
  <c r="N242" i="33"/>
  <c r="J242" i="33"/>
  <c r="F242" i="33"/>
  <c r="B242" i="33"/>
  <c r="Z241" i="33"/>
  <c r="V241" i="33"/>
  <c r="R241" i="33"/>
  <c r="N241" i="33"/>
  <c r="J241" i="33"/>
  <c r="F241" i="33"/>
  <c r="B241" i="33"/>
  <c r="Z240" i="33"/>
  <c r="V240" i="33"/>
  <c r="R240" i="33"/>
  <c r="N240" i="33"/>
  <c r="J240" i="33"/>
  <c r="F240" i="33"/>
  <c r="B240" i="33"/>
  <c r="Z239" i="33"/>
  <c r="V239" i="33"/>
  <c r="R239" i="33"/>
  <c r="N239" i="33"/>
  <c r="J239" i="33"/>
  <c r="F239" i="33"/>
  <c r="B239" i="33"/>
  <c r="Z238" i="33"/>
  <c r="V238" i="33"/>
  <c r="R238" i="33"/>
  <c r="N238" i="33"/>
  <c r="J238" i="33"/>
  <c r="F238" i="33"/>
  <c r="B238" i="33"/>
  <c r="Z237" i="33"/>
  <c r="V237" i="33"/>
  <c r="R237" i="33"/>
  <c r="N237" i="33"/>
  <c r="J237" i="33"/>
  <c r="F237" i="33"/>
  <c r="B237" i="33"/>
  <c r="Z236" i="33"/>
  <c r="V236" i="33"/>
  <c r="R236" i="33"/>
  <c r="N236" i="33"/>
  <c r="J236" i="33"/>
  <c r="F236" i="33"/>
  <c r="B236" i="33"/>
  <c r="Z235" i="33"/>
  <c r="V235" i="33"/>
  <c r="R235" i="33"/>
  <c r="N235" i="33"/>
  <c r="J235" i="33"/>
  <c r="F235" i="33"/>
  <c r="B235" i="33"/>
  <c r="Z234" i="33"/>
  <c r="V234" i="33"/>
  <c r="R234" i="33"/>
  <c r="N234" i="33"/>
  <c r="J234" i="33"/>
  <c r="F234" i="33"/>
  <c r="B234" i="33"/>
  <c r="Z233" i="33"/>
  <c r="V233" i="33"/>
  <c r="R233" i="33"/>
  <c r="N233" i="33"/>
  <c r="J233" i="33"/>
  <c r="F233" i="33"/>
  <c r="B233" i="33"/>
  <c r="Z232" i="33"/>
  <c r="V232" i="33"/>
  <c r="R232" i="33"/>
  <c r="N232" i="33"/>
  <c r="J232" i="33"/>
  <c r="F232" i="33"/>
  <c r="B232" i="33"/>
  <c r="Z231" i="33"/>
  <c r="V231" i="33"/>
  <c r="R231" i="33"/>
  <c r="N231" i="33"/>
  <c r="J231" i="33"/>
  <c r="F231" i="33"/>
  <c r="B231" i="33"/>
  <c r="Z230" i="33"/>
  <c r="V230" i="33"/>
  <c r="R230" i="33"/>
  <c r="N230" i="33"/>
  <c r="J230" i="33"/>
  <c r="F230" i="33"/>
  <c r="B230" i="33"/>
  <c r="Z229" i="33"/>
  <c r="V229" i="33"/>
  <c r="R229" i="33"/>
  <c r="N229" i="33"/>
  <c r="J229" i="33"/>
  <c r="F229" i="33"/>
  <c r="B229" i="33"/>
  <c r="Z228" i="33"/>
  <c r="V228" i="33"/>
  <c r="R228" i="33"/>
  <c r="N228" i="33"/>
  <c r="J228" i="33"/>
  <c r="F228" i="33"/>
  <c r="B228" i="33"/>
  <c r="Z227" i="33"/>
  <c r="V227" i="33"/>
  <c r="R227" i="33"/>
  <c r="N227" i="33"/>
  <c r="J227" i="33"/>
  <c r="F227" i="33"/>
  <c r="B227" i="33"/>
  <c r="Z226" i="33"/>
  <c r="V226" i="33"/>
  <c r="R226" i="33"/>
  <c r="N226" i="33"/>
  <c r="J226" i="33"/>
  <c r="F226" i="33"/>
  <c r="B226" i="33"/>
  <c r="Z225" i="33"/>
  <c r="V225" i="33"/>
  <c r="R225" i="33"/>
  <c r="N225" i="33"/>
  <c r="J225" i="33"/>
  <c r="F225" i="33"/>
  <c r="B225" i="33"/>
  <c r="Z224" i="33"/>
  <c r="V224" i="33"/>
  <c r="R224" i="33"/>
  <c r="N224" i="33"/>
  <c r="J224" i="33"/>
  <c r="F224" i="33"/>
  <c r="B224" i="33"/>
  <c r="Z223" i="33"/>
  <c r="V223" i="33"/>
  <c r="R223" i="33"/>
  <c r="N223" i="33"/>
  <c r="J223" i="33"/>
  <c r="F223" i="33"/>
  <c r="B223" i="33"/>
  <c r="Z222" i="33"/>
  <c r="V222" i="33"/>
  <c r="R222" i="33"/>
  <c r="N222" i="33"/>
  <c r="J222" i="33"/>
  <c r="F222" i="33"/>
  <c r="B222" i="33"/>
  <c r="Z221" i="33"/>
  <c r="V221" i="33"/>
  <c r="R221" i="33"/>
  <c r="N221" i="33"/>
  <c r="J221" i="33"/>
  <c r="F221" i="33"/>
  <c r="B221" i="33"/>
  <c r="Z220" i="33"/>
  <c r="V220" i="33"/>
  <c r="R220" i="33"/>
  <c r="N220" i="33"/>
  <c r="J220" i="33"/>
  <c r="F220" i="33"/>
  <c r="B220" i="33"/>
  <c r="Z219" i="33"/>
  <c r="V219" i="33"/>
  <c r="R219" i="33"/>
  <c r="N219" i="33"/>
  <c r="J219" i="33"/>
  <c r="F219" i="33"/>
  <c r="B219" i="33"/>
  <c r="Z218" i="33"/>
  <c r="V218" i="33"/>
  <c r="R218" i="33"/>
  <c r="N218" i="33"/>
  <c r="J218" i="33"/>
  <c r="F218" i="33"/>
  <c r="B218" i="33"/>
  <c r="Z217" i="33"/>
  <c r="V217" i="33"/>
  <c r="R217" i="33"/>
  <c r="N217" i="33"/>
  <c r="J217" i="33"/>
  <c r="F217" i="33"/>
  <c r="B217" i="33"/>
  <c r="Z216" i="33"/>
  <c r="V216" i="33"/>
  <c r="R216" i="33"/>
  <c r="N216" i="33"/>
  <c r="J216" i="33"/>
  <c r="F216" i="33"/>
  <c r="B216" i="33"/>
  <c r="Z215" i="33"/>
  <c r="V215" i="33"/>
  <c r="R215" i="33"/>
  <c r="N215" i="33"/>
  <c r="J215" i="33"/>
  <c r="F215" i="33"/>
  <c r="B215" i="33"/>
  <c r="Z214" i="33"/>
  <c r="V214" i="33"/>
  <c r="R214" i="33"/>
  <c r="N214" i="33"/>
  <c r="J214" i="33"/>
  <c r="F214" i="33"/>
  <c r="B214" i="33"/>
  <c r="Z213" i="33"/>
  <c r="V213" i="33"/>
  <c r="R213" i="33"/>
  <c r="N213" i="33"/>
  <c r="J213" i="33"/>
  <c r="F213" i="33"/>
  <c r="B213" i="33"/>
  <c r="Z212" i="33"/>
  <c r="V212" i="33"/>
  <c r="R212" i="33"/>
  <c r="N212" i="33"/>
  <c r="J212" i="33"/>
  <c r="F212" i="33"/>
  <c r="B212" i="33"/>
  <c r="Z211" i="33"/>
  <c r="V211" i="33"/>
  <c r="R211" i="33"/>
  <c r="N211" i="33"/>
  <c r="J211" i="33"/>
  <c r="F211" i="33"/>
  <c r="B211" i="33"/>
  <c r="Z210" i="33"/>
  <c r="V210" i="33"/>
  <c r="R210" i="33"/>
  <c r="N210" i="33"/>
  <c r="J210" i="33"/>
  <c r="F210" i="33"/>
  <c r="B210" i="33"/>
  <c r="Z209" i="33"/>
  <c r="V209" i="33"/>
  <c r="R209" i="33"/>
  <c r="N209" i="33"/>
  <c r="J209" i="33"/>
  <c r="F209" i="33"/>
  <c r="B209" i="33"/>
  <c r="Z208" i="33"/>
  <c r="V208" i="33"/>
  <c r="R208" i="33"/>
  <c r="N208" i="33"/>
  <c r="J208" i="33"/>
  <c r="F208" i="33"/>
  <c r="B208" i="33"/>
  <c r="Z207" i="33"/>
  <c r="V207" i="33"/>
  <c r="R207" i="33"/>
  <c r="N207" i="33"/>
  <c r="J207" i="33"/>
  <c r="F207" i="33"/>
  <c r="B207" i="33"/>
  <c r="Z206" i="33"/>
  <c r="V206" i="33"/>
  <c r="R206" i="33"/>
  <c r="N206" i="33"/>
  <c r="J206" i="33"/>
  <c r="F206" i="33"/>
  <c r="B206" i="33"/>
  <c r="Z205" i="33"/>
  <c r="V205" i="33"/>
  <c r="R205" i="33"/>
  <c r="N205" i="33"/>
  <c r="J205" i="33"/>
  <c r="F205" i="33"/>
  <c r="B205" i="33"/>
  <c r="Z204" i="33"/>
  <c r="V204" i="33"/>
  <c r="R204" i="33"/>
  <c r="N204" i="33"/>
  <c r="J204" i="33"/>
  <c r="F204" i="33"/>
  <c r="B204" i="33"/>
  <c r="Z203" i="33"/>
  <c r="V203" i="33"/>
  <c r="R203" i="33"/>
  <c r="N203" i="33"/>
  <c r="J203" i="33"/>
  <c r="F203" i="33"/>
  <c r="B203" i="33"/>
  <c r="Z202" i="33"/>
  <c r="V202" i="33"/>
  <c r="R202" i="33"/>
  <c r="N202" i="33"/>
  <c r="J202" i="33"/>
  <c r="F202" i="33"/>
  <c r="B202" i="33"/>
  <c r="Z201" i="33"/>
  <c r="V201" i="33"/>
  <c r="R201" i="33"/>
  <c r="N201" i="33"/>
  <c r="J201" i="33"/>
  <c r="F201" i="33"/>
  <c r="B201" i="33"/>
  <c r="Z200" i="33"/>
  <c r="V200" i="33"/>
  <c r="R200" i="33"/>
  <c r="N200" i="33"/>
  <c r="J200" i="33"/>
  <c r="F200" i="33"/>
  <c r="B200" i="33"/>
  <c r="Z199" i="33"/>
  <c r="V199" i="33"/>
  <c r="R199" i="33"/>
  <c r="N199" i="33"/>
  <c r="J199" i="33"/>
  <c r="F199" i="33"/>
  <c r="B199" i="33"/>
  <c r="Z198" i="33"/>
  <c r="V198" i="33"/>
  <c r="R198" i="33"/>
  <c r="N198" i="33"/>
  <c r="J198" i="33"/>
  <c r="F198" i="33"/>
  <c r="B198" i="33"/>
  <c r="Z197" i="33"/>
  <c r="V197" i="33"/>
  <c r="R197" i="33"/>
  <c r="N197" i="33"/>
  <c r="J197" i="33"/>
  <c r="F197" i="33"/>
  <c r="B197" i="33"/>
  <c r="Z196" i="33"/>
  <c r="V196" i="33"/>
  <c r="R196" i="33"/>
  <c r="N196" i="33"/>
  <c r="J196" i="33"/>
  <c r="F196" i="33"/>
  <c r="B196" i="33"/>
  <c r="Z195" i="33"/>
  <c r="V195" i="33"/>
  <c r="R195" i="33"/>
  <c r="N195" i="33"/>
  <c r="J195" i="33"/>
  <c r="F195" i="33"/>
  <c r="B195" i="33"/>
  <c r="Z194" i="33"/>
  <c r="V194" i="33"/>
  <c r="R194" i="33"/>
  <c r="N194" i="33"/>
  <c r="J194" i="33"/>
  <c r="F194" i="33"/>
  <c r="B194" i="33"/>
  <c r="Z193" i="33"/>
  <c r="V193" i="33"/>
  <c r="R193" i="33"/>
  <c r="N193" i="33"/>
  <c r="J193" i="33"/>
  <c r="F193" i="33"/>
  <c r="B193" i="33"/>
  <c r="Z192" i="33"/>
  <c r="V192" i="33"/>
  <c r="R192" i="33"/>
  <c r="N192" i="33"/>
  <c r="J192" i="33"/>
  <c r="F192" i="33"/>
  <c r="B192" i="33"/>
  <c r="Z191" i="33"/>
  <c r="V191" i="33"/>
  <c r="R191" i="33"/>
  <c r="N191" i="33"/>
  <c r="J191" i="33"/>
  <c r="F191" i="33"/>
  <c r="B191" i="33"/>
  <c r="Z190" i="33"/>
  <c r="V190" i="33"/>
  <c r="R190" i="33"/>
  <c r="N190" i="33"/>
  <c r="J190" i="33"/>
  <c r="F190" i="33"/>
  <c r="B190" i="33"/>
  <c r="Z189" i="33"/>
  <c r="V189" i="33"/>
  <c r="R189" i="33"/>
  <c r="N189" i="33"/>
  <c r="J189" i="33"/>
  <c r="F189" i="33"/>
  <c r="B189" i="33"/>
  <c r="Z188" i="33"/>
  <c r="V188" i="33"/>
  <c r="R188" i="33"/>
  <c r="N188" i="33"/>
  <c r="J188" i="33"/>
  <c r="F188" i="33"/>
  <c r="B188" i="33"/>
  <c r="Z187" i="33"/>
  <c r="V187" i="33"/>
  <c r="R187" i="33"/>
  <c r="N187" i="33"/>
  <c r="J187" i="33"/>
  <c r="F187" i="33"/>
  <c r="B187" i="33"/>
  <c r="Z186" i="33"/>
  <c r="V186" i="33"/>
  <c r="R186" i="33"/>
  <c r="N186" i="33"/>
  <c r="J186" i="33"/>
  <c r="F186" i="33"/>
  <c r="B186" i="33"/>
  <c r="Z185" i="33"/>
  <c r="V185" i="33"/>
  <c r="R185" i="33"/>
  <c r="N185" i="33"/>
  <c r="J185" i="33"/>
  <c r="F185" i="33"/>
  <c r="B185" i="33"/>
  <c r="Z184" i="33"/>
  <c r="V184" i="33"/>
  <c r="R184" i="33"/>
  <c r="N184" i="33"/>
  <c r="J184" i="33"/>
  <c r="F184" i="33"/>
  <c r="B184" i="33"/>
  <c r="Z183" i="33"/>
  <c r="V183" i="33"/>
  <c r="R183" i="33"/>
  <c r="N183" i="33"/>
  <c r="J183" i="33"/>
  <c r="F183" i="33"/>
  <c r="B183" i="33"/>
  <c r="Z182" i="33"/>
  <c r="V182" i="33"/>
  <c r="R182" i="33"/>
  <c r="N182" i="33"/>
  <c r="J182" i="33"/>
  <c r="F182" i="33"/>
  <c r="B182" i="33"/>
  <c r="Z181" i="33"/>
  <c r="V181" i="33"/>
  <c r="R181" i="33"/>
  <c r="N181" i="33"/>
  <c r="J181" i="33"/>
  <c r="F181" i="33"/>
  <c r="B181" i="33"/>
  <c r="Z180" i="33"/>
  <c r="V180" i="33"/>
  <c r="R180" i="33"/>
  <c r="N180" i="33"/>
  <c r="J180" i="33"/>
  <c r="F180" i="33"/>
  <c r="B180" i="33"/>
  <c r="Z179" i="33"/>
  <c r="V179" i="33"/>
  <c r="R179" i="33"/>
  <c r="N179" i="33"/>
  <c r="J179" i="33"/>
  <c r="F179" i="33"/>
  <c r="B179" i="33"/>
  <c r="Z178" i="33"/>
  <c r="V178" i="33"/>
  <c r="R178" i="33"/>
  <c r="N178" i="33"/>
  <c r="J178" i="33"/>
  <c r="F178" i="33"/>
  <c r="B178" i="33"/>
  <c r="Z177" i="33"/>
  <c r="V177" i="33"/>
  <c r="R177" i="33"/>
  <c r="N177" i="33"/>
  <c r="J177" i="33"/>
  <c r="F177" i="33"/>
  <c r="B177" i="33"/>
  <c r="Z176" i="33"/>
  <c r="V176" i="33"/>
  <c r="R176" i="33"/>
  <c r="N176" i="33"/>
  <c r="J176" i="33"/>
  <c r="F176" i="33"/>
  <c r="B176" i="33"/>
  <c r="Z175" i="33"/>
  <c r="V175" i="33"/>
  <c r="R175" i="33"/>
  <c r="N175" i="33"/>
  <c r="J175" i="33"/>
  <c r="F175" i="33"/>
  <c r="B175" i="33"/>
  <c r="Z174" i="33"/>
  <c r="V174" i="33"/>
  <c r="R174" i="33"/>
  <c r="N174" i="33"/>
  <c r="J174" i="33"/>
  <c r="F174" i="33"/>
  <c r="B174" i="33"/>
  <c r="Z173" i="33"/>
  <c r="V173" i="33"/>
  <c r="R173" i="33"/>
  <c r="N173" i="33"/>
  <c r="J173" i="33"/>
  <c r="F173" i="33"/>
  <c r="B173" i="33"/>
  <c r="Z172" i="33"/>
  <c r="V172" i="33"/>
  <c r="R172" i="33"/>
  <c r="N172" i="33"/>
  <c r="J172" i="33"/>
  <c r="F172" i="33"/>
  <c r="B172" i="33"/>
  <c r="Z171" i="33"/>
  <c r="V171" i="33"/>
  <c r="R171" i="33"/>
  <c r="N171" i="33"/>
  <c r="J171" i="33"/>
  <c r="F171" i="33"/>
  <c r="B171" i="33"/>
  <c r="Z170" i="33"/>
  <c r="V170" i="33"/>
  <c r="R170" i="33"/>
  <c r="N170" i="33"/>
  <c r="J170" i="33"/>
  <c r="F170" i="33"/>
  <c r="B170" i="33"/>
  <c r="Z169" i="33"/>
  <c r="V169" i="33"/>
  <c r="R169" i="33"/>
  <c r="N169" i="33"/>
  <c r="J169" i="33"/>
  <c r="F169" i="33"/>
  <c r="B169" i="33"/>
  <c r="Z168" i="33"/>
  <c r="V168" i="33"/>
  <c r="R168" i="33"/>
  <c r="N168" i="33"/>
  <c r="J168" i="33"/>
  <c r="F168" i="33"/>
  <c r="B168" i="33"/>
  <c r="Z167" i="33"/>
  <c r="V167" i="33"/>
  <c r="R167" i="33"/>
  <c r="N167" i="33"/>
  <c r="J167" i="33"/>
  <c r="F167" i="33"/>
  <c r="B167" i="33"/>
  <c r="Z166" i="33"/>
  <c r="V166" i="33"/>
  <c r="R166" i="33"/>
  <c r="N166" i="33"/>
  <c r="J166" i="33"/>
  <c r="F166" i="33"/>
  <c r="B166" i="33"/>
  <c r="Z165" i="33"/>
  <c r="V165" i="33"/>
  <c r="R165" i="33"/>
  <c r="N165" i="33"/>
  <c r="J165" i="33"/>
  <c r="F165" i="33"/>
  <c r="B165" i="33"/>
  <c r="Z164" i="33"/>
  <c r="V164" i="33"/>
  <c r="R164" i="33"/>
  <c r="N164" i="33"/>
  <c r="J164" i="33"/>
  <c r="F164" i="33"/>
  <c r="B164" i="33"/>
  <c r="Z163" i="33"/>
  <c r="V163" i="33"/>
  <c r="R163" i="33"/>
  <c r="N163" i="33"/>
  <c r="J163" i="33"/>
  <c r="F163" i="33"/>
  <c r="B163" i="33"/>
  <c r="Z162" i="33"/>
  <c r="V162" i="33"/>
  <c r="R162" i="33"/>
  <c r="N162" i="33"/>
  <c r="J162" i="33"/>
  <c r="F162" i="33"/>
  <c r="B162" i="33"/>
  <c r="Z161" i="33"/>
  <c r="V161" i="33"/>
  <c r="R161" i="33"/>
  <c r="N161" i="33"/>
  <c r="J161" i="33"/>
  <c r="F161" i="33"/>
  <c r="B161" i="33"/>
  <c r="Z160" i="33"/>
  <c r="V160" i="33"/>
  <c r="R160" i="33"/>
  <c r="N160" i="33"/>
  <c r="J160" i="33"/>
  <c r="F160" i="33"/>
  <c r="B160" i="33"/>
  <c r="Z159" i="33"/>
  <c r="V159" i="33"/>
  <c r="R159" i="33"/>
  <c r="N159" i="33"/>
  <c r="J159" i="33"/>
  <c r="F159" i="33"/>
  <c r="B159" i="33"/>
  <c r="Z158" i="33"/>
  <c r="V158" i="33"/>
  <c r="R158" i="33"/>
  <c r="N158" i="33"/>
  <c r="J158" i="33"/>
  <c r="F158" i="33"/>
  <c r="B158" i="33"/>
  <c r="Z157" i="33"/>
  <c r="V157" i="33"/>
  <c r="R157" i="33"/>
  <c r="N157" i="33"/>
  <c r="J157" i="33"/>
  <c r="F157" i="33"/>
  <c r="B157" i="33"/>
  <c r="Z156" i="33"/>
  <c r="V156" i="33"/>
  <c r="R156" i="33"/>
  <c r="N156" i="33"/>
  <c r="J156" i="33"/>
  <c r="F156" i="33"/>
  <c r="B156" i="33"/>
  <c r="Z155" i="33"/>
  <c r="V155" i="33"/>
  <c r="R155" i="33"/>
  <c r="N155" i="33"/>
  <c r="J155" i="33"/>
  <c r="F155" i="33"/>
  <c r="B155" i="33"/>
  <c r="Z154" i="33"/>
  <c r="V154" i="33"/>
  <c r="R154" i="33"/>
  <c r="N154" i="33"/>
  <c r="J154" i="33"/>
  <c r="F154" i="33"/>
  <c r="B154" i="33"/>
  <c r="Z153" i="33"/>
  <c r="V153" i="33"/>
  <c r="R153" i="33"/>
  <c r="N153" i="33"/>
  <c r="J153" i="33"/>
  <c r="F153" i="33"/>
  <c r="B153" i="33"/>
  <c r="Z152" i="33"/>
  <c r="V152" i="33"/>
  <c r="R152" i="33"/>
  <c r="N152" i="33"/>
  <c r="J152" i="33"/>
  <c r="F152" i="33"/>
  <c r="B152" i="33"/>
  <c r="Z151" i="33"/>
  <c r="V151" i="33"/>
  <c r="R151" i="33"/>
  <c r="N151" i="33"/>
  <c r="J151" i="33"/>
  <c r="F151" i="33"/>
  <c r="B151" i="33"/>
  <c r="Z150" i="33"/>
  <c r="V150" i="33"/>
  <c r="R150" i="33"/>
  <c r="N150" i="33"/>
  <c r="J150" i="33"/>
  <c r="F150" i="33"/>
  <c r="B150" i="33"/>
  <c r="Z149" i="33"/>
  <c r="V149" i="33"/>
  <c r="R149" i="33"/>
  <c r="N149" i="33"/>
  <c r="J149" i="33"/>
  <c r="F149" i="33"/>
  <c r="B149" i="33"/>
  <c r="Z148" i="33"/>
  <c r="V148" i="33"/>
  <c r="R148" i="33"/>
  <c r="N148" i="33"/>
  <c r="J148" i="33"/>
  <c r="F148" i="33"/>
  <c r="B148" i="33"/>
  <c r="Z147" i="33"/>
  <c r="V147" i="33"/>
  <c r="R147" i="33"/>
  <c r="N147" i="33"/>
  <c r="J147" i="33"/>
  <c r="F147" i="33"/>
  <c r="B147" i="33"/>
  <c r="Z146" i="33"/>
  <c r="V146" i="33"/>
  <c r="R146" i="33"/>
  <c r="N146" i="33"/>
  <c r="J146" i="33"/>
  <c r="F146" i="33"/>
  <c r="B146" i="33"/>
  <c r="Z145" i="33"/>
  <c r="V145" i="33"/>
  <c r="R145" i="33"/>
  <c r="N145" i="33"/>
  <c r="J145" i="33"/>
  <c r="F145" i="33"/>
  <c r="B145" i="33"/>
  <c r="Z144" i="33"/>
  <c r="V144" i="33"/>
  <c r="R144" i="33"/>
  <c r="N144" i="33"/>
  <c r="J144" i="33"/>
  <c r="F144" i="33"/>
  <c r="B144" i="33"/>
  <c r="Z143" i="33"/>
  <c r="V143" i="33"/>
  <c r="R143" i="33"/>
  <c r="N143" i="33"/>
  <c r="J143" i="33"/>
  <c r="F143" i="33"/>
  <c r="B143" i="33"/>
  <c r="Z142" i="33"/>
  <c r="V142" i="33"/>
  <c r="R142" i="33"/>
  <c r="N142" i="33"/>
  <c r="J142" i="33"/>
  <c r="F142" i="33"/>
  <c r="B142" i="33"/>
  <c r="Z141" i="33"/>
  <c r="V141" i="33"/>
  <c r="R141" i="33"/>
  <c r="N141" i="33"/>
  <c r="J141" i="33"/>
  <c r="F141" i="33"/>
  <c r="B141" i="33"/>
  <c r="Z140" i="33"/>
  <c r="V140" i="33"/>
  <c r="R140" i="33"/>
  <c r="N140" i="33"/>
  <c r="J140" i="33"/>
  <c r="F140" i="33"/>
  <c r="B140" i="33"/>
  <c r="Z139" i="33"/>
  <c r="V139" i="33"/>
  <c r="R139" i="33"/>
  <c r="N139" i="33"/>
  <c r="J139" i="33"/>
  <c r="F139" i="33"/>
  <c r="B139" i="33"/>
  <c r="Z138" i="33"/>
  <c r="V138" i="33"/>
  <c r="R138" i="33"/>
  <c r="N138" i="33"/>
  <c r="J138" i="33"/>
  <c r="F138" i="33"/>
  <c r="B138" i="33"/>
  <c r="Z137" i="33"/>
  <c r="V137" i="33"/>
  <c r="R137" i="33"/>
  <c r="N137" i="33"/>
  <c r="J137" i="33"/>
  <c r="F137" i="33"/>
  <c r="B137" i="33"/>
  <c r="Z136" i="33"/>
  <c r="V136" i="33"/>
  <c r="R136" i="33"/>
  <c r="N136" i="33"/>
  <c r="J136" i="33"/>
  <c r="F136" i="33"/>
  <c r="B136" i="33"/>
  <c r="Z135" i="33"/>
  <c r="V135" i="33"/>
  <c r="R135" i="33"/>
  <c r="N135" i="33"/>
  <c r="J135" i="33"/>
  <c r="F135" i="33"/>
  <c r="B135" i="33"/>
  <c r="Z134" i="33"/>
  <c r="V134" i="33"/>
  <c r="R134" i="33"/>
  <c r="N134" i="33"/>
  <c r="J134" i="33"/>
  <c r="F134" i="33"/>
  <c r="B134" i="33"/>
  <c r="Z133" i="33"/>
  <c r="V133" i="33"/>
  <c r="R133" i="33"/>
  <c r="N133" i="33"/>
  <c r="J133" i="33"/>
  <c r="F133" i="33"/>
  <c r="B133" i="33"/>
  <c r="Z132" i="33"/>
  <c r="V132" i="33"/>
  <c r="R132" i="33"/>
  <c r="N132" i="33"/>
  <c r="J132" i="33"/>
  <c r="F132" i="33"/>
  <c r="B132" i="33"/>
  <c r="Z131" i="33"/>
  <c r="V131" i="33"/>
  <c r="R131" i="33"/>
  <c r="N131" i="33"/>
  <c r="J131" i="33"/>
  <c r="F131" i="33"/>
  <c r="B131" i="33"/>
  <c r="Z130" i="33"/>
  <c r="V130" i="33"/>
  <c r="R130" i="33"/>
  <c r="N130" i="33"/>
  <c r="J130" i="33"/>
  <c r="F130" i="33"/>
  <c r="B130" i="33"/>
  <c r="Z129" i="33"/>
  <c r="V129" i="33"/>
  <c r="R129" i="33"/>
  <c r="N129" i="33"/>
  <c r="J129" i="33"/>
  <c r="F129" i="33"/>
  <c r="B129" i="33"/>
  <c r="Z128" i="33"/>
  <c r="V128" i="33"/>
  <c r="R128" i="33"/>
  <c r="N128" i="33"/>
  <c r="J128" i="33"/>
  <c r="F128" i="33"/>
  <c r="B128" i="33"/>
  <c r="Z127" i="33"/>
  <c r="V127" i="33"/>
  <c r="R127" i="33"/>
  <c r="N127" i="33"/>
  <c r="J127" i="33"/>
  <c r="F127" i="33"/>
  <c r="B127" i="33"/>
  <c r="Z126" i="33"/>
  <c r="V126" i="33"/>
  <c r="R126" i="33"/>
  <c r="N126" i="33"/>
  <c r="J126" i="33"/>
  <c r="F126" i="33"/>
  <c r="B126" i="33"/>
  <c r="Z125" i="33"/>
  <c r="V125" i="33"/>
  <c r="R125" i="33"/>
  <c r="N125" i="33"/>
  <c r="J125" i="33"/>
  <c r="F125" i="33"/>
  <c r="B125" i="33"/>
  <c r="Z124" i="33"/>
  <c r="V124" i="33"/>
  <c r="R124" i="33"/>
  <c r="N124" i="33"/>
  <c r="J124" i="33"/>
  <c r="F124" i="33"/>
  <c r="B124" i="33"/>
  <c r="Z123" i="33"/>
  <c r="V123" i="33"/>
  <c r="R123" i="33"/>
  <c r="N123" i="33"/>
  <c r="J123" i="33"/>
  <c r="F123" i="33"/>
  <c r="B123" i="33"/>
  <c r="Z122" i="33"/>
  <c r="V122" i="33"/>
  <c r="R122" i="33"/>
  <c r="N122" i="33"/>
  <c r="J122" i="33"/>
  <c r="F122" i="33"/>
  <c r="B122" i="33"/>
  <c r="Z121" i="33"/>
  <c r="V121" i="33"/>
  <c r="R121" i="33"/>
  <c r="N121" i="33"/>
  <c r="J121" i="33"/>
  <c r="F121" i="33"/>
  <c r="B121" i="33"/>
  <c r="Z120" i="33"/>
  <c r="V120" i="33"/>
  <c r="R120" i="33"/>
  <c r="N120" i="33"/>
  <c r="J120" i="33"/>
  <c r="F120" i="33"/>
  <c r="B120" i="33"/>
  <c r="Z119" i="33"/>
  <c r="V119" i="33"/>
  <c r="R119" i="33"/>
  <c r="N119" i="33"/>
  <c r="J119" i="33"/>
  <c r="F119" i="33"/>
  <c r="B119" i="33"/>
  <c r="Z118" i="33"/>
  <c r="V118" i="33"/>
  <c r="R118" i="33"/>
  <c r="N118" i="33"/>
  <c r="J118" i="33"/>
  <c r="F118" i="33"/>
  <c r="B118" i="33"/>
  <c r="Z117" i="33"/>
  <c r="V117" i="33"/>
  <c r="R117" i="33"/>
  <c r="N117" i="33"/>
  <c r="J117" i="33"/>
  <c r="F117" i="33"/>
  <c r="B117" i="33"/>
  <c r="Z116" i="33"/>
  <c r="V116" i="33"/>
  <c r="R116" i="33"/>
  <c r="N116" i="33"/>
  <c r="J116" i="33"/>
  <c r="F116" i="33"/>
  <c r="B116" i="33"/>
  <c r="Z115" i="33"/>
  <c r="V115" i="33"/>
  <c r="R115" i="33"/>
  <c r="N115" i="33"/>
  <c r="J115" i="33"/>
  <c r="F115" i="33"/>
  <c r="B115" i="33"/>
  <c r="Z114" i="33"/>
  <c r="V114" i="33"/>
  <c r="R114" i="33"/>
  <c r="N114" i="33"/>
  <c r="J114" i="33"/>
  <c r="F114" i="33"/>
  <c r="B114" i="33"/>
  <c r="Z113" i="33"/>
  <c r="V113" i="33"/>
  <c r="R113" i="33"/>
  <c r="N113" i="33"/>
  <c r="J113" i="33"/>
  <c r="F113" i="33"/>
  <c r="B113" i="33"/>
  <c r="Z112" i="33"/>
  <c r="V112" i="33"/>
  <c r="R112" i="33"/>
  <c r="N112" i="33"/>
  <c r="J112" i="33"/>
  <c r="F112" i="33"/>
  <c r="B112" i="33"/>
  <c r="Z111" i="33"/>
  <c r="V111" i="33"/>
  <c r="R111" i="33"/>
  <c r="N111" i="33"/>
  <c r="J111" i="33"/>
  <c r="F111" i="33"/>
  <c r="B111" i="33"/>
  <c r="Z110" i="33"/>
  <c r="V110" i="33"/>
  <c r="R110" i="33"/>
  <c r="N110" i="33"/>
  <c r="J110" i="33"/>
  <c r="F110" i="33"/>
  <c r="B110" i="33"/>
  <c r="Z109" i="33"/>
  <c r="V109" i="33"/>
  <c r="R109" i="33"/>
  <c r="N109" i="33"/>
  <c r="J109" i="33"/>
  <c r="F109" i="33"/>
  <c r="B109" i="33"/>
  <c r="Z108" i="33"/>
  <c r="V108" i="33"/>
  <c r="R108" i="33"/>
  <c r="N108" i="33"/>
  <c r="J108" i="33"/>
  <c r="F108" i="33"/>
  <c r="B108" i="33"/>
  <c r="Z107" i="33"/>
  <c r="V107" i="33"/>
  <c r="R107" i="33"/>
  <c r="N107" i="33"/>
  <c r="J107" i="33"/>
  <c r="F107" i="33"/>
  <c r="B107" i="33"/>
  <c r="Z106" i="33"/>
  <c r="V106" i="33"/>
  <c r="R106" i="33"/>
  <c r="N106" i="33"/>
  <c r="J106" i="33"/>
  <c r="F106" i="33"/>
  <c r="B106" i="33"/>
  <c r="Z105" i="33"/>
  <c r="V105" i="33"/>
  <c r="R105" i="33"/>
  <c r="N105" i="33"/>
  <c r="J105" i="33"/>
  <c r="F105" i="33"/>
  <c r="B105" i="33"/>
  <c r="Z104" i="33"/>
  <c r="V104" i="33"/>
  <c r="R104" i="33"/>
  <c r="N104" i="33"/>
  <c r="J104" i="33"/>
  <c r="F104" i="33"/>
  <c r="B104" i="33"/>
  <c r="Z103" i="33"/>
  <c r="V103" i="33"/>
  <c r="R103" i="33"/>
  <c r="N103" i="33"/>
  <c r="J103" i="33"/>
  <c r="F103" i="33"/>
  <c r="B103" i="33"/>
  <c r="Z102" i="33"/>
  <c r="V102" i="33"/>
  <c r="R102" i="33"/>
  <c r="N102" i="33"/>
  <c r="J102" i="33"/>
  <c r="F102" i="33"/>
  <c r="B102" i="33"/>
  <c r="Z101" i="33"/>
  <c r="V101" i="33"/>
  <c r="R101" i="33"/>
  <c r="N101" i="33"/>
  <c r="J101" i="33"/>
  <c r="F101" i="33"/>
  <c r="B101" i="33"/>
  <c r="Z100" i="33"/>
  <c r="V100" i="33"/>
  <c r="R100" i="33"/>
  <c r="N100" i="33"/>
  <c r="J100" i="33"/>
  <c r="F100" i="33"/>
  <c r="B100" i="33"/>
  <c r="Z99" i="33"/>
  <c r="V99" i="33"/>
  <c r="R99" i="33"/>
  <c r="N99" i="33"/>
  <c r="J99" i="33"/>
  <c r="F99" i="33"/>
  <c r="B99" i="33"/>
  <c r="Z98" i="33"/>
  <c r="V98" i="33"/>
  <c r="R98" i="33"/>
  <c r="N98" i="33"/>
  <c r="J98" i="33"/>
  <c r="F98" i="33"/>
  <c r="B98" i="33"/>
  <c r="Z97" i="33"/>
  <c r="V97" i="33"/>
  <c r="R97" i="33"/>
  <c r="N97" i="33"/>
  <c r="J97" i="33"/>
  <c r="F97" i="33"/>
  <c r="B97" i="33"/>
  <c r="Z96" i="33"/>
  <c r="V96" i="33"/>
  <c r="R96" i="33"/>
  <c r="N96" i="33"/>
  <c r="J96" i="33"/>
  <c r="F96" i="33"/>
  <c r="B96" i="33"/>
  <c r="Z95" i="33"/>
  <c r="V95" i="33"/>
  <c r="R95" i="33"/>
  <c r="N95" i="33"/>
  <c r="J95" i="33"/>
  <c r="F95" i="33"/>
  <c r="B95" i="33"/>
  <c r="Z94" i="33"/>
  <c r="V94" i="33"/>
  <c r="R94" i="33"/>
  <c r="N94" i="33"/>
  <c r="J94" i="33"/>
  <c r="F94" i="33"/>
  <c r="B94" i="33"/>
  <c r="Z93" i="33"/>
  <c r="V93" i="33"/>
  <c r="R93" i="33"/>
  <c r="N93" i="33"/>
  <c r="J93" i="33"/>
  <c r="F93" i="33"/>
  <c r="B93" i="33"/>
  <c r="Z92" i="33"/>
  <c r="V92" i="33"/>
  <c r="R92" i="33"/>
  <c r="N92" i="33"/>
  <c r="J92" i="33"/>
  <c r="F92" i="33"/>
  <c r="B92" i="33"/>
  <c r="Z91" i="33"/>
  <c r="V91" i="33"/>
  <c r="R91" i="33"/>
  <c r="N91" i="33"/>
  <c r="J91" i="33"/>
  <c r="F91" i="33"/>
  <c r="B91" i="33"/>
  <c r="Z90" i="33"/>
  <c r="V90" i="33"/>
  <c r="R90" i="33"/>
  <c r="N90" i="33"/>
  <c r="J90" i="33"/>
  <c r="F90" i="33"/>
  <c r="B90" i="33"/>
  <c r="Z89" i="33"/>
  <c r="V89" i="33"/>
  <c r="R89" i="33"/>
  <c r="N89" i="33"/>
  <c r="J89" i="33"/>
  <c r="F89" i="33"/>
  <c r="B89" i="33"/>
  <c r="Z88" i="33"/>
  <c r="V88" i="33"/>
  <c r="R88" i="33"/>
  <c r="N88" i="33"/>
  <c r="J88" i="33"/>
  <c r="F88" i="33"/>
  <c r="B88" i="33"/>
  <c r="Z87" i="33"/>
  <c r="V87" i="33"/>
  <c r="R87" i="33"/>
  <c r="N87" i="33"/>
  <c r="J87" i="33"/>
  <c r="F87" i="33"/>
  <c r="B87" i="33"/>
  <c r="Z86" i="33"/>
  <c r="V86" i="33"/>
  <c r="R86" i="33"/>
  <c r="N86" i="33"/>
  <c r="J86" i="33"/>
  <c r="F86" i="33"/>
  <c r="B86" i="33"/>
  <c r="Z85" i="33"/>
  <c r="V85" i="33"/>
  <c r="R85" i="33"/>
  <c r="N85" i="33"/>
  <c r="J85" i="33"/>
  <c r="F85" i="33"/>
  <c r="B85" i="33"/>
  <c r="Z84" i="33"/>
  <c r="V84" i="33"/>
  <c r="R84" i="33"/>
  <c r="N84" i="33"/>
  <c r="J84" i="33"/>
  <c r="F84" i="33"/>
  <c r="B84" i="33"/>
  <c r="Z83" i="33"/>
  <c r="V83" i="33"/>
  <c r="R83" i="33"/>
  <c r="N83" i="33"/>
  <c r="J83" i="33"/>
  <c r="F83" i="33"/>
  <c r="B83" i="33"/>
  <c r="Z82" i="33"/>
  <c r="V82" i="33"/>
  <c r="R82" i="33"/>
  <c r="N82" i="33"/>
  <c r="J82" i="33"/>
  <c r="F82" i="33"/>
  <c r="B82" i="33"/>
  <c r="Z81" i="33"/>
  <c r="V81" i="33"/>
  <c r="R81" i="33"/>
  <c r="N81" i="33"/>
  <c r="J81" i="33"/>
  <c r="F81" i="33"/>
  <c r="B81" i="33"/>
  <c r="Z80" i="33"/>
  <c r="V80" i="33"/>
  <c r="R80" i="33"/>
  <c r="N80" i="33"/>
  <c r="J80" i="33"/>
  <c r="F80" i="33"/>
  <c r="B80" i="33"/>
  <c r="Z79" i="33"/>
  <c r="V79" i="33"/>
  <c r="R79" i="33"/>
  <c r="N79" i="33"/>
  <c r="J79" i="33"/>
  <c r="F79" i="33"/>
  <c r="B79" i="33"/>
  <c r="Z78" i="33"/>
  <c r="V78" i="33"/>
  <c r="R78" i="33"/>
  <c r="N78" i="33"/>
  <c r="J78" i="33"/>
  <c r="F78" i="33"/>
  <c r="B78" i="33"/>
  <c r="Z77" i="33"/>
  <c r="V77" i="33"/>
  <c r="R77" i="33"/>
  <c r="N77" i="33"/>
  <c r="J77" i="33"/>
  <c r="F77" i="33"/>
  <c r="B77" i="33"/>
  <c r="Z76" i="33"/>
  <c r="V76" i="33"/>
  <c r="R76" i="33"/>
  <c r="N76" i="33"/>
  <c r="J76" i="33"/>
  <c r="F76" i="33"/>
  <c r="B76" i="33"/>
  <c r="Z75" i="33"/>
  <c r="V75" i="33"/>
  <c r="R75" i="33"/>
  <c r="N75" i="33"/>
  <c r="J75" i="33"/>
  <c r="F75" i="33"/>
  <c r="B75" i="33"/>
  <c r="Z74" i="33"/>
  <c r="V74" i="33"/>
  <c r="R74" i="33"/>
  <c r="N74" i="33"/>
  <c r="J74" i="33"/>
  <c r="F74" i="33"/>
  <c r="B74" i="33"/>
  <c r="Z73" i="33"/>
  <c r="V73" i="33"/>
  <c r="R73" i="33"/>
  <c r="N73" i="33"/>
  <c r="J73" i="33"/>
  <c r="F73" i="33"/>
  <c r="B73" i="33"/>
  <c r="Z72" i="33"/>
  <c r="V72" i="33"/>
  <c r="R72" i="33"/>
  <c r="N72" i="33"/>
  <c r="J72" i="33"/>
  <c r="F72" i="33"/>
  <c r="B72" i="33"/>
  <c r="Z71" i="33"/>
  <c r="V71" i="33"/>
  <c r="R71" i="33"/>
  <c r="N71" i="33"/>
  <c r="J71" i="33"/>
  <c r="F71" i="33"/>
  <c r="B71" i="33"/>
  <c r="Z70" i="33"/>
  <c r="V70" i="33"/>
  <c r="R70" i="33"/>
  <c r="N70" i="33"/>
  <c r="J70" i="33"/>
  <c r="F70" i="33"/>
  <c r="B70" i="33"/>
  <c r="Z69" i="33"/>
  <c r="V69" i="33"/>
  <c r="R69" i="33"/>
  <c r="N69" i="33"/>
  <c r="J69" i="33"/>
  <c r="F69" i="33"/>
  <c r="B69" i="33"/>
  <c r="Z68" i="33"/>
  <c r="V68" i="33"/>
  <c r="R68" i="33"/>
  <c r="N68" i="33"/>
  <c r="J68" i="33"/>
  <c r="F68" i="33"/>
  <c r="B68" i="33"/>
  <c r="Z67" i="33"/>
  <c r="V67" i="33"/>
  <c r="R67" i="33"/>
  <c r="N67" i="33"/>
  <c r="J67" i="33"/>
  <c r="F67" i="33"/>
  <c r="B67" i="33"/>
  <c r="Z66" i="33"/>
  <c r="V66" i="33"/>
  <c r="R66" i="33"/>
  <c r="N66" i="33"/>
  <c r="J66" i="33"/>
  <c r="F66" i="33"/>
  <c r="B66" i="33"/>
  <c r="Z65" i="33"/>
  <c r="V65" i="33"/>
  <c r="R65" i="33"/>
  <c r="N65" i="33"/>
  <c r="J65" i="33"/>
  <c r="F65" i="33"/>
  <c r="B65" i="33"/>
  <c r="Z64" i="33"/>
  <c r="V64" i="33"/>
  <c r="R64" i="33"/>
  <c r="N64" i="33"/>
  <c r="J64" i="33"/>
  <c r="F64" i="33"/>
  <c r="B64" i="33"/>
  <c r="Z63" i="33"/>
  <c r="V63" i="33"/>
  <c r="R63" i="33"/>
  <c r="N63" i="33"/>
  <c r="J63" i="33"/>
  <c r="F63" i="33"/>
  <c r="B63" i="33"/>
  <c r="Z62" i="33"/>
  <c r="V62" i="33"/>
  <c r="R62" i="33"/>
  <c r="N62" i="33"/>
  <c r="J62" i="33"/>
  <c r="F62" i="33"/>
  <c r="B62" i="33"/>
  <c r="Z61" i="33"/>
  <c r="V61" i="33"/>
  <c r="R61" i="33"/>
  <c r="N61" i="33"/>
  <c r="J61" i="33"/>
  <c r="F61" i="33"/>
  <c r="B61" i="33"/>
  <c r="Z60" i="33"/>
  <c r="V60" i="33"/>
  <c r="R60" i="33"/>
  <c r="N60" i="33"/>
  <c r="J60" i="33"/>
  <c r="F60" i="33"/>
  <c r="B60" i="33"/>
  <c r="Z59" i="33"/>
  <c r="V59" i="33"/>
  <c r="R59" i="33"/>
  <c r="N59" i="33"/>
  <c r="J59" i="33"/>
  <c r="F59" i="33"/>
  <c r="B59" i="33"/>
  <c r="Z58" i="33"/>
  <c r="V58" i="33"/>
  <c r="R58" i="33"/>
  <c r="N58" i="33"/>
  <c r="J58" i="33"/>
  <c r="F58" i="33"/>
  <c r="B58" i="33"/>
  <c r="Z57" i="33"/>
  <c r="V57" i="33"/>
  <c r="R57" i="33"/>
  <c r="N57" i="33"/>
  <c r="J57" i="33"/>
  <c r="F57" i="33"/>
  <c r="B57" i="33"/>
  <c r="Z56" i="33"/>
  <c r="V56" i="33"/>
  <c r="R56" i="33"/>
  <c r="N56" i="33"/>
  <c r="J56" i="33"/>
  <c r="F56" i="33"/>
  <c r="B56" i="33"/>
  <c r="Z55" i="33"/>
  <c r="V55" i="33"/>
  <c r="R55" i="33"/>
  <c r="N55" i="33"/>
  <c r="J55" i="33"/>
  <c r="F55" i="33"/>
  <c r="B55" i="33"/>
  <c r="Z54" i="33"/>
  <c r="V54" i="33"/>
  <c r="R54" i="33"/>
  <c r="N54" i="33"/>
  <c r="J54" i="33"/>
  <c r="F54" i="33"/>
  <c r="B54" i="33"/>
  <c r="Z53" i="33"/>
  <c r="V53" i="33"/>
  <c r="R53" i="33"/>
  <c r="N53" i="33"/>
  <c r="J53" i="33"/>
  <c r="F53" i="33"/>
  <c r="B53" i="33"/>
  <c r="Z52" i="33"/>
  <c r="V52" i="33"/>
  <c r="R52" i="33"/>
  <c r="N52" i="33"/>
  <c r="J52" i="33"/>
  <c r="F52" i="33"/>
  <c r="B52" i="33"/>
  <c r="Z51" i="33"/>
  <c r="V51" i="33"/>
  <c r="R51" i="33"/>
  <c r="N51" i="33"/>
  <c r="J51" i="33"/>
  <c r="F51" i="33"/>
  <c r="B51" i="33"/>
  <c r="Z50" i="33"/>
  <c r="V50" i="33"/>
  <c r="R50" i="33"/>
  <c r="N50" i="33"/>
  <c r="J50" i="33"/>
  <c r="F50" i="33"/>
  <c r="B50" i="33"/>
  <c r="Z49" i="33"/>
  <c r="V49" i="33"/>
  <c r="R49" i="33"/>
  <c r="N49" i="33"/>
  <c r="J49" i="33"/>
  <c r="F49" i="33"/>
  <c r="B49" i="33"/>
  <c r="Z48" i="33"/>
  <c r="V48" i="33"/>
  <c r="R48" i="33"/>
  <c r="N48" i="33"/>
  <c r="J48" i="33"/>
  <c r="F48" i="33"/>
  <c r="B48" i="33"/>
  <c r="Z47" i="33"/>
  <c r="V47" i="33"/>
  <c r="R47" i="33"/>
  <c r="N47" i="33"/>
  <c r="J47" i="33"/>
  <c r="F47" i="33"/>
  <c r="B47" i="33"/>
  <c r="Z46" i="33"/>
  <c r="V46" i="33"/>
  <c r="R46" i="33"/>
  <c r="N46" i="33"/>
  <c r="J46" i="33"/>
  <c r="F46" i="33"/>
  <c r="B46" i="33"/>
  <c r="Z45" i="33"/>
  <c r="V45" i="33"/>
  <c r="R45" i="33"/>
  <c r="N45" i="33"/>
  <c r="J45" i="33"/>
  <c r="F45" i="33"/>
  <c r="B45" i="33"/>
  <c r="Z44" i="33"/>
  <c r="V44" i="33"/>
  <c r="R44" i="33"/>
  <c r="N44" i="33"/>
  <c r="J44" i="33"/>
  <c r="F44" i="33"/>
  <c r="B44" i="33"/>
  <c r="A1" i="33"/>
  <c r="Z253" i="32"/>
  <c r="V253" i="32"/>
  <c r="R253" i="32"/>
  <c r="N253" i="32"/>
  <c r="J253" i="32"/>
  <c r="F253" i="32"/>
  <c r="B253" i="32"/>
  <c r="Z252" i="32"/>
  <c r="V252" i="32"/>
  <c r="R252" i="32"/>
  <c r="N252" i="32"/>
  <c r="J252" i="32"/>
  <c r="F252" i="32"/>
  <c r="B252" i="32"/>
  <c r="Z251" i="32"/>
  <c r="V251" i="32"/>
  <c r="R251" i="32"/>
  <c r="N251" i="32"/>
  <c r="J251" i="32"/>
  <c r="F251" i="32"/>
  <c r="B251" i="32"/>
  <c r="Z250" i="32"/>
  <c r="V250" i="32"/>
  <c r="R250" i="32"/>
  <c r="N250" i="32"/>
  <c r="J250" i="32"/>
  <c r="F250" i="32"/>
  <c r="B250" i="32"/>
  <c r="Z249" i="32"/>
  <c r="V249" i="32"/>
  <c r="R249" i="32"/>
  <c r="N249" i="32"/>
  <c r="J249" i="32"/>
  <c r="F249" i="32"/>
  <c r="B249" i="32"/>
  <c r="Z248" i="32"/>
  <c r="V248" i="32"/>
  <c r="R248" i="32"/>
  <c r="N248" i="32"/>
  <c r="J248" i="32"/>
  <c r="F248" i="32"/>
  <c r="B248" i="32"/>
  <c r="Z247" i="32"/>
  <c r="V247" i="32"/>
  <c r="R247" i="32"/>
  <c r="N247" i="32"/>
  <c r="J247" i="32"/>
  <c r="F247" i="32"/>
  <c r="B247" i="32"/>
  <c r="Z246" i="32"/>
  <c r="V246" i="32"/>
  <c r="R246" i="32"/>
  <c r="N246" i="32"/>
  <c r="J246" i="32"/>
  <c r="F246" i="32"/>
  <c r="B246" i="32"/>
  <c r="Z245" i="32"/>
  <c r="V245" i="32"/>
  <c r="R245" i="32"/>
  <c r="N245" i="32"/>
  <c r="J245" i="32"/>
  <c r="F245" i="32"/>
  <c r="B245" i="32"/>
  <c r="Z244" i="32"/>
  <c r="V244" i="32"/>
  <c r="R244" i="32"/>
  <c r="N244" i="32"/>
  <c r="J244" i="32"/>
  <c r="F244" i="32"/>
  <c r="B244" i="32"/>
  <c r="Z243" i="32"/>
  <c r="V243" i="32"/>
  <c r="R243" i="32"/>
  <c r="N243" i="32"/>
  <c r="J243" i="32"/>
  <c r="F243" i="32"/>
  <c r="B243" i="32"/>
  <c r="Z242" i="32"/>
  <c r="V242" i="32"/>
  <c r="R242" i="32"/>
  <c r="N242" i="32"/>
  <c r="J242" i="32"/>
  <c r="F242" i="32"/>
  <c r="B242" i="32"/>
  <c r="Z241" i="32"/>
  <c r="V241" i="32"/>
  <c r="R241" i="32"/>
  <c r="N241" i="32"/>
  <c r="J241" i="32"/>
  <c r="F241" i="32"/>
  <c r="B241" i="32"/>
  <c r="Z240" i="32"/>
  <c r="V240" i="32"/>
  <c r="R240" i="32"/>
  <c r="N240" i="32"/>
  <c r="J240" i="32"/>
  <c r="F240" i="32"/>
  <c r="B240" i="32"/>
  <c r="Z239" i="32"/>
  <c r="V239" i="32"/>
  <c r="R239" i="32"/>
  <c r="N239" i="32"/>
  <c r="J239" i="32"/>
  <c r="F239" i="32"/>
  <c r="B239" i="32"/>
  <c r="Z238" i="32"/>
  <c r="V238" i="32"/>
  <c r="R238" i="32"/>
  <c r="N238" i="32"/>
  <c r="J238" i="32"/>
  <c r="F238" i="32"/>
  <c r="B238" i="32"/>
  <c r="Z237" i="32"/>
  <c r="V237" i="32"/>
  <c r="R237" i="32"/>
  <c r="N237" i="32"/>
  <c r="J237" i="32"/>
  <c r="F237" i="32"/>
  <c r="B237" i="32"/>
  <c r="Z236" i="32"/>
  <c r="V236" i="32"/>
  <c r="R236" i="32"/>
  <c r="N236" i="32"/>
  <c r="J236" i="32"/>
  <c r="F236" i="32"/>
  <c r="B236" i="32"/>
  <c r="Z235" i="32"/>
  <c r="V235" i="32"/>
  <c r="R235" i="32"/>
  <c r="N235" i="32"/>
  <c r="J235" i="32"/>
  <c r="F235" i="32"/>
  <c r="B235" i="32"/>
  <c r="Z234" i="32"/>
  <c r="V234" i="32"/>
  <c r="R234" i="32"/>
  <c r="N234" i="32"/>
  <c r="J234" i="32"/>
  <c r="F234" i="32"/>
  <c r="B234" i="32"/>
  <c r="Z233" i="32"/>
  <c r="V233" i="32"/>
  <c r="R233" i="32"/>
  <c r="N233" i="32"/>
  <c r="J233" i="32"/>
  <c r="F233" i="32"/>
  <c r="B233" i="32"/>
  <c r="Z232" i="32"/>
  <c r="V232" i="32"/>
  <c r="R232" i="32"/>
  <c r="N232" i="32"/>
  <c r="J232" i="32"/>
  <c r="F232" i="32"/>
  <c r="B232" i="32"/>
  <c r="Z231" i="32"/>
  <c r="V231" i="32"/>
  <c r="R231" i="32"/>
  <c r="N231" i="32"/>
  <c r="J231" i="32"/>
  <c r="F231" i="32"/>
  <c r="B231" i="32"/>
  <c r="Z230" i="32"/>
  <c r="V230" i="32"/>
  <c r="R230" i="32"/>
  <c r="N230" i="32"/>
  <c r="J230" i="32"/>
  <c r="F230" i="32"/>
  <c r="B230" i="32"/>
  <c r="Z229" i="32"/>
  <c r="V229" i="32"/>
  <c r="R229" i="32"/>
  <c r="N229" i="32"/>
  <c r="J229" i="32"/>
  <c r="F229" i="32"/>
  <c r="B229" i="32"/>
  <c r="Z228" i="32"/>
  <c r="V228" i="32"/>
  <c r="R228" i="32"/>
  <c r="N228" i="32"/>
  <c r="J228" i="32"/>
  <c r="F228" i="32"/>
  <c r="B228" i="32"/>
  <c r="Z227" i="32"/>
  <c r="V227" i="32"/>
  <c r="R227" i="32"/>
  <c r="N227" i="32"/>
  <c r="J227" i="32"/>
  <c r="F227" i="32"/>
  <c r="B227" i="32"/>
  <c r="Z226" i="32"/>
  <c r="V226" i="32"/>
  <c r="R226" i="32"/>
  <c r="N226" i="32"/>
  <c r="J226" i="32"/>
  <c r="F226" i="32"/>
  <c r="B226" i="32"/>
  <c r="Z225" i="32"/>
  <c r="V225" i="32"/>
  <c r="R225" i="32"/>
  <c r="N225" i="32"/>
  <c r="J225" i="32"/>
  <c r="F225" i="32"/>
  <c r="B225" i="32"/>
  <c r="Z224" i="32"/>
  <c r="V224" i="32"/>
  <c r="R224" i="32"/>
  <c r="N224" i="32"/>
  <c r="J224" i="32"/>
  <c r="F224" i="32"/>
  <c r="B224" i="32"/>
  <c r="Z223" i="32"/>
  <c r="V223" i="32"/>
  <c r="R223" i="32"/>
  <c r="N223" i="32"/>
  <c r="J223" i="32"/>
  <c r="F223" i="32"/>
  <c r="B223" i="32"/>
  <c r="Z222" i="32"/>
  <c r="V222" i="32"/>
  <c r="R222" i="32"/>
  <c r="N222" i="32"/>
  <c r="J222" i="32"/>
  <c r="F222" i="32"/>
  <c r="B222" i="32"/>
  <c r="Z221" i="32"/>
  <c r="V221" i="32"/>
  <c r="R221" i="32"/>
  <c r="N221" i="32"/>
  <c r="J221" i="32"/>
  <c r="F221" i="32"/>
  <c r="B221" i="32"/>
  <c r="Z220" i="32"/>
  <c r="V220" i="32"/>
  <c r="R220" i="32"/>
  <c r="N220" i="32"/>
  <c r="J220" i="32"/>
  <c r="F220" i="32"/>
  <c r="B220" i="32"/>
  <c r="Z219" i="32"/>
  <c r="V219" i="32"/>
  <c r="R219" i="32"/>
  <c r="N219" i="32"/>
  <c r="J219" i="32"/>
  <c r="F219" i="32"/>
  <c r="B219" i="32"/>
  <c r="Z218" i="32"/>
  <c r="V218" i="32"/>
  <c r="R218" i="32"/>
  <c r="N218" i="32"/>
  <c r="J218" i="32"/>
  <c r="F218" i="32"/>
  <c r="B218" i="32"/>
  <c r="Z217" i="32"/>
  <c r="V217" i="32"/>
  <c r="R217" i="32"/>
  <c r="N217" i="32"/>
  <c r="J217" i="32"/>
  <c r="F217" i="32"/>
  <c r="B217" i="32"/>
  <c r="Z216" i="32"/>
  <c r="V216" i="32"/>
  <c r="R216" i="32"/>
  <c r="N216" i="32"/>
  <c r="J216" i="32"/>
  <c r="F216" i="32"/>
  <c r="B216" i="32"/>
  <c r="Z215" i="32"/>
  <c r="V215" i="32"/>
  <c r="R215" i="32"/>
  <c r="N215" i="32"/>
  <c r="J215" i="32"/>
  <c r="F215" i="32"/>
  <c r="B215" i="32"/>
  <c r="Z214" i="32"/>
  <c r="V214" i="32"/>
  <c r="R214" i="32"/>
  <c r="N214" i="32"/>
  <c r="J214" i="32"/>
  <c r="F214" i="32"/>
  <c r="B214" i="32"/>
  <c r="Z213" i="32"/>
  <c r="V213" i="32"/>
  <c r="R213" i="32"/>
  <c r="N213" i="32"/>
  <c r="J213" i="32"/>
  <c r="F213" i="32"/>
  <c r="B213" i="32"/>
  <c r="Z212" i="32"/>
  <c r="V212" i="32"/>
  <c r="R212" i="32"/>
  <c r="N212" i="32"/>
  <c r="J212" i="32"/>
  <c r="F212" i="32"/>
  <c r="B212" i="32"/>
  <c r="Z211" i="32"/>
  <c r="V211" i="32"/>
  <c r="R211" i="32"/>
  <c r="N211" i="32"/>
  <c r="J211" i="32"/>
  <c r="F211" i="32"/>
  <c r="B211" i="32"/>
  <c r="Z210" i="32"/>
  <c r="V210" i="32"/>
  <c r="R210" i="32"/>
  <c r="N210" i="32"/>
  <c r="J210" i="32"/>
  <c r="F210" i="32"/>
  <c r="B210" i="32"/>
  <c r="Z209" i="32"/>
  <c r="V209" i="32"/>
  <c r="R209" i="32"/>
  <c r="N209" i="32"/>
  <c r="J209" i="32"/>
  <c r="F209" i="32"/>
  <c r="B209" i="32"/>
  <c r="Z208" i="32"/>
  <c r="V208" i="32"/>
  <c r="R208" i="32"/>
  <c r="N208" i="32"/>
  <c r="J208" i="32"/>
  <c r="F208" i="32"/>
  <c r="B208" i="32"/>
  <c r="Z207" i="32"/>
  <c r="V207" i="32"/>
  <c r="R207" i="32"/>
  <c r="N207" i="32"/>
  <c r="J207" i="32"/>
  <c r="F207" i="32"/>
  <c r="B207" i="32"/>
  <c r="Z206" i="32"/>
  <c r="V206" i="32"/>
  <c r="R206" i="32"/>
  <c r="N206" i="32"/>
  <c r="J206" i="32"/>
  <c r="F206" i="32"/>
  <c r="B206" i="32"/>
  <c r="Z205" i="32"/>
  <c r="V205" i="32"/>
  <c r="R205" i="32"/>
  <c r="N205" i="32"/>
  <c r="J205" i="32"/>
  <c r="F205" i="32"/>
  <c r="B205" i="32"/>
  <c r="Z204" i="32"/>
  <c r="V204" i="32"/>
  <c r="R204" i="32"/>
  <c r="N204" i="32"/>
  <c r="J204" i="32"/>
  <c r="F204" i="32"/>
  <c r="B204" i="32"/>
  <c r="Z203" i="32"/>
  <c r="V203" i="32"/>
  <c r="R203" i="32"/>
  <c r="N203" i="32"/>
  <c r="J203" i="32"/>
  <c r="F203" i="32"/>
  <c r="B203" i="32"/>
  <c r="Z202" i="32"/>
  <c r="V202" i="32"/>
  <c r="R202" i="32"/>
  <c r="N202" i="32"/>
  <c r="J202" i="32"/>
  <c r="F202" i="32"/>
  <c r="B202" i="32"/>
  <c r="Z201" i="32"/>
  <c r="V201" i="32"/>
  <c r="R201" i="32"/>
  <c r="N201" i="32"/>
  <c r="J201" i="32"/>
  <c r="F201" i="32"/>
  <c r="B201" i="32"/>
  <c r="Z200" i="32"/>
  <c r="V200" i="32"/>
  <c r="R200" i="32"/>
  <c r="N200" i="32"/>
  <c r="J200" i="32"/>
  <c r="F200" i="32"/>
  <c r="B200" i="32"/>
  <c r="Z199" i="32"/>
  <c r="V199" i="32"/>
  <c r="R199" i="32"/>
  <c r="N199" i="32"/>
  <c r="J199" i="32"/>
  <c r="F199" i="32"/>
  <c r="B199" i="32"/>
  <c r="Z198" i="32"/>
  <c r="V198" i="32"/>
  <c r="R198" i="32"/>
  <c r="N198" i="32"/>
  <c r="J198" i="32"/>
  <c r="F198" i="32"/>
  <c r="B198" i="32"/>
  <c r="Z197" i="32"/>
  <c r="V197" i="32"/>
  <c r="R197" i="32"/>
  <c r="N197" i="32"/>
  <c r="J197" i="32"/>
  <c r="F197" i="32"/>
  <c r="B197" i="32"/>
  <c r="Z196" i="32"/>
  <c r="V196" i="32"/>
  <c r="R196" i="32"/>
  <c r="N196" i="32"/>
  <c r="J196" i="32"/>
  <c r="F196" i="32"/>
  <c r="B196" i="32"/>
  <c r="Z195" i="32"/>
  <c r="V195" i="32"/>
  <c r="R195" i="32"/>
  <c r="N195" i="32"/>
  <c r="J195" i="32"/>
  <c r="F195" i="32"/>
  <c r="B195" i="32"/>
  <c r="Z194" i="32"/>
  <c r="V194" i="32"/>
  <c r="R194" i="32"/>
  <c r="N194" i="32"/>
  <c r="J194" i="32"/>
  <c r="F194" i="32"/>
  <c r="B194" i="32"/>
  <c r="Z193" i="32"/>
  <c r="V193" i="32"/>
  <c r="R193" i="32"/>
  <c r="N193" i="32"/>
  <c r="J193" i="32"/>
  <c r="F193" i="32"/>
  <c r="B193" i="32"/>
  <c r="Z192" i="32"/>
  <c r="V192" i="32"/>
  <c r="R192" i="32"/>
  <c r="N192" i="32"/>
  <c r="J192" i="32"/>
  <c r="F192" i="32"/>
  <c r="B192" i="32"/>
  <c r="Z191" i="32"/>
  <c r="V191" i="32"/>
  <c r="R191" i="32"/>
  <c r="N191" i="32"/>
  <c r="J191" i="32"/>
  <c r="F191" i="32"/>
  <c r="B191" i="32"/>
  <c r="Z190" i="32"/>
  <c r="V190" i="32"/>
  <c r="R190" i="32"/>
  <c r="N190" i="32"/>
  <c r="J190" i="32"/>
  <c r="F190" i="32"/>
  <c r="B190" i="32"/>
  <c r="Z189" i="32"/>
  <c r="V189" i="32"/>
  <c r="R189" i="32"/>
  <c r="N189" i="32"/>
  <c r="J189" i="32"/>
  <c r="F189" i="32"/>
  <c r="B189" i="32"/>
  <c r="Z188" i="32"/>
  <c r="V188" i="32"/>
  <c r="R188" i="32"/>
  <c r="N188" i="32"/>
  <c r="J188" i="32"/>
  <c r="F188" i="32"/>
  <c r="B188" i="32"/>
  <c r="Z187" i="32"/>
  <c r="V187" i="32"/>
  <c r="R187" i="32"/>
  <c r="N187" i="32"/>
  <c r="J187" i="32"/>
  <c r="F187" i="32"/>
  <c r="B187" i="32"/>
  <c r="Z186" i="32"/>
  <c r="V186" i="32"/>
  <c r="R186" i="32"/>
  <c r="N186" i="32"/>
  <c r="J186" i="32"/>
  <c r="F186" i="32"/>
  <c r="B186" i="32"/>
  <c r="Z185" i="32"/>
  <c r="V185" i="32"/>
  <c r="R185" i="32"/>
  <c r="N185" i="32"/>
  <c r="J185" i="32"/>
  <c r="F185" i="32"/>
  <c r="B185" i="32"/>
  <c r="Z184" i="32"/>
  <c r="V184" i="32"/>
  <c r="R184" i="32"/>
  <c r="N184" i="32"/>
  <c r="J184" i="32"/>
  <c r="F184" i="32"/>
  <c r="B184" i="32"/>
  <c r="Z183" i="32"/>
  <c r="V183" i="32"/>
  <c r="R183" i="32"/>
  <c r="N183" i="32"/>
  <c r="J183" i="32"/>
  <c r="F183" i="32"/>
  <c r="B183" i="32"/>
  <c r="Z182" i="32"/>
  <c r="V182" i="32"/>
  <c r="R182" i="32"/>
  <c r="N182" i="32"/>
  <c r="J182" i="32"/>
  <c r="F182" i="32"/>
  <c r="B182" i="32"/>
  <c r="Z181" i="32"/>
  <c r="V181" i="32"/>
  <c r="R181" i="32"/>
  <c r="N181" i="32"/>
  <c r="J181" i="32"/>
  <c r="F181" i="32"/>
  <c r="B181" i="32"/>
  <c r="Z180" i="32"/>
  <c r="V180" i="32"/>
  <c r="R180" i="32"/>
  <c r="N180" i="32"/>
  <c r="J180" i="32"/>
  <c r="F180" i="32"/>
  <c r="B180" i="32"/>
  <c r="Z179" i="32"/>
  <c r="V179" i="32"/>
  <c r="R179" i="32"/>
  <c r="N179" i="32"/>
  <c r="J179" i="32"/>
  <c r="F179" i="32"/>
  <c r="B179" i="32"/>
  <c r="Z178" i="32"/>
  <c r="V178" i="32"/>
  <c r="R178" i="32"/>
  <c r="N178" i="32"/>
  <c r="J178" i="32"/>
  <c r="F178" i="32"/>
  <c r="B178" i="32"/>
  <c r="Z177" i="32"/>
  <c r="V177" i="32"/>
  <c r="R177" i="32"/>
  <c r="N177" i="32"/>
  <c r="J177" i="32"/>
  <c r="F177" i="32"/>
  <c r="B177" i="32"/>
  <c r="Z176" i="32"/>
  <c r="V176" i="32"/>
  <c r="R176" i="32"/>
  <c r="N176" i="32"/>
  <c r="J176" i="32"/>
  <c r="F176" i="32"/>
  <c r="B176" i="32"/>
  <c r="Z175" i="32"/>
  <c r="V175" i="32"/>
  <c r="R175" i="32"/>
  <c r="N175" i="32"/>
  <c r="J175" i="32"/>
  <c r="F175" i="32"/>
  <c r="B175" i="32"/>
  <c r="Z174" i="32"/>
  <c r="V174" i="32"/>
  <c r="R174" i="32"/>
  <c r="N174" i="32"/>
  <c r="J174" i="32"/>
  <c r="F174" i="32"/>
  <c r="B174" i="32"/>
  <c r="Z173" i="32"/>
  <c r="V173" i="32"/>
  <c r="R173" i="32"/>
  <c r="N173" i="32"/>
  <c r="J173" i="32"/>
  <c r="F173" i="32"/>
  <c r="B173" i="32"/>
  <c r="Z172" i="32"/>
  <c r="V172" i="32"/>
  <c r="R172" i="32"/>
  <c r="N172" i="32"/>
  <c r="J172" i="32"/>
  <c r="F172" i="32"/>
  <c r="B172" i="32"/>
  <c r="Z171" i="32"/>
  <c r="V171" i="32"/>
  <c r="R171" i="32"/>
  <c r="N171" i="32"/>
  <c r="J171" i="32"/>
  <c r="F171" i="32"/>
  <c r="B171" i="32"/>
  <c r="Z170" i="32"/>
  <c r="V170" i="32"/>
  <c r="R170" i="32"/>
  <c r="N170" i="32"/>
  <c r="J170" i="32"/>
  <c r="F170" i="32"/>
  <c r="B170" i="32"/>
  <c r="Z169" i="32"/>
  <c r="V169" i="32"/>
  <c r="R169" i="32"/>
  <c r="N169" i="32"/>
  <c r="J169" i="32"/>
  <c r="F169" i="32"/>
  <c r="B169" i="32"/>
  <c r="Z168" i="32"/>
  <c r="V168" i="32"/>
  <c r="R168" i="32"/>
  <c r="N168" i="32"/>
  <c r="J168" i="32"/>
  <c r="F168" i="32"/>
  <c r="B168" i="32"/>
  <c r="Z167" i="32"/>
  <c r="V167" i="32"/>
  <c r="R167" i="32"/>
  <c r="N167" i="32"/>
  <c r="J167" i="32"/>
  <c r="F167" i="32"/>
  <c r="B167" i="32"/>
  <c r="Z166" i="32"/>
  <c r="V166" i="32"/>
  <c r="R166" i="32"/>
  <c r="N166" i="32"/>
  <c r="J166" i="32"/>
  <c r="F166" i="32"/>
  <c r="B166" i="32"/>
  <c r="Z165" i="32"/>
  <c r="V165" i="32"/>
  <c r="R165" i="32"/>
  <c r="N165" i="32"/>
  <c r="J165" i="32"/>
  <c r="F165" i="32"/>
  <c r="B165" i="32"/>
  <c r="Z164" i="32"/>
  <c r="V164" i="32"/>
  <c r="R164" i="32"/>
  <c r="N164" i="32"/>
  <c r="J164" i="32"/>
  <c r="F164" i="32"/>
  <c r="B164" i="32"/>
  <c r="Z163" i="32"/>
  <c r="V163" i="32"/>
  <c r="R163" i="32"/>
  <c r="N163" i="32"/>
  <c r="J163" i="32"/>
  <c r="F163" i="32"/>
  <c r="B163" i="32"/>
  <c r="Z162" i="32"/>
  <c r="V162" i="32"/>
  <c r="R162" i="32"/>
  <c r="N162" i="32"/>
  <c r="J162" i="32"/>
  <c r="F162" i="32"/>
  <c r="B162" i="32"/>
  <c r="Z161" i="32"/>
  <c r="V161" i="32"/>
  <c r="R161" i="32"/>
  <c r="N161" i="32"/>
  <c r="J161" i="32"/>
  <c r="F161" i="32"/>
  <c r="B161" i="32"/>
  <c r="Z160" i="32"/>
  <c r="V160" i="32"/>
  <c r="R160" i="32"/>
  <c r="N160" i="32"/>
  <c r="J160" i="32"/>
  <c r="F160" i="32"/>
  <c r="B160" i="32"/>
  <c r="Z159" i="32"/>
  <c r="V159" i="32"/>
  <c r="R159" i="32"/>
  <c r="N159" i="32"/>
  <c r="J159" i="32"/>
  <c r="F159" i="32"/>
  <c r="B159" i="32"/>
  <c r="Z158" i="32"/>
  <c r="V158" i="32"/>
  <c r="R158" i="32"/>
  <c r="N158" i="32"/>
  <c r="J158" i="32"/>
  <c r="F158" i="32"/>
  <c r="B158" i="32"/>
  <c r="Z157" i="32"/>
  <c r="V157" i="32"/>
  <c r="R157" i="32"/>
  <c r="N157" i="32"/>
  <c r="J157" i="32"/>
  <c r="F157" i="32"/>
  <c r="B157" i="32"/>
  <c r="Z156" i="32"/>
  <c r="V156" i="32"/>
  <c r="R156" i="32"/>
  <c r="N156" i="32"/>
  <c r="J156" i="32"/>
  <c r="F156" i="32"/>
  <c r="B156" i="32"/>
  <c r="Z155" i="32"/>
  <c r="V155" i="32"/>
  <c r="R155" i="32"/>
  <c r="N155" i="32"/>
  <c r="J155" i="32"/>
  <c r="F155" i="32"/>
  <c r="B155" i="32"/>
  <c r="Z154" i="32"/>
  <c r="V154" i="32"/>
  <c r="R154" i="32"/>
  <c r="N154" i="32"/>
  <c r="J154" i="32"/>
  <c r="F154" i="32"/>
  <c r="B154" i="32"/>
  <c r="Z153" i="32"/>
  <c r="V153" i="32"/>
  <c r="R153" i="32"/>
  <c r="N153" i="32"/>
  <c r="J153" i="32"/>
  <c r="F153" i="32"/>
  <c r="B153" i="32"/>
  <c r="Z152" i="32"/>
  <c r="V152" i="32"/>
  <c r="R152" i="32"/>
  <c r="N152" i="32"/>
  <c r="J152" i="32"/>
  <c r="F152" i="32"/>
  <c r="B152" i="32"/>
  <c r="Z151" i="32"/>
  <c r="V151" i="32"/>
  <c r="R151" i="32"/>
  <c r="N151" i="32"/>
  <c r="J151" i="32"/>
  <c r="F151" i="32"/>
  <c r="B151" i="32"/>
  <c r="Z150" i="32"/>
  <c r="V150" i="32"/>
  <c r="R150" i="32"/>
  <c r="N150" i="32"/>
  <c r="J150" i="32"/>
  <c r="F150" i="32"/>
  <c r="B150" i="32"/>
  <c r="Z149" i="32"/>
  <c r="V149" i="32"/>
  <c r="R149" i="32"/>
  <c r="N149" i="32"/>
  <c r="J149" i="32"/>
  <c r="F149" i="32"/>
  <c r="B149" i="32"/>
  <c r="Z148" i="32"/>
  <c r="V148" i="32"/>
  <c r="R148" i="32"/>
  <c r="N148" i="32"/>
  <c r="J148" i="32"/>
  <c r="F148" i="32"/>
  <c r="B148" i="32"/>
  <c r="Z147" i="32"/>
  <c r="V147" i="32"/>
  <c r="R147" i="32"/>
  <c r="N147" i="32"/>
  <c r="J147" i="32"/>
  <c r="F147" i="32"/>
  <c r="B147" i="32"/>
  <c r="Z146" i="32"/>
  <c r="V146" i="32"/>
  <c r="R146" i="32"/>
  <c r="N146" i="32"/>
  <c r="J146" i="32"/>
  <c r="F146" i="32"/>
  <c r="B146" i="32"/>
  <c r="Z145" i="32"/>
  <c r="V145" i="32"/>
  <c r="R145" i="32"/>
  <c r="N145" i="32"/>
  <c r="J145" i="32"/>
  <c r="F145" i="32"/>
  <c r="B145" i="32"/>
  <c r="Z144" i="32"/>
  <c r="V144" i="32"/>
  <c r="R144" i="32"/>
  <c r="N144" i="32"/>
  <c r="J144" i="32"/>
  <c r="F144" i="32"/>
  <c r="B144" i="32"/>
  <c r="Z143" i="32"/>
  <c r="V143" i="32"/>
  <c r="R143" i="32"/>
  <c r="N143" i="32"/>
  <c r="J143" i="32"/>
  <c r="F143" i="32"/>
  <c r="B143" i="32"/>
  <c r="Z142" i="32"/>
  <c r="V142" i="32"/>
  <c r="R142" i="32"/>
  <c r="N142" i="32"/>
  <c r="J142" i="32"/>
  <c r="F142" i="32"/>
  <c r="B142" i="32"/>
  <c r="Z141" i="32"/>
  <c r="V141" i="32"/>
  <c r="R141" i="32"/>
  <c r="N141" i="32"/>
  <c r="J141" i="32"/>
  <c r="F141" i="32"/>
  <c r="B141" i="32"/>
  <c r="Z140" i="32"/>
  <c r="V140" i="32"/>
  <c r="R140" i="32"/>
  <c r="N140" i="32"/>
  <c r="J140" i="32"/>
  <c r="F140" i="32"/>
  <c r="B140" i="32"/>
  <c r="Z139" i="32"/>
  <c r="V139" i="32"/>
  <c r="R139" i="32"/>
  <c r="N139" i="32"/>
  <c r="J139" i="32"/>
  <c r="F139" i="32"/>
  <c r="B139" i="32"/>
  <c r="Z138" i="32"/>
  <c r="V138" i="32"/>
  <c r="R138" i="32"/>
  <c r="N138" i="32"/>
  <c r="J138" i="32"/>
  <c r="F138" i="32"/>
  <c r="B138" i="32"/>
  <c r="Z137" i="32"/>
  <c r="V137" i="32"/>
  <c r="R137" i="32"/>
  <c r="N137" i="32"/>
  <c r="J137" i="32"/>
  <c r="F137" i="32"/>
  <c r="B137" i="32"/>
  <c r="Z136" i="32"/>
  <c r="V136" i="32"/>
  <c r="R136" i="32"/>
  <c r="N136" i="32"/>
  <c r="J136" i="32"/>
  <c r="F136" i="32"/>
  <c r="B136" i="32"/>
  <c r="Z135" i="32"/>
  <c r="V135" i="32"/>
  <c r="R135" i="32"/>
  <c r="N135" i="32"/>
  <c r="J135" i="32"/>
  <c r="F135" i="32"/>
  <c r="B135" i="32"/>
  <c r="Z134" i="32"/>
  <c r="V134" i="32"/>
  <c r="R134" i="32"/>
  <c r="N134" i="32"/>
  <c r="J134" i="32"/>
  <c r="F134" i="32"/>
  <c r="B134" i="32"/>
  <c r="Z133" i="32"/>
  <c r="V133" i="32"/>
  <c r="R133" i="32"/>
  <c r="N133" i="32"/>
  <c r="J133" i="32"/>
  <c r="F133" i="32"/>
  <c r="B133" i="32"/>
  <c r="Z132" i="32"/>
  <c r="V132" i="32"/>
  <c r="R132" i="32"/>
  <c r="N132" i="32"/>
  <c r="J132" i="32"/>
  <c r="F132" i="32"/>
  <c r="B132" i="32"/>
  <c r="Z131" i="32"/>
  <c r="V131" i="32"/>
  <c r="R131" i="32"/>
  <c r="N131" i="32"/>
  <c r="J131" i="32"/>
  <c r="F131" i="32"/>
  <c r="B131" i="32"/>
  <c r="Z130" i="32"/>
  <c r="V130" i="32"/>
  <c r="R130" i="32"/>
  <c r="N130" i="32"/>
  <c r="J130" i="32"/>
  <c r="F130" i="32"/>
  <c r="B130" i="32"/>
  <c r="Z129" i="32"/>
  <c r="V129" i="32"/>
  <c r="R129" i="32"/>
  <c r="N129" i="32"/>
  <c r="J129" i="32"/>
  <c r="F129" i="32"/>
  <c r="B129" i="32"/>
  <c r="Z128" i="32"/>
  <c r="V128" i="32"/>
  <c r="R128" i="32"/>
  <c r="N128" i="32"/>
  <c r="J128" i="32"/>
  <c r="F128" i="32"/>
  <c r="B128" i="32"/>
  <c r="Z127" i="32"/>
  <c r="V127" i="32"/>
  <c r="R127" i="32"/>
  <c r="N127" i="32"/>
  <c r="J127" i="32"/>
  <c r="F127" i="32"/>
  <c r="B127" i="32"/>
  <c r="Z126" i="32"/>
  <c r="V126" i="32"/>
  <c r="R126" i="32"/>
  <c r="N126" i="32"/>
  <c r="J126" i="32"/>
  <c r="F126" i="32"/>
  <c r="B126" i="32"/>
  <c r="Z125" i="32"/>
  <c r="V125" i="32"/>
  <c r="R125" i="32"/>
  <c r="N125" i="32"/>
  <c r="J125" i="32"/>
  <c r="F125" i="32"/>
  <c r="B125" i="32"/>
  <c r="Z124" i="32"/>
  <c r="V124" i="32"/>
  <c r="R124" i="32"/>
  <c r="N124" i="32"/>
  <c r="J124" i="32"/>
  <c r="F124" i="32"/>
  <c r="B124" i="32"/>
  <c r="Z123" i="32"/>
  <c r="V123" i="32"/>
  <c r="R123" i="32"/>
  <c r="N123" i="32"/>
  <c r="J123" i="32"/>
  <c r="F123" i="32"/>
  <c r="B123" i="32"/>
  <c r="Z122" i="32"/>
  <c r="V122" i="32"/>
  <c r="R122" i="32"/>
  <c r="N122" i="32"/>
  <c r="J122" i="32"/>
  <c r="F122" i="32"/>
  <c r="B122" i="32"/>
  <c r="Z121" i="32"/>
  <c r="V121" i="32"/>
  <c r="R121" i="32"/>
  <c r="N121" i="32"/>
  <c r="J121" i="32"/>
  <c r="F121" i="32"/>
  <c r="B121" i="32"/>
  <c r="Z120" i="32"/>
  <c r="V120" i="32"/>
  <c r="R120" i="32"/>
  <c r="N120" i="32"/>
  <c r="J120" i="32"/>
  <c r="F120" i="32"/>
  <c r="B120" i="32"/>
  <c r="Z119" i="32"/>
  <c r="V119" i="32"/>
  <c r="R119" i="32"/>
  <c r="N119" i="32"/>
  <c r="J119" i="32"/>
  <c r="F119" i="32"/>
  <c r="B119" i="32"/>
  <c r="Z118" i="32"/>
  <c r="V118" i="32"/>
  <c r="R118" i="32"/>
  <c r="N118" i="32"/>
  <c r="J118" i="32"/>
  <c r="F118" i="32"/>
  <c r="B118" i="32"/>
  <c r="Z117" i="32"/>
  <c r="V117" i="32"/>
  <c r="R117" i="32"/>
  <c r="N117" i="32"/>
  <c r="J117" i="32"/>
  <c r="F117" i="32"/>
  <c r="B117" i="32"/>
  <c r="Z116" i="32"/>
  <c r="V116" i="32"/>
  <c r="R116" i="32"/>
  <c r="N116" i="32"/>
  <c r="J116" i="32"/>
  <c r="F116" i="32"/>
  <c r="B116" i="32"/>
  <c r="Z115" i="32"/>
  <c r="V115" i="32"/>
  <c r="R115" i="32"/>
  <c r="N115" i="32"/>
  <c r="J115" i="32"/>
  <c r="F115" i="32"/>
  <c r="B115" i="32"/>
  <c r="Z114" i="32"/>
  <c r="V114" i="32"/>
  <c r="R114" i="32"/>
  <c r="N114" i="32"/>
  <c r="J114" i="32"/>
  <c r="F114" i="32"/>
  <c r="B114" i="32"/>
  <c r="Z113" i="32"/>
  <c r="V113" i="32"/>
  <c r="R113" i="32"/>
  <c r="N113" i="32"/>
  <c r="J113" i="32"/>
  <c r="F113" i="32"/>
  <c r="B113" i="32"/>
  <c r="Z112" i="32"/>
  <c r="V112" i="32"/>
  <c r="R112" i="32"/>
  <c r="N112" i="32"/>
  <c r="J112" i="32"/>
  <c r="F112" i="32"/>
  <c r="B112" i="32"/>
  <c r="Z111" i="32"/>
  <c r="V111" i="32"/>
  <c r="R111" i="32"/>
  <c r="N111" i="32"/>
  <c r="J111" i="32"/>
  <c r="F111" i="32"/>
  <c r="B111" i="32"/>
  <c r="Z110" i="32"/>
  <c r="V110" i="32"/>
  <c r="R110" i="32"/>
  <c r="N110" i="32"/>
  <c r="J110" i="32"/>
  <c r="F110" i="32"/>
  <c r="B110" i="32"/>
  <c r="Z109" i="32"/>
  <c r="V109" i="32"/>
  <c r="R109" i="32"/>
  <c r="N109" i="32"/>
  <c r="J109" i="32"/>
  <c r="F109" i="32"/>
  <c r="B109" i="32"/>
  <c r="Z108" i="32"/>
  <c r="V108" i="32"/>
  <c r="R108" i="32"/>
  <c r="N108" i="32"/>
  <c r="J108" i="32"/>
  <c r="F108" i="32"/>
  <c r="B108" i="32"/>
  <c r="Z107" i="32"/>
  <c r="V107" i="32"/>
  <c r="R107" i="32"/>
  <c r="N107" i="32"/>
  <c r="J107" i="32"/>
  <c r="F107" i="32"/>
  <c r="B107" i="32"/>
  <c r="Z106" i="32"/>
  <c r="V106" i="32"/>
  <c r="R106" i="32"/>
  <c r="N106" i="32"/>
  <c r="J106" i="32"/>
  <c r="F106" i="32"/>
  <c r="B106" i="32"/>
  <c r="Z105" i="32"/>
  <c r="V105" i="32"/>
  <c r="R105" i="32"/>
  <c r="N105" i="32"/>
  <c r="J105" i="32"/>
  <c r="F105" i="32"/>
  <c r="B105" i="32"/>
  <c r="Z104" i="32"/>
  <c r="V104" i="32"/>
  <c r="R104" i="32"/>
  <c r="N104" i="32"/>
  <c r="J104" i="32"/>
  <c r="F104" i="32"/>
  <c r="B104" i="32"/>
  <c r="Z103" i="32"/>
  <c r="V103" i="32"/>
  <c r="R103" i="32"/>
  <c r="N103" i="32"/>
  <c r="J103" i="32"/>
  <c r="F103" i="32"/>
  <c r="B103" i="32"/>
  <c r="Z102" i="32"/>
  <c r="V102" i="32"/>
  <c r="R102" i="32"/>
  <c r="N102" i="32"/>
  <c r="J102" i="32"/>
  <c r="F102" i="32"/>
  <c r="B102" i="32"/>
  <c r="Z101" i="32"/>
  <c r="V101" i="32"/>
  <c r="R101" i="32"/>
  <c r="N101" i="32"/>
  <c r="J101" i="32"/>
  <c r="F101" i="32"/>
  <c r="B101" i="32"/>
  <c r="Z100" i="32"/>
  <c r="V100" i="32"/>
  <c r="R100" i="32"/>
  <c r="N100" i="32"/>
  <c r="J100" i="32"/>
  <c r="F100" i="32"/>
  <c r="B100" i="32"/>
  <c r="Z99" i="32"/>
  <c r="V99" i="32"/>
  <c r="R99" i="32"/>
  <c r="N99" i="32"/>
  <c r="J99" i="32"/>
  <c r="F99" i="32"/>
  <c r="B99" i="32"/>
  <c r="Z98" i="32"/>
  <c r="V98" i="32"/>
  <c r="R98" i="32"/>
  <c r="N98" i="32"/>
  <c r="J98" i="32"/>
  <c r="F98" i="32"/>
  <c r="B98" i="32"/>
  <c r="Z97" i="32"/>
  <c r="V97" i="32"/>
  <c r="R97" i="32"/>
  <c r="N97" i="32"/>
  <c r="J97" i="32"/>
  <c r="F97" i="32"/>
  <c r="B97" i="32"/>
  <c r="Z96" i="32"/>
  <c r="V96" i="32"/>
  <c r="R96" i="32"/>
  <c r="N96" i="32"/>
  <c r="J96" i="32"/>
  <c r="F96" i="32"/>
  <c r="B96" i="32"/>
  <c r="Z95" i="32"/>
  <c r="V95" i="32"/>
  <c r="R95" i="32"/>
  <c r="N95" i="32"/>
  <c r="J95" i="32"/>
  <c r="F95" i="32"/>
  <c r="B95" i="32"/>
  <c r="Z94" i="32"/>
  <c r="V94" i="32"/>
  <c r="R94" i="32"/>
  <c r="N94" i="32"/>
  <c r="J94" i="32"/>
  <c r="F94" i="32"/>
  <c r="B94" i="32"/>
  <c r="Z93" i="32"/>
  <c r="V93" i="32"/>
  <c r="R93" i="32"/>
  <c r="N93" i="32"/>
  <c r="J93" i="32"/>
  <c r="F93" i="32"/>
  <c r="B93" i="32"/>
  <c r="Z92" i="32"/>
  <c r="V92" i="32"/>
  <c r="R92" i="32"/>
  <c r="N92" i="32"/>
  <c r="J92" i="32"/>
  <c r="F92" i="32"/>
  <c r="B92" i="32"/>
  <c r="Z91" i="32"/>
  <c r="V91" i="32"/>
  <c r="R91" i="32"/>
  <c r="N91" i="32"/>
  <c r="J91" i="32"/>
  <c r="F91" i="32"/>
  <c r="B91" i="32"/>
  <c r="Z90" i="32"/>
  <c r="V90" i="32"/>
  <c r="R90" i="32"/>
  <c r="N90" i="32"/>
  <c r="J90" i="32"/>
  <c r="F90" i="32"/>
  <c r="B90" i="32"/>
  <c r="Z89" i="32"/>
  <c r="V89" i="32"/>
  <c r="R89" i="32"/>
  <c r="N89" i="32"/>
  <c r="J89" i="32"/>
  <c r="F89" i="32"/>
  <c r="B89" i="32"/>
  <c r="Z88" i="32"/>
  <c r="V88" i="32"/>
  <c r="R88" i="32"/>
  <c r="N88" i="32"/>
  <c r="J88" i="32"/>
  <c r="F88" i="32"/>
  <c r="B88" i="32"/>
  <c r="Z87" i="32"/>
  <c r="V87" i="32"/>
  <c r="R87" i="32"/>
  <c r="N87" i="32"/>
  <c r="J87" i="32"/>
  <c r="F87" i="32"/>
  <c r="B87" i="32"/>
  <c r="Z86" i="32"/>
  <c r="V86" i="32"/>
  <c r="R86" i="32"/>
  <c r="N86" i="32"/>
  <c r="J86" i="32"/>
  <c r="F86" i="32"/>
  <c r="B86" i="32"/>
  <c r="Z85" i="32"/>
  <c r="V85" i="32"/>
  <c r="R85" i="32"/>
  <c r="N85" i="32"/>
  <c r="J85" i="32"/>
  <c r="F85" i="32"/>
  <c r="B85" i="32"/>
  <c r="Z84" i="32"/>
  <c r="V84" i="32"/>
  <c r="R84" i="32"/>
  <c r="N84" i="32"/>
  <c r="J84" i="32"/>
  <c r="F84" i="32"/>
  <c r="B84" i="32"/>
  <c r="Z83" i="32"/>
  <c r="V83" i="32"/>
  <c r="R83" i="32"/>
  <c r="N83" i="32"/>
  <c r="J83" i="32"/>
  <c r="F83" i="32"/>
  <c r="B83" i="32"/>
  <c r="Z82" i="32"/>
  <c r="V82" i="32"/>
  <c r="R82" i="32"/>
  <c r="N82" i="32"/>
  <c r="J82" i="32"/>
  <c r="F82" i="32"/>
  <c r="B82" i="32"/>
  <c r="Z81" i="32"/>
  <c r="V81" i="32"/>
  <c r="R81" i="32"/>
  <c r="N81" i="32"/>
  <c r="J81" i="32"/>
  <c r="F81" i="32"/>
  <c r="B81" i="32"/>
  <c r="Z80" i="32"/>
  <c r="V80" i="32"/>
  <c r="R80" i="32"/>
  <c r="N80" i="32"/>
  <c r="J80" i="32"/>
  <c r="F80" i="32"/>
  <c r="B80" i="32"/>
  <c r="Z79" i="32"/>
  <c r="V79" i="32"/>
  <c r="R79" i="32"/>
  <c r="N79" i="32"/>
  <c r="J79" i="32"/>
  <c r="F79" i="32"/>
  <c r="B79" i="32"/>
  <c r="Z78" i="32"/>
  <c r="V78" i="32"/>
  <c r="R78" i="32"/>
  <c r="N78" i="32"/>
  <c r="J78" i="32"/>
  <c r="F78" i="32"/>
  <c r="B78" i="32"/>
  <c r="Z77" i="32"/>
  <c r="V77" i="32"/>
  <c r="R77" i="32"/>
  <c r="N77" i="32"/>
  <c r="J77" i="32"/>
  <c r="F77" i="32"/>
  <c r="B77" i="32"/>
  <c r="Z76" i="32"/>
  <c r="V76" i="32"/>
  <c r="R76" i="32"/>
  <c r="N76" i="32"/>
  <c r="J76" i="32"/>
  <c r="F76" i="32"/>
  <c r="B76" i="32"/>
  <c r="Z75" i="32"/>
  <c r="V75" i="32"/>
  <c r="R75" i="32"/>
  <c r="N75" i="32"/>
  <c r="J75" i="32"/>
  <c r="F75" i="32"/>
  <c r="B75" i="32"/>
  <c r="Z74" i="32"/>
  <c r="V74" i="32"/>
  <c r="R74" i="32"/>
  <c r="N74" i="32"/>
  <c r="J74" i="32"/>
  <c r="F74" i="32"/>
  <c r="B74" i="32"/>
  <c r="Z73" i="32"/>
  <c r="V73" i="32"/>
  <c r="R73" i="32"/>
  <c r="N73" i="32"/>
  <c r="J73" i="32"/>
  <c r="F73" i="32"/>
  <c r="B73" i="32"/>
  <c r="Z72" i="32"/>
  <c r="V72" i="32"/>
  <c r="R72" i="32"/>
  <c r="N72" i="32"/>
  <c r="J72" i="32"/>
  <c r="F72" i="32"/>
  <c r="B72" i="32"/>
  <c r="Z71" i="32"/>
  <c r="V71" i="32"/>
  <c r="R71" i="32"/>
  <c r="N71" i="32"/>
  <c r="J71" i="32"/>
  <c r="F71" i="32"/>
  <c r="B71" i="32"/>
  <c r="Z70" i="32"/>
  <c r="V70" i="32"/>
  <c r="R70" i="32"/>
  <c r="N70" i="32"/>
  <c r="J70" i="32"/>
  <c r="F70" i="32"/>
  <c r="B70" i="32"/>
  <c r="Z69" i="32"/>
  <c r="V69" i="32"/>
  <c r="R69" i="32"/>
  <c r="N69" i="32"/>
  <c r="J69" i="32"/>
  <c r="F69" i="32"/>
  <c r="B69" i="32"/>
  <c r="Z68" i="32"/>
  <c r="V68" i="32"/>
  <c r="R68" i="32"/>
  <c r="N68" i="32"/>
  <c r="J68" i="32"/>
  <c r="F68" i="32"/>
  <c r="B68" i="32"/>
  <c r="Z67" i="32"/>
  <c r="V67" i="32"/>
  <c r="R67" i="32"/>
  <c r="N67" i="32"/>
  <c r="J67" i="32"/>
  <c r="F67" i="32"/>
  <c r="B67" i="32"/>
  <c r="Z66" i="32"/>
  <c r="V66" i="32"/>
  <c r="R66" i="32"/>
  <c r="N66" i="32"/>
  <c r="J66" i="32"/>
  <c r="F66" i="32"/>
  <c r="B66" i="32"/>
  <c r="Z65" i="32"/>
  <c r="V65" i="32"/>
  <c r="R65" i="32"/>
  <c r="N65" i="32"/>
  <c r="J65" i="32"/>
  <c r="F65" i="32"/>
  <c r="B65" i="32"/>
  <c r="Z64" i="32"/>
  <c r="V64" i="32"/>
  <c r="R64" i="32"/>
  <c r="N64" i="32"/>
  <c r="J64" i="32"/>
  <c r="F64" i="32"/>
  <c r="B64" i="32"/>
  <c r="Z63" i="32"/>
  <c r="V63" i="32"/>
  <c r="R63" i="32"/>
  <c r="N63" i="32"/>
  <c r="J63" i="32"/>
  <c r="F63" i="32"/>
  <c r="B63" i="32"/>
  <c r="Z62" i="32"/>
  <c r="V62" i="32"/>
  <c r="R62" i="32"/>
  <c r="N62" i="32"/>
  <c r="J62" i="32"/>
  <c r="F62" i="32"/>
  <c r="B62" i="32"/>
  <c r="Z61" i="32"/>
  <c r="V61" i="32"/>
  <c r="R61" i="32"/>
  <c r="N61" i="32"/>
  <c r="J61" i="32"/>
  <c r="F61" i="32"/>
  <c r="B61" i="32"/>
  <c r="Z60" i="32"/>
  <c r="V60" i="32"/>
  <c r="R60" i="32"/>
  <c r="N60" i="32"/>
  <c r="J60" i="32"/>
  <c r="F60" i="32"/>
  <c r="B60" i="32"/>
  <c r="Z59" i="32"/>
  <c r="V59" i="32"/>
  <c r="R59" i="32"/>
  <c r="N59" i="32"/>
  <c r="J59" i="32"/>
  <c r="F59" i="32"/>
  <c r="B59" i="32"/>
  <c r="Z58" i="32"/>
  <c r="V58" i="32"/>
  <c r="R58" i="32"/>
  <c r="N58" i="32"/>
  <c r="J58" i="32"/>
  <c r="F58" i="32"/>
  <c r="B58" i="32"/>
  <c r="Z57" i="32"/>
  <c r="V57" i="32"/>
  <c r="R57" i="32"/>
  <c r="N57" i="32"/>
  <c r="J57" i="32"/>
  <c r="F57" i="32"/>
  <c r="B57" i="32"/>
  <c r="Z56" i="32"/>
  <c r="V56" i="32"/>
  <c r="R56" i="32"/>
  <c r="N56" i="32"/>
  <c r="J56" i="32"/>
  <c r="F56" i="32"/>
  <c r="B56" i="32"/>
  <c r="Z55" i="32"/>
  <c r="V55" i="32"/>
  <c r="R55" i="32"/>
  <c r="N55" i="32"/>
  <c r="J55" i="32"/>
  <c r="F55" i="32"/>
  <c r="B55" i="32"/>
  <c r="Z54" i="32"/>
  <c r="V54" i="32"/>
  <c r="R54" i="32"/>
  <c r="N54" i="32"/>
  <c r="J54" i="32"/>
  <c r="F54" i="32"/>
  <c r="B54" i="32"/>
  <c r="Z53" i="32"/>
  <c r="V53" i="32"/>
  <c r="R53" i="32"/>
  <c r="N53" i="32"/>
  <c r="J53" i="32"/>
  <c r="F53" i="32"/>
  <c r="B53" i="32"/>
  <c r="Z52" i="32"/>
  <c r="V52" i="32"/>
  <c r="R52" i="32"/>
  <c r="N52" i="32"/>
  <c r="J52" i="32"/>
  <c r="F52" i="32"/>
  <c r="B52" i="32"/>
  <c r="Z51" i="32"/>
  <c r="V51" i="32"/>
  <c r="R51" i="32"/>
  <c r="N51" i="32"/>
  <c r="J51" i="32"/>
  <c r="F51" i="32"/>
  <c r="B51" i="32"/>
  <c r="Z50" i="32"/>
  <c r="V50" i="32"/>
  <c r="R50" i="32"/>
  <c r="N50" i="32"/>
  <c r="J50" i="32"/>
  <c r="F50" i="32"/>
  <c r="B50" i="32"/>
  <c r="Z49" i="32"/>
  <c r="V49" i="32"/>
  <c r="R49" i="32"/>
  <c r="N49" i="32"/>
  <c r="J49" i="32"/>
  <c r="F49" i="32"/>
  <c r="B49" i="32"/>
  <c r="Z48" i="32"/>
  <c r="V48" i="32"/>
  <c r="R48" i="32"/>
  <c r="N48" i="32"/>
  <c r="J48" i="32"/>
  <c r="F48" i="32"/>
  <c r="B48" i="32"/>
  <c r="Z47" i="32"/>
  <c r="V47" i="32"/>
  <c r="R47" i="32"/>
  <c r="N47" i="32"/>
  <c r="J47" i="32"/>
  <c r="F47" i="32"/>
  <c r="B47" i="32"/>
  <c r="Z46" i="32"/>
  <c r="V46" i="32"/>
  <c r="R46" i="32"/>
  <c r="N46" i="32"/>
  <c r="J46" i="32"/>
  <c r="F46" i="32"/>
  <c r="B46" i="32"/>
  <c r="Z45" i="32"/>
  <c r="V45" i="32"/>
  <c r="R45" i="32"/>
  <c r="N45" i="32"/>
  <c r="J45" i="32"/>
  <c r="F45" i="32"/>
  <c r="B45" i="32"/>
  <c r="Z44" i="32"/>
  <c r="V44" i="32"/>
  <c r="R44" i="32"/>
  <c r="N44" i="32"/>
  <c r="J44" i="32"/>
  <c r="F44" i="32"/>
  <c r="B44" i="32"/>
  <c r="A1" i="32"/>
  <c r="Z253" i="31"/>
  <c r="V253" i="31"/>
  <c r="R253" i="31"/>
  <c r="N253" i="31"/>
  <c r="J253" i="31"/>
  <c r="F253" i="31"/>
  <c r="B253" i="31"/>
  <c r="Z252" i="31"/>
  <c r="V252" i="31"/>
  <c r="R252" i="31"/>
  <c r="N252" i="31"/>
  <c r="J252" i="31"/>
  <c r="F252" i="31"/>
  <c r="B252" i="31"/>
  <c r="Z251" i="31"/>
  <c r="V251" i="31"/>
  <c r="R251" i="31"/>
  <c r="N251" i="31"/>
  <c r="J251" i="31"/>
  <c r="F251" i="31"/>
  <c r="B251" i="31"/>
  <c r="Z250" i="31"/>
  <c r="V250" i="31"/>
  <c r="R250" i="31"/>
  <c r="N250" i="31"/>
  <c r="J250" i="31"/>
  <c r="F250" i="31"/>
  <c r="B250" i="31"/>
  <c r="Z249" i="31"/>
  <c r="V249" i="31"/>
  <c r="R249" i="31"/>
  <c r="N249" i="31"/>
  <c r="J249" i="31"/>
  <c r="F249" i="31"/>
  <c r="B249" i="31"/>
  <c r="Z248" i="31"/>
  <c r="V248" i="31"/>
  <c r="R248" i="31"/>
  <c r="N248" i="31"/>
  <c r="J248" i="31"/>
  <c r="F248" i="31"/>
  <c r="B248" i="31"/>
  <c r="Z247" i="31"/>
  <c r="V247" i="31"/>
  <c r="R247" i="31"/>
  <c r="N247" i="31"/>
  <c r="J247" i="31"/>
  <c r="F247" i="31"/>
  <c r="B247" i="31"/>
  <c r="Z246" i="31"/>
  <c r="V246" i="31"/>
  <c r="R246" i="31"/>
  <c r="N246" i="31"/>
  <c r="J246" i="31"/>
  <c r="F246" i="31"/>
  <c r="B246" i="31"/>
  <c r="Z245" i="31"/>
  <c r="V245" i="31"/>
  <c r="R245" i="31"/>
  <c r="N245" i="31"/>
  <c r="J245" i="31"/>
  <c r="F245" i="31"/>
  <c r="B245" i="31"/>
  <c r="Z244" i="31"/>
  <c r="V244" i="31"/>
  <c r="R244" i="31"/>
  <c r="N244" i="31"/>
  <c r="J244" i="31"/>
  <c r="F244" i="31"/>
  <c r="B244" i="31"/>
  <c r="Z243" i="31"/>
  <c r="V243" i="31"/>
  <c r="R243" i="31"/>
  <c r="N243" i="31"/>
  <c r="J243" i="31"/>
  <c r="F243" i="31"/>
  <c r="B243" i="31"/>
  <c r="Z242" i="31"/>
  <c r="V242" i="31"/>
  <c r="R242" i="31"/>
  <c r="N242" i="31"/>
  <c r="J242" i="31"/>
  <c r="F242" i="31"/>
  <c r="B242" i="31"/>
  <c r="Z241" i="31"/>
  <c r="V241" i="31"/>
  <c r="R241" i="31"/>
  <c r="N241" i="31"/>
  <c r="J241" i="31"/>
  <c r="F241" i="31"/>
  <c r="B241" i="31"/>
  <c r="Z240" i="31"/>
  <c r="V240" i="31"/>
  <c r="R240" i="31"/>
  <c r="N240" i="31"/>
  <c r="J240" i="31"/>
  <c r="F240" i="31"/>
  <c r="B240" i="31"/>
  <c r="Z239" i="31"/>
  <c r="V239" i="31"/>
  <c r="R239" i="31"/>
  <c r="N239" i="31"/>
  <c r="J239" i="31"/>
  <c r="F239" i="31"/>
  <c r="B239" i="31"/>
  <c r="Z238" i="31"/>
  <c r="V238" i="31"/>
  <c r="R238" i="31"/>
  <c r="N238" i="31"/>
  <c r="J238" i="31"/>
  <c r="F238" i="31"/>
  <c r="B238" i="31"/>
  <c r="Z237" i="31"/>
  <c r="V237" i="31"/>
  <c r="R237" i="31"/>
  <c r="N237" i="31"/>
  <c r="J237" i="31"/>
  <c r="F237" i="31"/>
  <c r="B237" i="31"/>
  <c r="Z236" i="31"/>
  <c r="V236" i="31"/>
  <c r="R236" i="31"/>
  <c r="N236" i="31"/>
  <c r="J236" i="31"/>
  <c r="F236" i="31"/>
  <c r="B236" i="31"/>
  <c r="Z235" i="31"/>
  <c r="V235" i="31"/>
  <c r="R235" i="31"/>
  <c r="N235" i="31"/>
  <c r="J235" i="31"/>
  <c r="F235" i="31"/>
  <c r="B235" i="31"/>
  <c r="Z234" i="31"/>
  <c r="V234" i="31"/>
  <c r="R234" i="31"/>
  <c r="N234" i="31"/>
  <c r="J234" i="31"/>
  <c r="F234" i="31"/>
  <c r="B234" i="31"/>
  <c r="Z233" i="31"/>
  <c r="V233" i="31"/>
  <c r="R233" i="31"/>
  <c r="N233" i="31"/>
  <c r="J233" i="31"/>
  <c r="F233" i="31"/>
  <c r="B233" i="31"/>
  <c r="Z232" i="31"/>
  <c r="V232" i="31"/>
  <c r="R232" i="31"/>
  <c r="N232" i="31"/>
  <c r="J232" i="31"/>
  <c r="F232" i="31"/>
  <c r="B232" i="31"/>
  <c r="Z231" i="31"/>
  <c r="V231" i="31"/>
  <c r="R231" i="31"/>
  <c r="N231" i="31"/>
  <c r="J231" i="31"/>
  <c r="F231" i="31"/>
  <c r="B231" i="31"/>
  <c r="Z230" i="31"/>
  <c r="V230" i="31"/>
  <c r="R230" i="31"/>
  <c r="N230" i="31"/>
  <c r="J230" i="31"/>
  <c r="F230" i="31"/>
  <c r="B230" i="31"/>
  <c r="Z229" i="31"/>
  <c r="V229" i="31"/>
  <c r="R229" i="31"/>
  <c r="N229" i="31"/>
  <c r="J229" i="31"/>
  <c r="F229" i="31"/>
  <c r="B229" i="31"/>
  <c r="Z228" i="31"/>
  <c r="V228" i="31"/>
  <c r="R228" i="31"/>
  <c r="N228" i="31"/>
  <c r="J228" i="31"/>
  <c r="F228" i="31"/>
  <c r="B228" i="31"/>
  <c r="Z227" i="31"/>
  <c r="V227" i="31"/>
  <c r="R227" i="31"/>
  <c r="N227" i="31"/>
  <c r="J227" i="31"/>
  <c r="F227" i="31"/>
  <c r="B227" i="31"/>
  <c r="Z226" i="31"/>
  <c r="V226" i="31"/>
  <c r="R226" i="31"/>
  <c r="N226" i="31"/>
  <c r="J226" i="31"/>
  <c r="F226" i="31"/>
  <c r="B226" i="31"/>
  <c r="Z225" i="31"/>
  <c r="V225" i="31"/>
  <c r="R225" i="31"/>
  <c r="N225" i="31"/>
  <c r="J225" i="31"/>
  <c r="F225" i="31"/>
  <c r="B225" i="31"/>
  <c r="Z224" i="31"/>
  <c r="V224" i="31"/>
  <c r="R224" i="31"/>
  <c r="N224" i="31"/>
  <c r="J224" i="31"/>
  <c r="F224" i="31"/>
  <c r="B224" i="31"/>
  <c r="Z223" i="31"/>
  <c r="V223" i="31"/>
  <c r="R223" i="31"/>
  <c r="N223" i="31"/>
  <c r="J223" i="31"/>
  <c r="F223" i="31"/>
  <c r="B223" i="31"/>
  <c r="Z222" i="31"/>
  <c r="V222" i="31"/>
  <c r="R222" i="31"/>
  <c r="N222" i="31"/>
  <c r="J222" i="31"/>
  <c r="F222" i="31"/>
  <c r="B222" i="31"/>
  <c r="Z221" i="31"/>
  <c r="V221" i="31"/>
  <c r="R221" i="31"/>
  <c r="N221" i="31"/>
  <c r="J221" i="31"/>
  <c r="F221" i="31"/>
  <c r="B221" i="31"/>
  <c r="Z220" i="31"/>
  <c r="V220" i="31"/>
  <c r="R220" i="31"/>
  <c r="N220" i="31"/>
  <c r="J220" i="31"/>
  <c r="F220" i="31"/>
  <c r="B220" i="31"/>
  <c r="Z219" i="31"/>
  <c r="V219" i="31"/>
  <c r="R219" i="31"/>
  <c r="N219" i="31"/>
  <c r="J219" i="31"/>
  <c r="F219" i="31"/>
  <c r="B219" i="31"/>
  <c r="Z218" i="31"/>
  <c r="V218" i="31"/>
  <c r="R218" i="31"/>
  <c r="N218" i="31"/>
  <c r="J218" i="31"/>
  <c r="F218" i="31"/>
  <c r="B218" i="31"/>
  <c r="Z217" i="31"/>
  <c r="V217" i="31"/>
  <c r="R217" i="31"/>
  <c r="N217" i="31"/>
  <c r="J217" i="31"/>
  <c r="F217" i="31"/>
  <c r="B217" i="31"/>
  <c r="Z216" i="31"/>
  <c r="V216" i="31"/>
  <c r="R216" i="31"/>
  <c r="N216" i="31"/>
  <c r="J216" i="31"/>
  <c r="F216" i="31"/>
  <c r="B216" i="31"/>
  <c r="Z215" i="31"/>
  <c r="V215" i="31"/>
  <c r="R215" i="31"/>
  <c r="N215" i="31"/>
  <c r="J215" i="31"/>
  <c r="F215" i="31"/>
  <c r="B215" i="31"/>
  <c r="Z214" i="31"/>
  <c r="V214" i="31"/>
  <c r="R214" i="31"/>
  <c r="N214" i="31"/>
  <c r="J214" i="31"/>
  <c r="F214" i="31"/>
  <c r="B214" i="31"/>
  <c r="Z213" i="31"/>
  <c r="V213" i="31"/>
  <c r="R213" i="31"/>
  <c r="N213" i="31"/>
  <c r="J213" i="31"/>
  <c r="F213" i="31"/>
  <c r="B213" i="31"/>
  <c r="Z212" i="31"/>
  <c r="V212" i="31"/>
  <c r="R212" i="31"/>
  <c r="N212" i="31"/>
  <c r="J212" i="31"/>
  <c r="F212" i="31"/>
  <c r="B212" i="31"/>
  <c r="Z211" i="31"/>
  <c r="V211" i="31"/>
  <c r="R211" i="31"/>
  <c r="N211" i="31"/>
  <c r="J211" i="31"/>
  <c r="F211" i="31"/>
  <c r="B211" i="31"/>
  <c r="Z210" i="31"/>
  <c r="V210" i="31"/>
  <c r="R210" i="31"/>
  <c r="N210" i="31"/>
  <c r="J210" i="31"/>
  <c r="F210" i="31"/>
  <c r="B210" i="31"/>
  <c r="Z209" i="31"/>
  <c r="V209" i="31"/>
  <c r="R209" i="31"/>
  <c r="N209" i="31"/>
  <c r="J209" i="31"/>
  <c r="F209" i="31"/>
  <c r="B209" i="31"/>
  <c r="Z208" i="31"/>
  <c r="V208" i="31"/>
  <c r="R208" i="31"/>
  <c r="N208" i="31"/>
  <c r="J208" i="31"/>
  <c r="F208" i="31"/>
  <c r="B208" i="31"/>
  <c r="Z207" i="31"/>
  <c r="V207" i="31"/>
  <c r="R207" i="31"/>
  <c r="N207" i="31"/>
  <c r="J207" i="31"/>
  <c r="F207" i="31"/>
  <c r="B207" i="31"/>
  <c r="Z206" i="31"/>
  <c r="V206" i="31"/>
  <c r="R206" i="31"/>
  <c r="N206" i="31"/>
  <c r="J206" i="31"/>
  <c r="F206" i="31"/>
  <c r="B206" i="31"/>
  <c r="Z205" i="31"/>
  <c r="V205" i="31"/>
  <c r="R205" i="31"/>
  <c r="N205" i="31"/>
  <c r="J205" i="31"/>
  <c r="F205" i="31"/>
  <c r="B205" i="31"/>
  <c r="Z204" i="31"/>
  <c r="V204" i="31"/>
  <c r="R204" i="31"/>
  <c r="N204" i="31"/>
  <c r="J204" i="31"/>
  <c r="F204" i="31"/>
  <c r="B204" i="31"/>
  <c r="Z203" i="31"/>
  <c r="V203" i="31"/>
  <c r="R203" i="31"/>
  <c r="N203" i="31"/>
  <c r="J203" i="31"/>
  <c r="F203" i="31"/>
  <c r="B203" i="31"/>
  <c r="Z202" i="31"/>
  <c r="V202" i="31"/>
  <c r="R202" i="31"/>
  <c r="N202" i="31"/>
  <c r="J202" i="31"/>
  <c r="F202" i="31"/>
  <c r="B202" i="31"/>
  <c r="Z201" i="31"/>
  <c r="V201" i="31"/>
  <c r="R201" i="31"/>
  <c r="N201" i="31"/>
  <c r="J201" i="31"/>
  <c r="F201" i="31"/>
  <c r="B201" i="31"/>
  <c r="Z200" i="31"/>
  <c r="V200" i="31"/>
  <c r="R200" i="31"/>
  <c r="N200" i="31"/>
  <c r="J200" i="31"/>
  <c r="F200" i="31"/>
  <c r="B200" i="31"/>
  <c r="Z199" i="31"/>
  <c r="V199" i="31"/>
  <c r="R199" i="31"/>
  <c r="N199" i="31"/>
  <c r="J199" i="31"/>
  <c r="F199" i="31"/>
  <c r="B199" i="31"/>
  <c r="Z198" i="31"/>
  <c r="V198" i="31"/>
  <c r="R198" i="31"/>
  <c r="N198" i="31"/>
  <c r="J198" i="31"/>
  <c r="F198" i="31"/>
  <c r="B198" i="31"/>
  <c r="Z197" i="31"/>
  <c r="V197" i="31"/>
  <c r="R197" i="31"/>
  <c r="N197" i="31"/>
  <c r="J197" i="31"/>
  <c r="F197" i="31"/>
  <c r="B197" i="31"/>
  <c r="Z196" i="31"/>
  <c r="V196" i="31"/>
  <c r="R196" i="31"/>
  <c r="N196" i="31"/>
  <c r="J196" i="31"/>
  <c r="F196" i="31"/>
  <c r="B196" i="31"/>
  <c r="Z195" i="31"/>
  <c r="V195" i="31"/>
  <c r="R195" i="31"/>
  <c r="N195" i="31"/>
  <c r="J195" i="31"/>
  <c r="F195" i="31"/>
  <c r="B195" i="31"/>
  <c r="Z194" i="31"/>
  <c r="V194" i="31"/>
  <c r="R194" i="31"/>
  <c r="N194" i="31"/>
  <c r="J194" i="31"/>
  <c r="F194" i="31"/>
  <c r="B194" i="31"/>
  <c r="Z193" i="31"/>
  <c r="V193" i="31"/>
  <c r="R193" i="31"/>
  <c r="N193" i="31"/>
  <c r="J193" i="31"/>
  <c r="F193" i="31"/>
  <c r="B193" i="31"/>
  <c r="Z192" i="31"/>
  <c r="V192" i="31"/>
  <c r="R192" i="31"/>
  <c r="N192" i="31"/>
  <c r="J192" i="31"/>
  <c r="F192" i="31"/>
  <c r="B192" i="31"/>
  <c r="Z191" i="31"/>
  <c r="V191" i="31"/>
  <c r="R191" i="31"/>
  <c r="N191" i="31"/>
  <c r="J191" i="31"/>
  <c r="F191" i="31"/>
  <c r="B191" i="31"/>
  <c r="Z190" i="31"/>
  <c r="V190" i="31"/>
  <c r="R190" i="31"/>
  <c r="N190" i="31"/>
  <c r="J190" i="31"/>
  <c r="F190" i="31"/>
  <c r="B190" i="31"/>
  <c r="Z189" i="31"/>
  <c r="V189" i="31"/>
  <c r="R189" i="31"/>
  <c r="N189" i="31"/>
  <c r="J189" i="31"/>
  <c r="F189" i="31"/>
  <c r="B189" i="31"/>
  <c r="Z188" i="31"/>
  <c r="V188" i="31"/>
  <c r="R188" i="31"/>
  <c r="N188" i="31"/>
  <c r="J188" i="31"/>
  <c r="F188" i="31"/>
  <c r="B188" i="31"/>
  <c r="Z187" i="31"/>
  <c r="V187" i="31"/>
  <c r="R187" i="31"/>
  <c r="N187" i="31"/>
  <c r="J187" i="31"/>
  <c r="F187" i="31"/>
  <c r="B187" i="31"/>
  <c r="Z186" i="31"/>
  <c r="V186" i="31"/>
  <c r="R186" i="31"/>
  <c r="N186" i="31"/>
  <c r="J186" i="31"/>
  <c r="F186" i="31"/>
  <c r="B186" i="31"/>
  <c r="Z185" i="31"/>
  <c r="V185" i="31"/>
  <c r="R185" i="31"/>
  <c r="N185" i="31"/>
  <c r="J185" i="31"/>
  <c r="F185" i="31"/>
  <c r="B185" i="31"/>
  <c r="Z184" i="31"/>
  <c r="V184" i="31"/>
  <c r="R184" i="31"/>
  <c r="N184" i="31"/>
  <c r="J184" i="31"/>
  <c r="F184" i="31"/>
  <c r="B184" i="31"/>
  <c r="Z183" i="31"/>
  <c r="V183" i="31"/>
  <c r="R183" i="31"/>
  <c r="N183" i="31"/>
  <c r="J183" i="31"/>
  <c r="F183" i="31"/>
  <c r="B183" i="31"/>
  <c r="Z182" i="31"/>
  <c r="V182" i="31"/>
  <c r="R182" i="31"/>
  <c r="N182" i="31"/>
  <c r="J182" i="31"/>
  <c r="F182" i="31"/>
  <c r="B182" i="31"/>
  <c r="Z181" i="31"/>
  <c r="V181" i="31"/>
  <c r="R181" i="31"/>
  <c r="N181" i="31"/>
  <c r="J181" i="31"/>
  <c r="F181" i="31"/>
  <c r="B181" i="31"/>
  <c r="Z180" i="31"/>
  <c r="V180" i="31"/>
  <c r="R180" i="31"/>
  <c r="N180" i="31"/>
  <c r="J180" i="31"/>
  <c r="F180" i="31"/>
  <c r="B180" i="31"/>
  <c r="Z179" i="31"/>
  <c r="V179" i="31"/>
  <c r="R179" i="31"/>
  <c r="N179" i="31"/>
  <c r="J179" i="31"/>
  <c r="F179" i="31"/>
  <c r="B179" i="31"/>
  <c r="Z178" i="31"/>
  <c r="V178" i="31"/>
  <c r="R178" i="31"/>
  <c r="N178" i="31"/>
  <c r="J178" i="31"/>
  <c r="F178" i="31"/>
  <c r="B178" i="31"/>
  <c r="Z177" i="31"/>
  <c r="V177" i="31"/>
  <c r="R177" i="31"/>
  <c r="N177" i="31"/>
  <c r="J177" i="31"/>
  <c r="F177" i="31"/>
  <c r="B177" i="31"/>
  <c r="Z176" i="31"/>
  <c r="V176" i="31"/>
  <c r="R176" i="31"/>
  <c r="N176" i="31"/>
  <c r="J176" i="31"/>
  <c r="F176" i="31"/>
  <c r="B176" i="31"/>
  <c r="Z175" i="31"/>
  <c r="V175" i="31"/>
  <c r="R175" i="31"/>
  <c r="N175" i="31"/>
  <c r="J175" i="31"/>
  <c r="F175" i="31"/>
  <c r="B175" i="31"/>
  <c r="Z174" i="31"/>
  <c r="V174" i="31"/>
  <c r="R174" i="31"/>
  <c r="N174" i="31"/>
  <c r="J174" i="31"/>
  <c r="F174" i="31"/>
  <c r="B174" i="31"/>
  <c r="Z173" i="31"/>
  <c r="V173" i="31"/>
  <c r="R173" i="31"/>
  <c r="N173" i="31"/>
  <c r="J173" i="31"/>
  <c r="F173" i="31"/>
  <c r="B173" i="31"/>
  <c r="Z172" i="31"/>
  <c r="V172" i="31"/>
  <c r="R172" i="31"/>
  <c r="N172" i="31"/>
  <c r="J172" i="31"/>
  <c r="F172" i="31"/>
  <c r="B172" i="31"/>
  <c r="Z171" i="31"/>
  <c r="V171" i="31"/>
  <c r="R171" i="31"/>
  <c r="N171" i="31"/>
  <c r="J171" i="31"/>
  <c r="F171" i="31"/>
  <c r="B171" i="31"/>
  <c r="Z170" i="31"/>
  <c r="V170" i="31"/>
  <c r="R170" i="31"/>
  <c r="N170" i="31"/>
  <c r="J170" i="31"/>
  <c r="F170" i="31"/>
  <c r="B170" i="31"/>
  <c r="Z169" i="31"/>
  <c r="V169" i="31"/>
  <c r="R169" i="31"/>
  <c r="N169" i="31"/>
  <c r="J169" i="31"/>
  <c r="F169" i="31"/>
  <c r="B169" i="31"/>
  <c r="Z168" i="31"/>
  <c r="V168" i="31"/>
  <c r="R168" i="31"/>
  <c r="N168" i="31"/>
  <c r="J168" i="31"/>
  <c r="F168" i="31"/>
  <c r="B168" i="31"/>
  <c r="Z167" i="31"/>
  <c r="V167" i="31"/>
  <c r="R167" i="31"/>
  <c r="N167" i="31"/>
  <c r="J167" i="31"/>
  <c r="F167" i="31"/>
  <c r="B167" i="31"/>
  <c r="Z166" i="31"/>
  <c r="V166" i="31"/>
  <c r="R166" i="31"/>
  <c r="N166" i="31"/>
  <c r="J166" i="31"/>
  <c r="F166" i="31"/>
  <c r="B166" i="31"/>
  <c r="Z165" i="31"/>
  <c r="V165" i="31"/>
  <c r="R165" i="31"/>
  <c r="N165" i="31"/>
  <c r="J165" i="31"/>
  <c r="F165" i="31"/>
  <c r="B165" i="31"/>
  <c r="Z164" i="31"/>
  <c r="V164" i="31"/>
  <c r="R164" i="31"/>
  <c r="N164" i="31"/>
  <c r="J164" i="31"/>
  <c r="F164" i="31"/>
  <c r="B164" i="31"/>
  <c r="Z163" i="31"/>
  <c r="V163" i="31"/>
  <c r="R163" i="31"/>
  <c r="N163" i="31"/>
  <c r="J163" i="31"/>
  <c r="F163" i="31"/>
  <c r="B163" i="31"/>
  <c r="Z162" i="31"/>
  <c r="V162" i="31"/>
  <c r="R162" i="31"/>
  <c r="N162" i="31"/>
  <c r="J162" i="31"/>
  <c r="F162" i="31"/>
  <c r="B162" i="31"/>
  <c r="Z161" i="31"/>
  <c r="V161" i="31"/>
  <c r="R161" i="31"/>
  <c r="N161" i="31"/>
  <c r="J161" i="31"/>
  <c r="F161" i="31"/>
  <c r="B161" i="31"/>
  <c r="Z160" i="31"/>
  <c r="V160" i="31"/>
  <c r="R160" i="31"/>
  <c r="N160" i="31"/>
  <c r="J160" i="31"/>
  <c r="F160" i="31"/>
  <c r="B160" i="31"/>
  <c r="Z159" i="31"/>
  <c r="V159" i="31"/>
  <c r="R159" i="31"/>
  <c r="N159" i="31"/>
  <c r="J159" i="31"/>
  <c r="F159" i="31"/>
  <c r="B159" i="31"/>
  <c r="Z158" i="31"/>
  <c r="V158" i="31"/>
  <c r="R158" i="31"/>
  <c r="N158" i="31"/>
  <c r="J158" i="31"/>
  <c r="F158" i="31"/>
  <c r="B158" i="31"/>
  <c r="Z157" i="31"/>
  <c r="V157" i="31"/>
  <c r="R157" i="31"/>
  <c r="N157" i="31"/>
  <c r="J157" i="31"/>
  <c r="F157" i="31"/>
  <c r="B157" i="31"/>
  <c r="Z156" i="31"/>
  <c r="V156" i="31"/>
  <c r="R156" i="31"/>
  <c r="N156" i="31"/>
  <c r="J156" i="31"/>
  <c r="F156" i="31"/>
  <c r="B156" i="31"/>
  <c r="Z155" i="31"/>
  <c r="V155" i="31"/>
  <c r="R155" i="31"/>
  <c r="N155" i="31"/>
  <c r="J155" i="31"/>
  <c r="F155" i="31"/>
  <c r="B155" i="31"/>
  <c r="Z154" i="31"/>
  <c r="V154" i="31"/>
  <c r="R154" i="31"/>
  <c r="N154" i="31"/>
  <c r="J154" i="31"/>
  <c r="F154" i="31"/>
  <c r="B154" i="31"/>
  <c r="Z153" i="31"/>
  <c r="V153" i="31"/>
  <c r="R153" i="31"/>
  <c r="N153" i="31"/>
  <c r="J153" i="31"/>
  <c r="F153" i="31"/>
  <c r="B153" i="31"/>
  <c r="Z152" i="31"/>
  <c r="V152" i="31"/>
  <c r="R152" i="31"/>
  <c r="N152" i="31"/>
  <c r="J152" i="31"/>
  <c r="F152" i="31"/>
  <c r="B152" i="31"/>
  <c r="Z151" i="31"/>
  <c r="V151" i="31"/>
  <c r="R151" i="31"/>
  <c r="N151" i="31"/>
  <c r="J151" i="31"/>
  <c r="F151" i="31"/>
  <c r="B151" i="31"/>
  <c r="Z150" i="31"/>
  <c r="V150" i="31"/>
  <c r="R150" i="31"/>
  <c r="N150" i="31"/>
  <c r="J150" i="31"/>
  <c r="F150" i="31"/>
  <c r="B150" i="31"/>
  <c r="Z149" i="31"/>
  <c r="V149" i="31"/>
  <c r="R149" i="31"/>
  <c r="N149" i="31"/>
  <c r="J149" i="31"/>
  <c r="F149" i="31"/>
  <c r="B149" i="31"/>
  <c r="Z148" i="31"/>
  <c r="V148" i="31"/>
  <c r="R148" i="31"/>
  <c r="N148" i="31"/>
  <c r="J148" i="31"/>
  <c r="F148" i="31"/>
  <c r="B148" i="31"/>
  <c r="Z147" i="31"/>
  <c r="V147" i="31"/>
  <c r="R147" i="31"/>
  <c r="N147" i="31"/>
  <c r="J147" i="31"/>
  <c r="F147" i="31"/>
  <c r="B147" i="31"/>
  <c r="Z146" i="31"/>
  <c r="V146" i="31"/>
  <c r="R146" i="31"/>
  <c r="N146" i="31"/>
  <c r="J146" i="31"/>
  <c r="F146" i="31"/>
  <c r="B146" i="31"/>
  <c r="Z145" i="31"/>
  <c r="V145" i="31"/>
  <c r="R145" i="31"/>
  <c r="N145" i="31"/>
  <c r="J145" i="31"/>
  <c r="F145" i="31"/>
  <c r="B145" i="31"/>
  <c r="Z144" i="31"/>
  <c r="V144" i="31"/>
  <c r="R144" i="31"/>
  <c r="N144" i="31"/>
  <c r="J144" i="31"/>
  <c r="F144" i="31"/>
  <c r="B144" i="31"/>
  <c r="Z143" i="31"/>
  <c r="V143" i="31"/>
  <c r="R143" i="31"/>
  <c r="N143" i="31"/>
  <c r="J143" i="31"/>
  <c r="F143" i="31"/>
  <c r="B143" i="31"/>
  <c r="Z142" i="31"/>
  <c r="V142" i="31"/>
  <c r="R142" i="31"/>
  <c r="N142" i="31"/>
  <c r="J142" i="31"/>
  <c r="F142" i="31"/>
  <c r="B142" i="31"/>
  <c r="Z141" i="31"/>
  <c r="V141" i="31"/>
  <c r="R141" i="31"/>
  <c r="N141" i="31"/>
  <c r="J141" i="31"/>
  <c r="F141" i="31"/>
  <c r="B141" i="31"/>
  <c r="Z140" i="31"/>
  <c r="V140" i="31"/>
  <c r="R140" i="31"/>
  <c r="N140" i="31"/>
  <c r="J140" i="31"/>
  <c r="F140" i="31"/>
  <c r="B140" i="31"/>
  <c r="Z139" i="31"/>
  <c r="V139" i="31"/>
  <c r="R139" i="31"/>
  <c r="N139" i="31"/>
  <c r="J139" i="31"/>
  <c r="F139" i="31"/>
  <c r="B139" i="31"/>
  <c r="Z138" i="31"/>
  <c r="V138" i="31"/>
  <c r="R138" i="31"/>
  <c r="N138" i="31"/>
  <c r="J138" i="31"/>
  <c r="F138" i="31"/>
  <c r="B138" i="31"/>
  <c r="Z137" i="31"/>
  <c r="V137" i="31"/>
  <c r="R137" i="31"/>
  <c r="N137" i="31"/>
  <c r="J137" i="31"/>
  <c r="F137" i="31"/>
  <c r="B137" i="31"/>
  <c r="Z136" i="31"/>
  <c r="V136" i="31"/>
  <c r="R136" i="31"/>
  <c r="N136" i="31"/>
  <c r="J136" i="31"/>
  <c r="F136" i="31"/>
  <c r="B136" i="31"/>
  <c r="Z135" i="31"/>
  <c r="V135" i="31"/>
  <c r="R135" i="31"/>
  <c r="N135" i="31"/>
  <c r="J135" i="31"/>
  <c r="F135" i="31"/>
  <c r="B135" i="31"/>
  <c r="Z134" i="31"/>
  <c r="V134" i="31"/>
  <c r="R134" i="31"/>
  <c r="N134" i="31"/>
  <c r="J134" i="31"/>
  <c r="F134" i="31"/>
  <c r="B134" i="31"/>
  <c r="Z133" i="31"/>
  <c r="V133" i="31"/>
  <c r="R133" i="31"/>
  <c r="N133" i="31"/>
  <c r="J133" i="31"/>
  <c r="F133" i="31"/>
  <c r="B133" i="31"/>
  <c r="Z132" i="31"/>
  <c r="V132" i="31"/>
  <c r="R132" i="31"/>
  <c r="N132" i="31"/>
  <c r="J132" i="31"/>
  <c r="F132" i="31"/>
  <c r="B132" i="31"/>
  <c r="Z131" i="31"/>
  <c r="V131" i="31"/>
  <c r="R131" i="31"/>
  <c r="N131" i="31"/>
  <c r="J131" i="31"/>
  <c r="F131" i="31"/>
  <c r="B131" i="31"/>
  <c r="Z130" i="31"/>
  <c r="V130" i="31"/>
  <c r="R130" i="31"/>
  <c r="N130" i="31"/>
  <c r="J130" i="31"/>
  <c r="F130" i="31"/>
  <c r="B130" i="31"/>
  <c r="Z129" i="31"/>
  <c r="V129" i="31"/>
  <c r="R129" i="31"/>
  <c r="N129" i="31"/>
  <c r="J129" i="31"/>
  <c r="F129" i="31"/>
  <c r="B129" i="31"/>
  <c r="Z128" i="31"/>
  <c r="V128" i="31"/>
  <c r="R128" i="31"/>
  <c r="N128" i="31"/>
  <c r="J128" i="31"/>
  <c r="F128" i="31"/>
  <c r="B128" i="31"/>
  <c r="Z127" i="31"/>
  <c r="V127" i="31"/>
  <c r="R127" i="31"/>
  <c r="N127" i="31"/>
  <c r="J127" i="31"/>
  <c r="F127" i="31"/>
  <c r="B127" i="31"/>
  <c r="Z126" i="31"/>
  <c r="V126" i="31"/>
  <c r="R126" i="31"/>
  <c r="N126" i="31"/>
  <c r="J126" i="31"/>
  <c r="F126" i="31"/>
  <c r="B126" i="31"/>
  <c r="Z125" i="31"/>
  <c r="V125" i="31"/>
  <c r="R125" i="31"/>
  <c r="N125" i="31"/>
  <c r="J125" i="31"/>
  <c r="F125" i="31"/>
  <c r="B125" i="31"/>
  <c r="Z124" i="31"/>
  <c r="V124" i="31"/>
  <c r="R124" i="31"/>
  <c r="N124" i="31"/>
  <c r="J124" i="31"/>
  <c r="F124" i="31"/>
  <c r="B124" i="31"/>
  <c r="Z123" i="31"/>
  <c r="V123" i="31"/>
  <c r="R123" i="31"/>
  <c r="N123" i="31"/>
  <c r="J123" i="31"/>
  <c r="F123" i="31"/>
  <c r="B123" i="31"/>
  <c r="Z122" i="31"/>
  <c r="V122" i="31"/>
  <c r="R122" i="31"/>
  <c r="N122" i="31"/>
  <c r="J122" i="31"/>
  <c r="F122" i="31"/>
  <c r="B122" i="31"/>
  <c r="Z121" i="31"/>
  <c r="V121" i="31"/>
  <c r="R121" i="31"/>
  <c r="N121" i="31"/>
  <c r="J121" i="31"/>
  <c r="F121" i="31"/>
  <c r="B121" i="31"/>
  <c r="Z120" i="31"/>
  <c r="V120" i="31"/>
  <c r="R120" i="31"/>
  <c r="N120" i="31"/>
  <c r="J120" i="31"/>
  <c r="F120" i="31"/>
  <c r="B120" i="31"/>
  <c r="Z119" i="31"/>
  <c r="V119" i="31"/>
  <c r="R119" i="31"/>
  <c r="N119" i="31"/>
  <c r="J119" i="31"/>
  <c r="F119" i="31"/>
  <c r="B119" i="31"/>
  <c r="Z118" i="31"/>
  <c r="V118" i="31"/>
  <c r="R118" i="31"/>
  <c r="N118" i="31"/>
  <c r="J118" i="31"/>
  <c r="F118" i="31"/>
  <c r="B118" i="31"/>
  <c r="Z117" i="31"/>
  <c r="V117" i="31"/>
  <c r="R117" i="31"/>
  <c r="N117" i="31"/>
  <c r="J117" i="31"/>
  <c r="F117" i="31"/>
  <c r="B117" i="31"/>
  <c r="Z116" i="31"/>
  <c r="V116" i="31"/>
  <c r="R116" i="31"/>
  <c r="N116" i="31"/>
  <c r="J116" i="31"/>
  <c r="F116" i="31"/>
  <c r="B116" i="31"/>
  <c r="Z115" i="31"/>
  <c r="V115" i="31"/>
  <c r="R115" i="31"/>
  <c r="N115" i="31"/>
  <c r="J115" i="31"/>
  <c r="F115" i="31"/>
  <c r="B115" i="31"/>
  <c r="Z114" i="31"/>
  <c r="V114" i="31"/>
  <c r="R114" i="31"/>
  <c r="N114" i="31"/>
  <c r="J114" i="31"/>
  <c r="F114" i="31"/>
  <c r="B114" i="31"/>
  <c r="Z113" i="31"/>
  <c r="V113" i="31"/>
  <c r="R113" i="31"/>
  <c r="N113" i="31"/>
  <c r="J113" i="31"/>
  <c r="F113" i="31"/>
  <c r="B113" i="31"/>
  <c r="Z112" i="31"/>
  <c r="V112" i="31"/>
  <c r="R112" i="31"/>
  <c r="N112" i="31"/>
  <c r="J112" i="31"/>
  <c r="F112" i="31"/>
  <c r="B112" i="31"/>
  <c r="Z111" i="31"/>
  <c r="V111" i="31"/>
  <c r="R111" i="31"/>
  <c r="N111" i="31"/>
  <c r="J111" i="31"/>
  <c r="F111" i="31"/>
  <c r="B111" i="31"/>
  <c r="Z110" i="31"/>
  <c r="V110" i="31"/>
  <c r="R110" i="31"/>
  <c r="N110" i="31"/>
  <c r="J110" i="31"/>
  <c r="F110" i="31"/>
  <c r="B110" i="31"/>
  <c r="Z109" i="31"/>
  <c r="V109" i="31"/>
  <c r="R109" i="31"/>
  <c r="N109" i="31"/>
  <c r="J109" i="31"/>
  <c r="F109" i="31"/>
  <c r="B109" i="31"/>
  <c r="Z108" i="31"/>
  <c r="V108" i="31"/>
  <c r="R108" i="31"/>
  <c r="N108" i="31"/>
  <c r="J108" i="31"/>
  <c r="F108" i="31"/>
  <c r="B108" i="31"/>
  <c r="Z107" i="31"/>
  <c r="V107" i="31"/>
  <c r="R107" i="31"/>
  <c r="N107" i="31"/>
  <c r="J107" i="31"/>
  <c r="F107" i="31"/>
  <c r="B107" i="31"/>
  <c r="Z106" i="31"/>
  <c r="V106" i="31"/>
  <c r="R106" i="31"/>
  <c r="N106" i="31"/>
  <c r="J106" i="31"/>
  <c r="F106" i="31"/>
  <c r="B106" i="31"/>
  <c r="Z105" i="31"/>
  <c r="V105" i="31"/>
  <c r="R105" i="31"/>
  <c r="N105" i="31"/>
  <c r="J105" i="31"/>
  <c r="F105" i="31"/>
  <c r="B105" i="31"/>
  <c r="Z104" i="31"/>
  <c r="V104" i="31"/>
  <c r="R104" i="31"/>
  <c r="N104" i="31"/>
  <c r="J104" i="31"/>
  <c r="F104" i="31"/>
  <c r="B104" i="31"/>
  <c r="Z103" i="31"/>
  <c r="V103" i="31"/>
  <c r="R103" i="31"/>
  <c r="N103" i="31"/>
  <c r="J103" i="31"/>
  <c r="F103" i="31"/>
  <c r="B103" i="31"/>
  <c r="Z102" i="31"/>
  <c r="V102" i="31"/>
  <c r="R102" i="31"/>
  <c r="N102" i="31"/>
  <c r="J102" i="31"/>
  <c r="F102" i="31"/>
  <c r="B102" i="31"/>
  <c r="Z101" i="31"/>
  <c r="V101" i="31"/>
  <c r="R101" i="31"/>
  <c r="N101" i="31"/>
  <c r="J101" i="31"/>
  <c r="F101" i="31"/>
  <c r="B101" i="31"/>
  <c r="Z100" i="31"/>
  <c r="V100" i="31"/>
  <c r="R100" i="31"/>
  <c r="N100" i="31"/>
  <c r="J100" i="31"/>
  <c r="F100" i="31"/>
  <c r="B100" i="31"/>
  <c r="Z99" i="31"/>
  <c r="V99" i="31"/>
  <c r="R99" i="31"/>
  <c r="N99" i="31"/>
  <c r="J99" i="31"/>
  <c r="F99" i="31"/>
  <c r="B99" i="31"/>
  <c r="Z98" i="31"/>
  <c r="V98" i="31"/>
  <c r="R98" i="31"/>
  <c r="N98" i="31"/>
  <c r="J98" i="31"/>
  <c r="F98" i="31"/>
  <c r="B98" i="31"/>
  <c r="Z97" i="31"/>
  <c r="V97" i="31"/>
  <c r="R97" i="31"/>
  <c r="N97" i="31"/>
  <c r="J97" i="31"/>
  <c r="F97" i="31"/>
  <c r="B97" i="31"/>
  <c r="Z96" i="31"/>
  <c r="V96" i="31"/>
  <c r="R96" i="31"/>
  <c r="N96" i="31"/>
  <c r="J96" i="31"/>
  <c r="F96" i="31"/>
  <c r="B96" i="31"/>
  <c r="Z95" i="31"/>
  <c r="V95" i="31"/>
  <c r="R95" i="31"/>
  <c r="N95" i="31"/>
  <c r="J95" i="31"/>
  <c r="F95" i="31"/>
  <c r="B95" i="31"/>
  <c r="Z94" i="31"/>
  <c r="V94" i="31"/>
  <c r="R94" i="31"/>
  <c r="N94" i="31"/>
  <c r="J94" i="31"/>
  <c r="F94" i="31"/>
  <c r="B94" i="31"/>
  <c r="Z93" i="31"/>
  <c r="V93" i="31"/>
  <c r="R93" i="31"/>
  <c r="N93" i="31"/>
  <c r="J93" i="31"/>
  <c r="F93" i="31"/>
  <c r="B93" i="31"/>
  <c r="Z92" i="31"/>
  <c r="V92" i="31"/>
  <c r="R92" i="31"/>
  <c r="N92" i="31"/>
  <c r="J92" i="31"/>
  <c r="F92" i="31"/>
  <c r="B92" i="31"/>
  <c r="Z91" i="31"/>
  <c r="V91" i="31"/>
  <c r="R91" i="31"/>
  <c r="N91" i="31"/>
  <c r="J91" i="31"/>
  <c r="F91" i="31"/>
  <c r="B91" i="31"/>
  <c r="Z90" i="31"/>
  <c r="V90" i="31"/>
  <c r="R90" i="31"/>
  <c r="N90" i="31"/>
  <c r="J90" i="31"/>
  <c r="F90" i="31"/>
  <c r="B90" i="31"/>
  <c r="Z89" i="31"/>
  <c r="V89" i="31"/>
  <c r="R89" i="31"/>
  <c r="N89" i="31"/>
  <c r="J89" i="31"/>
  <c r="F89" i="31"/>
  <c r="B89" i="31"/>
  <c r="Z88" i="31"/>
  <c r="V88" i="31"/>
  <c r="R88" i="31"/>
  <c r="N88" i="31"/>
  <c r="J88" i="31"/>
  <c r="F88" i="31"/>
  <c r="B88" i="31"/>
  <c r="Z87" i="31"/>
  <c r="V87" i="31"/>
  <c r="R87" i="31"/>
  <c r="N87" i="31"/>
  <c r="J87" i="31"/>
  <c r="F87" i="31"/>
  <c r="B87" i="31"/>
  <c r="Z86" i="31"/>
  <c r="V86" i="31"/>
  <c r="R86" i="31"/>
  <c r="N86" i="31"/>
  <c r="J86" i="31"/>
  <c r="F86" i="31"/>
  <c r="B86" i="31"/>
  <c r="Z85" i="31"/>
  <c r="V85" i="31"/>
  <c r="R85" i="31"/>
  <c r="N85" i="31"/>
  <c r="J85" i="31"/>
  <c r="F85" i="31"/>
  <c r="B85" i="31"/>
  <c r="Z84" i="31"/>
  <c r="V84" i="31"/>
  <c r="R84" i="31"/>
  <c r="N84" i="31"/>
  <c r="J84" i="31"/>
  <c r="F84" i="31"/>
  <c r="B84" i="31"/>
  <c r="Z83" i="31"/>
  <c r="V83" i="31"/>
  <c r="R83" i="31"/>
  <c r="N83" i="31"/>
  <c r="J83" i="31"/>
  <c r="F83" i="31"/>
  <c r="B83" i="31"/>
  <c r="Z82" i="31"/>
  <c r="V82" i="31"/>
  <c r="R82" i="31"/>
  <c r="N82" i="31"/>
  <c r="J82" i="31"/>
  <c r="F82" i="31"/>
  <c r="B82" i="31"/>
  <c r="Z81" i="31"/>
  <c r="V81" i="31"/>
  <c r="R81" i="31"/>
  <c r="N81" i="31"/>
  <c r="J81" i="31"/>
  <c r="F81" i="31"/>
  <c r="B81" i="31"/>
  <c r="Z80" i="31"/>
  <c r="V80" i="31"/>
  <c r="R80" i="31"/>
  <c r="N80" i="31"/>
  <c r="J80" i="31"/>
  <c r="F80" i="31"/>
  <c r="B80" i="31"/>
  <c r="Z79" i="31"/>
  <c r="V79" i="31"/>
  <c r="R79" i="31"/>
  <c r="N79" i="31"/>
  <c r="J79" i="31"/>
  <c r="F79" i="31"/>
  <c r="B79" i="31"/>
  <c r="Z78" i="31"/>
  <c r="V78" i="31"/>
  <c r="R78" i="31"/>
  <c r="N78" i="31"/>
  <c r="J78" i="31"/>
  <c r="F78" i="31"/>
  <c r="B78" i="31"/>
  <c r="Z77" i="31"/>
  <c r="V77" i="31"/>
  <c r="R77" i="31"/>
  <c r="N77" i="31"/>
  <c r="J77" i="31"/>
  <c r="F77" i="31"/>
  <c r="B77" i="31"/>
  <c r="Z76" i="31"/>
  <c r="V76" i="31"/>
  <c r="R76" i="31"/>
  <c r="N76" i="31"/>
  <c r="J76" i="31"/>
  <c r="F76" i="31"/>
  <c r="B76" i="31"/>
  <c r="Z75" i="31"/>
  <c r="V75" i="31"/>
  <c r="R75" i="31"/>
  <c r="N75" i="31"/>
  <c r="J75" i="31"/>
  <c r="F75" i="31"/>
  <c r="B75" i="31"/>
  <c r="Z74" i="31"/>
  <c r="V74" i="31"/>
  <c r="R74" i="31"/>
  <c r="N74" i="31"/>
  <c r="J74" i="31"/>
  <c r="F74" i="31"/>
  <c r="B74" i="31"/>
  <c r="Z73" i="31"/>
  <c r="V73" i="31"/>
  <c r="R73" i="31"/>
  <c r="N73" i="31"/>
  <c r="J73" i="31"/>
  <c r="F73" i="31"/>
  <c r="B73" i="31"/>
  <c r="Z72" i="31"/>
  <c r="V72" i="31"/>
  <c r="R72" i="31"/>
  <c r="N72" i="31"/>
  <c r="J72" i="31"/>
  <c r="F72" i="31"/>
  <c r="B72" i="31"/>
  <c r="Z71" i="31"/>
  <c r="V71" i="31"/>
  <c r="R71" i="31"/>
  <c r="N71" i="31"/>
  <c r="J71" i="31"/>
  <c r="F71" i="31"/>
  <c r="B71" i="31"/>
  <c r="Z70" i="31"/>
  <c r="V70" i="31"/>
  <c r="R70" i="31"/>
  <c r="N70" i="31"/>
  <c r="J70" i="31"/>
  <c r="F70" i="31"/>
  <c r="B70" i="31"/>
  <c r="Z69" i="31"/>
  <c r="V69" i="31"/>
  <c r="R69" i="31"/>
  <c r="N69" i="31"/>
  <c r="J69" i="31"/>
  <c r="F69" i="31"/>
  <c r="B69" i="31"/>
  <c r="Z68" i="31"/>
  <c r="V68" i="31"/>
  <c r="R68" i="31"/>
  <c r="N68" i="31"/>
  <c r="J68" i="31"/>
  <c r="F68" i="31"/>
  <c r="B68" i="31"/>
  <c r="Z67" i="31"/>
  <c r="V67" i="31"/>
  <c r="R67" i="31"/>
  <c r="N67" i="31"/>
  <c r="J67" i="31"/>
  <c r="F67" i="31"/>
  <c r="B67" i="31"/>
  <c r="Z66" i="31"/>
  <c r="V66" i="31"/>
  <c r="R66" i="31"/>
  <c r="N66" i="31"/>
  <c r="J66" i="31"/>
  <c r="F66" i="31"/>
  <c r="B66" i="31"/>
  <c r="Z65" i="31"/>
  <c r="V65" i="31"/>
  <c r="R65" i="31"/>
  <c r="N65" i="31"/>
  <c r="J65" i="31"/>
  <c r="F65" i="31"/>
  <c r="B65" i="31"/>
  <c r="Z64" i="31"/>
  <c r="V64" i="31"/>
  <c r="R64" i="31"/>
  <c r="N64" i="31"/>
  <c r="J64" i="31"/>
  <c r="F64" i="31"/>
  <c r="B64" i="31"/>
  <c r="Z63" i="31"/>
  <c r="V63" i="31"/>
  <c r="R63" i="31"/>
  <c r="N63" i="31"/>
  <c r="J63" i="31"/>
  <c r="F63" i="31"/>
  <c r="B63" i="31"/>
  <c r="Z62" i="31"/>
  <c r="V62" i="31"/>
  <c r="R62" i="31"/>
  <c r="N62" i="31"/>
  <c r="J62" i="31"/>
  <c r="F62" i="31"/>
  <c r="B62" i="31"/>
  <c r="Z61" i="31"/>
  <c r="V61" i="31"/>
  <c r="R61" i="31"/>
  <c r="N61" i="31"/>
  <c r="J61" i="31"/>
  <c r="F61" i="31"/>
  <c r="B61" i="31"/>
  <c r="Z60" i="31"/>
  <c r="V60" i="31"/>
  <c r="R60" i="31"/>
  <c r="N60" i="31"/>
  <c r="J60" i="31"/>
  <c r="F60" i="31"/>
  <c r="B60" i="31"/>
  <c r="Z59" i="31"/>
  <c r="V59" i="31"/>
  <c r="R59" i="31"/>
  <c r="N59" i="31"/>
  <c r="J59" i="31"/>
  <c r="F59" i="31"/>
  <c r="B59" i="31"/>
  <c r="Z58" i="31"/>
  <c r="V58" i="31"/>
  <c r="R58" i="31"/>
  <c r="N58" i="31"/>
  <c r="J58" i="31"/>
  <c r="F58" i="31"/>
  <c r="B58" i="31"/>
  <c r="Z57" i="31"/>
  <c r="V57" i="31"/>
  <c r="R57" i="31"/>
  <c r="N57" i="31"/>
  <c r="J57" i="31"/>
  <c r="F57" i="31"/>
  <c r="B57" i="31"/>
  <c r="Z56" i="31"/>
  <c r="V56" i="31"/>
  <c r="R56" i="31"/>
  <c r="N56" i="31"/>
  <c r="J56" i="31"/>
  <c r="F56" i="31"/>
  <c r="B56" i="31"/>
  <c r="Z55" i="31"/>
  <c r="V55" i="31"/>
  <c r="R55" i="31"/>
  <c r="N55" i="31"/>
  <c r="J55" i="31"/>
  <c r="F55" i="31"/>
  <c r="B55" i="31"/>
  <c r="Z54" i="31"/>
  <c r="V54" i="31"/>
  <c r="R54" i="31"/>
  <c r="N54" i="31"/>
  <c r="J54" i="31"/>
  <c r="F54" i="31"/>
  <c r="B54" i="31"/>
  <c r="Z53" i="31"/>
  <c r="V53" i="31"/>
  <c r="R53" i="31"/>
  <c r="N53" i="31"/>
  <c r="J53" i="31"/>
  <c r="F53" i="31"/>
  <c r="B53" i="31"/>
  <c r="Z52" i="31"/>
  <c r="V52" i="31"/>
  <c r="R52" i="31"/>
  <c r="N52" i="31"/>
  <c r="J52" i="31"/>
  <c r="F52" i="31"/>
  <c r="B52" i="31"/>
  <c r="Z51" i="31"/>
  <c r="V51" i="31"/>
  <c r="R51" i="31"/>
  <c r="N51" i="31"/>
  <c r="J51" i="31"/>
  <c r="F51" i="31"/>
  <c r="B51" i="31"/>
  <c r="Z50" i="31"/>
  <c r="V50" i="31"/>
  <c r="R50" i="31"/>
  <c r="N50" i="31"/>
  <c r="J50" i="31"/>
  <c r="F50" i="31"/>
  <c r="B50" i="31"/>
  <c r="Z49" i="31"/>
  <c r="V49" i="31"/>
  <c r="R49" i="31"/>
  <c r="N49" i="31"/>
  <c r="J49" i="31"/>
  <c r="F49" i="31"/>
  <c r="B49" i="31"/>
  <c r="Z48" i="31"/>
  <c r="V48" i="31"/>
  <c r="R48" i="31"/>
  <c r="N48" i="31"/>
  <c r="J48" i="31"/>
  <c r="F48" i="31"/>
  <c r="B48" i="31"/>
  <c r="Z47" i="31"/>
  <c r="V47" i="31"/>
  <c r="R47" i="31"/>
  <c r="N47" i="31"/>
  <c r="J47" i="31"/>
  <c r="F47" i="31"/>
  <c r="B47" i="31"/>
  <c r="Z46" i="31"/>
  <c r="V46" i="31"/>
  <c r="R46" i="31"/>
  <c r="N46" i="31"/>
  <c r="J46" i="31"/>
  <c r="F46" i="31"/>
  <c r="B46" i="31"/>
  <c r="Z45" i="31"/>
  <c r="V45" i="31"/>
  <c r="R45" i="31"/>
  <c r="N45" i="31"/>
  <c r="J45" i="31"/>
  <c r="F45" i="31"/>
  <c r="B45" i="31"/>
  <c r="Z44" i="31"/>
  <c r="V44" i="31"/>
  <c r="R44" i="31"/>
  <c r="N44" i="31"/>
  <c r="J44" i="31"/>
  <c r="F44" i="31"/>
  <c r="B44" i="31"/>
  <c r="A1" i="31"/>
  <c r="Z253" i="30"/>
  <c r="V253" i="30"/>
  <c r="R253" i="30"/>
  <c r="N253" i="30"/>
  <c r="J253" i="30"/>
  <c r="F253" i="30"/>
  <c r="B253" i="30"/>
  <c r="Z252" i="30"/>
  <c r="V252" i="30"/>
  <c r="R252" i="30"/>
  <c r="N252" i="30"/>
  <c r="J252" i="30"/>
  <c r="F252" i="30"/>
  <c r="B252" i="30"/>
  <c r="Z251" i="30"/>
  <c r="V251" i="30"/>
  <c r="R251" i="30"/>
  <c r="N251" i="30"/>
  <c r="J251" i="30"/>
  <c r="F251" i="30"/>
  <c r="B251" i="30"/>
  <c r="Z250" i="30"/>
  <c r="V250" i="30"/>
  <c r="R250" i="30"/>
  <c r="N250" i="30"/>
  <c r="J250" i="30"/>
  <c r="F250" i="30"/>
  <c r="B250" i="30"/>
  <c r="Z249" i="30"/>
  <c r="V249" i="30"/>
  <c r="R249" i="30"/>
  <c r="N249" i="30"/>
  <c r="J249" i="30"/>
  <c r="F249" i="30"/>
  <c r="B249" i="30"/>
  <c r="Z248" i="30"/>
  <c r="V248" i="30"/>
  <c r="R248" i="30"/>
  <c r="N248" i="30"/>
  <c r="J248" i="30"/>
  <c r="F248" i="30"/>
  <c r="B248" i="30"/>
  <c r="Z247" i="30"/>
  <c r="V247" i="30"/>
  <c r="R247" i="30"/>
  <c r="N247" i="30"/>
  <c r="J247" i="30"/>
  <c r="F247" i="30"/>
  <c r="B247" i="30"/>
  <c r="Z246" i="30"/>
  <c r="V246" i="30"/>
  <c r="R246" i="30"/>
  <c r="N246" i="30"/>
  <c r="J246" i="30"/>
  <c r="F246" i="30"/>
  <c r="B246" i="30"/>
  <c r="Z245" i="30"/>
  <c r="V245" i="30"/>
  <c r="R245" i="30"/>
  <c r="N245" i="30"/>
  <c r="J245" i="30"/>
  <c r="F245" i="30"/>
  <c r="B245" i="30"/>
  <c r="Z244" i="30"/>
  <c r="V244" i="30"/>
  <c r="R244" i="30"/>
  <c r="N244" i="30"/>
  <c r="J244" i="30"/>
  <c r="F244" i="30"/>
  <c r="B244" i="30"/>
  <c r="Z243" i="30"/>
  <c r="V243" i="30"/>
  <c r="R243" i="30"/>
  <c r="N243" i="30"/>
  <c r="J243" i="30"/>
  <c r="F243" i="30"/>
  <c r="B243" i="30"/>
  <c r="Z242" i="30"/>
  <c r="V242" i="30"/>
  <c r="R242" i="30"/>
  <c r="N242" i="30"/>
  <c r="J242" i="30"/>
  <c r="F242" i="30"/>
  <c r="B242" i="30"/>
  <c r="Z241" i="30"/>
  <c r="V241" i="30"/>
  <c r="R241" i="30"/>
  <c r="N241" i="30"/>
  <c r="J241" i="30"/>
  <c r="F241" i="30"/>
  <c r="B241" i="30"/>
  <c r="Z240" i="30"/>
  <c r="V240" i="30"/>
  <c r="R240" i="30"/>
  <c r="N240" i="30"/>
  <c r="J240" i="30"/>
  <c r="F240" i="30"/>
  <c r="B240" i="30"/>
  <c r="Z239" i="30"/>
  <c r="V239" i="30"/>
  <c r="R239" i="30"/>
  <c r="N239" i="30"/>
  <c r="J239" i="30"/>
  <c r="F239" i="30"/>
  <c r="B239" i="30"/>
  <c r="Z238" i="30"/>
  <c r="V238" i="30"/>
  <c r="R238" i="30"/>
  <c r="N238" i="30"/>
  <c r="J238" i="30"/>
  <c r="F238" i="30"/>
  <c r="B238" i="30"/>
  <c r="Z237" i="30"/>
  <c r="V237" i="30"/>
  <c r="R237" i="30"/>
  <c r="N237" i="30"/>
  <c r="J237" i="30"/>
  <c r="F237" i="30"/>
  <c r="B237" i="30"/>
  <c r="Z236" i="30"/>
  <c r="V236" i="30"/>
  <c r="R236" i="30"/>
  <c r="N236" i="30"/>
  <c r="J236" i="30"/>
  <c r="F236" i="30"/>
  <c r="B236" i="30"/>
  <c r="Z235" i="30"/>
  <c r="V235" i="30"/>
  <c r="R235" i="30"/>
  <c r="N235" i="30"/>
  <c r="J235" i="30"/>
  <c r="F235" i="30"/>
  <c r="B235" i="30"/>
  <c r="Z234" i="30"/>
  <c r="V234" i="30"/>
  <c r="R234" i="30"/>
  <c r="N234" i="30"/>
  <c r="J234" i="30"/>
  <c r="F234" i="30"/>
  <c r="B234" i="30"/>
  <c r="Z233" i="30"/>
  <c r="V233" i="30"/>
  <c r="R233" i="30"/>
  <c r="N233" i="30"/>
  <c r="J233" i="30"/>
  <c r="F233" i="30"/>
  <c r="B233" i="30"/>
  <c r="Z232" i="30"/>
  <c r="V232" i="30"/>
  <c r="R232" i="30"/>
  <c r="N232" i="30"/>
  <c r="J232" i="30"/>
  <c r="F232" i="30"/>
  <c r="B232" i="30"/>
  <c r="Z231" i="30"/>
  <c r="V231" i="30"/>
  <c r="R231" i="30"/>
  <c r="N231" i="30"/>
  <c r="J231" i="30"/>
  <c r="F231" i="30"/>
  <c r="B231" i="30"/>
  <c r="Z230" i="30"/>
  <c r="V230" i="30"/>
  <c r="R230" i="30"/>
  <c r="N230" i="30"/>
  <c r="J230" i="30"/>
  <c r="F230" i="30"/>
  <c r="B230" i="30"/>
  <c r="Z229" i="30"/>
  <c r="V229" i="30"/>
  <c r="R229" i="30"/>
  <c r="N229" i="30"/>
  <c r="J229" i="30"/>
  <c r="F229" i="30"/>
  <c r="B229" i="30"/>
  <c r="Z228" i="30"/>
  <c r="V228" i="30"/>
  <c r="R228" i="30"/>
  <c r="N228" i="30"/>
  <c r="J228" i="30"/>
  <c r="F228" i="30"/>
  <c r="B228" i="30"/>
  <c r="Z227" i="30"/>
  <c r="V227" i="30"/>
  <c r="R227" i="30"/>
  <c r="N227" i="30"/>
  <c r="J227" i="30"/>
  <c r="F227" i="30"/>
  <c r="B227" i="30"/>
  <c r="Z226" i="30"/>
  <c r="V226" i="30"/>
  <c r="R226" i="30"/>
  <c r="N226" i="30"/>
  <c r="J226" i="30"/>
  <c r="F226" i="30"/>
  <c r="B226" i="30"/>
  <c r="Z225" i="30"/>
  <c r="V225" i="30"/>
  <c r="R225" i="30"/>
  <c r="N225" i="30"/>
  <c r="J225" i="30"/>
  <c r="F225" i="30"/>
  <c r="B225" i="30"/>
  <c r="Z224" i="30"/>
  <c r="V224" i="30"/>
  <c r="R224" i="30"/>
  <c r="N224" i="30"/>
  <c r="J224" i="30"/>
  <c r="F224" i="30"/>
  <c r="B224" i="30"/>
  <c r="Z223" i="30"/>
  <c r="V223" i="30"/>
  <c r="R223" i="30"/>
  <c r="N223" i="30"/>
  <c r="J223" i="30"/>
  <c r="F223" i="30"/>
  <c r="B223" i="30"/>
  <c r="Z222" i="30"/>
  <c r="V222" i="30"/>
  <c r="R222" i="30"/>
  <c r="N222" i="30"/>
  <c r="J222" i="30"/>
  <c r="F222" i="30"/>
  <c r="B222" i="30"/>
  <c r="Z221" i="30"/>
  <c r="V221" i="30"/>
  <c r="R221" i="30"/>
  <c r="N221" i="30"/>
  <c r="J221" i="30"/>
  <c r="F221" i="30"/>
  <c r="B221" i="30"/>
  <c r="Z220" i="30"/>
  <c r="V220" i="30"/>
  <c r="R220" i="30"/>
  <c r="N220" i="30"/>
  <c r="J220" i="30"/>
  <c r="F220" i="30"/>
  <c r="B220" i="30"/>
  <c r="Z219" i="30"/>
  <c r="V219" i="30"/>
  <c r="R219" i="30"/>
  <c r="N219" i="30"/>
  <c r="J219" i="30"/>
  <c r="F219" i="30"/>
  <c r="B219" i="30"/>
  <c r="Z218" i="30"/>
  <c r="V218" i="30"/>
  <c r="R218" i="30"/>
  <c r="N218" i="30"/>
  <c r="J218" i="30"/>
  <c r="F218" i="30"/>
  <c r="B218" i="30"/>
  <c r="Z217" i="30"/>
  <c r="V217" i="30"/>
  <c r="R217" i="30"/>
  <c r="N217" i="30"/>
  <c r="J217" i="30"/>
  <c r="F217" i="30"/>
  <c r="B217" i="30"/>
  <c r="Z216" i="30"/>
  <c r="V216" i="30"/>
  <c r="R216" i="30"/>
  <c r="N216" i="30"/>
  <c r="J216" i="30"/>
  <c r="F216" i="30"/>
  <c r="B216" i="30"/>
  <c r="Z215" i="30"/>
  <c r="V215" i="30"/>
  <c r="R215" i="30"/>
  <c r="N215" i="30"/>
  <c r="J215" i="30"/>
  <c r="F215" i="30"/>
  <c r="B215" i="30"/>
  <c r="Z214" i="30"/>
  <c r="V214" i="30"/>
  <c r="R214" i="30"/>
  <c r="N214" i="30"/>
  <c r="J214" i="30"/>
  <c r="F214" i="30"/>
  <c r="B214" i="30"/>
  <c r="Z213" i="30"/>
  <c r="V213" i="30"/>
  <c r="R213" i="30"/>
  <c r="N213" i="30"/>
  <c r="J213" i="30"/>
  <c r="F213" i="30"/>
  <c r="B213" i="30"/>
  <c r="Z212" i="30"/>
  <c r="V212" i="30"/>
  <c r="R212" i="30"/>
  <c r="N212" i="30"/>
  <c r="J212" i="30"/>
  <c r="F212" i="30"/>
  <c r="B212" i="30"/>
  <c r="Z211" i="30"/>
  <c r="V211" i="30"/>
  <c r="R211" i="30"/>
  <c r="N211" i="30"/>
  <c r="J211" i="30"/>
  <c r="F211" i="30"/>
  <c r="B211" i="30"/>
  <c r="Z210" i="30"/>
  <c r="V210" i="30"/>
  <c r="R210" i="30"/>
  <c r="N210" i="30"/>
  <c r="J210" i="30"/>
  <c r="F210" i="30"/>
  <c r="B210" i="30"/>
  <c r="Z209" i="30"/>
  <c r="V209" i="30"/>
  <c r="R209" i="30"/>
  <c r="N209" i="30"/>
  <c r="J209" i="30"/>
  <c r="F209" i="30"/>
  <c r="B209" i="30"/>
  <c r="Z208" i="30"/>
  <c r="V208" i="30"/>
  <c r="R208" i="30"/>
  <c r="N208" i="30"/>
  <c r="J208" i="30"/>
  <c r="F208" i="30"/>
  <c r="B208" i="30"/>
  <c r="Z207" i="30"/>
  <c r="V207" i="30"/>
  <c r="R207" i="30"/>
  <c r="N207" i="30"/>
  <c r="J207" i="30"/>
  <c r="F207" i="30"/>
  <c r="B207" i="30"/>
  <c r="Z206" i="30"/>
  <c r="V206" i="30"/>
  <c r="R206" i="30"/>
  <c r="N206" i="30"/>
  <c r="J206" i="30"/>
  <c r="F206" i="30"/>
  <c r="B206" i="30"/>
  <c r="Z205" i="30"/>
  <c r="V205" i="30"/>
  <c r="R205" i="30"/>
  <c r="N205" i="30"/>
  <c r="J205" i="30"/>
  <c r="F205" i="30"/>
  <c r="B205" i="30"/>
  <c r="Z204" i="30"/>
  <c r="V204" i="30"/>
  <c r="R204" i="30"/>
  <c r="N204" i="30"/>
  <c r="J204" i="30"/>
  <c r="F204" i="30"/>
  <c r="B204" i="30"/>
  <c r="Z203" i="30"/>
  <c r="V203" i="30"/>
  <c r="R203" i="30"/>
  <c r="N203" i="30"/>
  <c r="J203" i="30"/>
  <c r="F203" i="30"/>
  <c r="B203" i="30"/>
  <c r="Z202" i="30"/>
  <c r="V202" i="30"/>
  <c r="R202" i="30"/>
  <c r="N202" i="30"/>
  <c r="J202" i="30"/>
  <c r="F202" i="30"/>
  <c r="B202" i="30"/>
  <c r="Z201" i="30"/>
  <c r="V201" i="30"/>
  <c r="R201" i="30"/>
  <c r="N201" i="30"/>
  <c r="J201" i="30"/>
  <c r="F201" i="30"/>
  <c r="B201" i="30"/>
  <c r="Z200" i="30"/>
  <c r="V200" i="30"/>
  <c r="R200" i="30"/>
  <c r="N200" i="30"/>
  <c r="J200" i="30"/>
  <c r="F200" i="30"/>
  <c r="B200" i="30"/>
  <c r="Z199" i="30"/>
  <c r="V199" i="30"/>
  <c r="R199" i="30"/>
  <c r="N199" i="30"/>
  <c r="J199" i="30"/>
  <c r="F199" i="30"/>
  <c r="B199" i="30"/>
  <c r="Z198" i="30"/>
  <c r="V198" i="30"/>
  <c r="R198" i="30"/>
  <c r="N198" i="30"/>
  <c r="J198" i="30"/>
  <c r="F198" i="30"/>
  <c r="B198" i="30"/>
  <c r="Z197" i="30"/>
  <c r="V197" i="30"/>
  <c r="R197" i="30"/>
  <c r="N197" i="30"/>
  <c r="J197" i="30"/>
  <c r="F197" i="30"/>
  <c r="B197" i="30"/>
  <c r="Z196" i="30"/>
  <c r="V196" i="30"/>
  <c r="R196" i="30"/>
  <c r="N196" i="30"/>
  <c r="J196" i="30"/>
  <c r="F196" i="30"/>
  <c r="B196" i="30"/>
  <c r="Z195" i="30"/>
  <c r="V195" i="30"/>
  <c r="R195" i="30"/>
  <c r="N195" i="30"/>
  <c r="J195" i="30"/>
  <c r="F195" i="30"/>
  <c r="B195" i="30"/>
  <c r="Z194" i="30"/>
  <c r="V194" i="30"/>
  <c r="R194" i="30"/>
  <c r="N194" i="30"/>
  <c r="J194" i="30"/>
  <c r="F194" i="30"/>
  <c r="B194" i="30"/>
  <c r="Z193" i="30"/>
  <c r="V193" i="30"/>
  <c r="R193" i="30"/>
  <c r="N193" i="30"/>
  <c r="J193" i="30"/>
  <c r="F193" i="30"/>
  <c r="B193" i="30"/>
  <c r="Z192" i="30"/>
  <c r="V192" i="30"/>
  <c r="R192" i="30"/>
  <c r="N192" i="30"/>
  <c r="J192" i="30"/>
  <c r="F192" i="30"/>
  <c r="B192" i="30"/>
  <c r="Z191" i="30"/>
  <c r="V191" i="30"/>
  <c r="R191" i="30"/>
  <c r="N191" i="30"/>
  <c r="J191" i="30"/>
  <c r="F191" i="30"/>
  <c r="B191" i="30"/>
  <c r="Z190" i="30"/>
  <c r="V190" i="30"/>
  <c r="R190" i="30"/>
  <c r="N190" i="30"/>
  <c r="J190" i="30"/>
  <c r="F190" i="30"/>
  <c r="B190" i="30"/>
  <c r="Z189" i="30"/>
  <c r="V189" i="30"/>
  <c r="R189" i="30"/>
  <c r="N189" i="30"/>
  <c r="J189" i="30"/>
  <c r="F189" i="30"/>
  <c r="B189" i="30"/>
  <c r="Z188" i="30"/>
  <c r="V188" i="30"/>
  <c r="R188" i="30"/>
  <c r="N188" i="30"/>
  <c r="J188" i="30"/>
  <c r="F188" i="30"/>
  <c r="B188" i="30"/>
  <c r="Z187" i="30"/>
  <c r="V187" i="30"/>
  <c r="R187" i="30"/>
  <c r="N187" i="30"/>
  <c r="J187" i="30"/>
  <c r="F187" i="30"/>
  <c r="B187" i="30"/>
  <c r="Z186" i="30"/>
  <c r="V186" i="30"/>
  <c r="R186" i="30"/>
  <c r="N186" i="30"/>
  <c r="J186" i="30"/>
  <c r="F186" i="30"/>
  <c r="B186" i="30"/>
  <c r="Z185" i="30"/>
  <c r="V185" i="30"/>
  <c r="R185" i="30"/>
  <c r="N185" i="30"/>
  <c r="J185" i="30"/>
  <c r="F185" i="30"/>
  <c r="B185" i="30"/>
  <c r="Z184" i="30"/>
  <c r="V184" i="30"/>
  <c r="R184" i="30"/>
  <c r="N184" i="30"/>
  <c r="J184" i="30"/>
  <c r="F184" i="30"/>
  <c r="B184" i="30"/>
  <c r="Z183" i="30"/>
  <c r="V183" i="30"/>
  <c r="R183" i="30"/>
  <c r="N183" i="30"/>
  <c r="J183" i="30"/>
  <c r="F183" i="30"/>
  <c r="B183" i="30"/>
  <c r="Z182" i="30"/>
  <c r="V182" i="30"/>
  <c r="R182" i="30"/>
  <c r="N182" i="30"/>
  <c r="J182" i="30"/>
  <c r="F182" i="30"/>
  <c r="B182" i="30"/>
  <c r="Z181" i="30"/>
  <c r="V181" i="30"/>
  <c r="R181" i="30"/>
  <c r="N181" i="30"/>
  <c r="J181" i="30"/>
  <c r="F181" i="30"/>
  <c r="B181" i="30"/>
  <c r="Z180" i="30"/>
  <c r="V180" i="30"/>
  <c r="R180" i="30"/>
  <c r="N180" i="30"/>
  <c r="J180" i="30"/>
  <c r="F180" i="30"/>
  <c r="B180" i="30"/>
  <c r="Z179" i="30"/>
  <c r="V179" i="30"/>
  <c r="R179" i="30"/>
  <c r="N179" i="30"/>
  <c r="J179" i="30"/>
  <c r="F179" i="30"/>
  <c r="B179" i="30"/>
  <c r="Z178" i="30"/>
  <c r="V178" i="30"/>
  <c r="R178" i="30"/>
  <c r="N178" i="30"/>
  <c r="J178" i="30"/>
  <c r="F178" i="30"/>
  <c r="B178" i="30"/>
  <c r="Z177" i="30"/>
  <c r="V177" i="30"/>
  <c r="R177" i="30"/>
  <c r="N177" i="30"/>
  <c r="J177" i="30"/>
  <c r="F177" i="30"/>
  <c r="B177" i="30"/>
  <c r="Z176" i="30"/>
  <c r="V176" i="30"/>
  <c r="R176" i="30"/>
  <c r="N176" i="30"/>
  <c r="J176" i="30"/>
  <c r="F176" i="30"/>
  <c r="B176" i="30"/>
  <c r="Z175" i="30"/>
  <c r="V175" i="30"/>
  <c r="R175" i="30"/>
  <c r="N175" i="30"/>
  <c r="J175" i="30"/>
  <c r="F175" i="30"/>
  <c r="B175" i="30"/>
  <c r="Z174" i="30"/>
  <c r="V174" i="30"/>
  <c r="R174" i="30"/>
  <c r="N174" i="30"/>
  <c r="J174" i="30"/>
  <c r="F174" i="30"/>
  <c r="B174" i="30"/>
  <c r="Z173" i="30"/>
  <c r="V173" i="30"/>
  <c r="R173" i="30"/>
  <c r="N173" i="30"/>
  <c r="J173" i="30"/>
  <c r="F173" i="30"/>
  <c r="B173" i="30"/>
  <c r="Z172" i="30"/>
  <c r="V172" i="30"/>
  <c r="R172" i="30"/>
  <c r="N172" i="30"/>
  <c r="J172" i="30"/>
  <c r="F172" i="30"/>
  <c r="B172" i="30"/>
  <c r="Z171" i="30"/>
  <c r="V171" i="30"/>
  <c r="R171" i="30"/>
  <c r="N171" i="30"/>
  <c r="J171" i="30"/>
  <c r="F171" i="30"/>
  <c r="B171" i="30"/>
  <c r="Z170" i="30"/>
  <c r="V170" i="30"/>
  <c r="R170" i="30"/>
  <c r="N170" i="30"/>
  <c r="J170" i="30"/>
  <c r="F170" i="30"/>
  <c r="B170" i="30"/>
  <c r="Z169" i="30"/>
  <c r="V169" i="30"/>
  <c r="R169" i="30"/>
  <c r="N169" i="30"/>
  <c r="J169" i="30"/>
  <c r="F169" i="30"/>
  <c r="B169" i="30"/>
  <c r="Z168" i="30"/>
  <c r="V168" i="30"/>
  <c r="R168" i="30"/>
  <c r="N168" i="30"/>
  <c r="J168" i="30"/>
  <c r="F168" i="30"/>
  <c r="B168" i="30"/>
  <c r="Z167" i="30"/>
  <c r="V167" i="30"/>
  <c r="R167" i="30"/>
  <c r="N167" i="30"/>
  <c r="J167" i="30"/>
  <c r="F167" i="30"/>
  <c r="B167" i="30"/>
  <c r="Z166" i="30"/>
  <c r="V166" i="30"/>
  <c r="R166" i="30"/>
  <c r="N166" i="30"/>
  <c r="J166" i="30"/>
  <c r="F166" i="30"/>
  <c r="B166" i="30"/>
  <c r="Z165" i="30"/>
  <c r="V165" i="30"/>
  <c r="R165" i="30"/>
  <c r="N165" i="30"/>
  <c r="J165" i="30"/>
  <c r="F165" i="30"/>
  <c r="B165" i="30"/>
  <c r="Z164" i="30"/>
  <c r="V164" i="30"/>
  <c r="R164" i="30"/>
  <c r="N164" i="30"/>
  <c r="J164" i="30"/>
  <c r="F164" i="30"/>
  <c r="B164" i="30"/>
  <c r="Z163" i="30"/>
  <c r="V163" i="30"/>
  <c r="R163" i="30"/>
  <c r="N163" i="30"/>
  <c r="J163" i="30"/>
  <c r="F163" i="30"/>
  <c r="B163" i="30"/>
  <c r="Z162" i="30"/>
  <c r="V162" i="30"/>
  <c r="R162" i="30"/>
  <c r="N162" i="30"/>
  <c r="J162" i="30"/>
  <c r="F162" i="30"/>
  <c r="B162" i="30"/>
  <c r="Z161" i="30"/>
  <c r="V161" i="30"/>
  <c r="R161" i="30"/>
  <c r="N161" i="30"/>
  <c r="J161" i="30"/>
  <c r="F161" i="30"/>
  <c r="B161" i="30"/>
  <c r="Z160" i="30"/>
  <c r="V160" i="30"/>
  <c r="R160" i="30"/>
  <c r="N160" i="30"/>
  <c r="J160" i="30"/>
  <c r="F160" i="30"/>
  <c r="B160" i="30"/>
  <c r="Z159" i="30"/>
  <c r="V159" i="30"/>
  <c r="R159" i="30"/>
  <c r="N159" i="30"/>
  <c r="J159" i="30"/>
  <c r="F159" i="30"/>
  <c r="B159" i="30"/>
  <c r="Z158" i="30"/>
  <c r="V158" i="30"/>
  <c r="R158" i="30"/>
  <c r="N158" i="30"/>
  <c r="J158" i="30"/>
  <c r="F158" i="30"/>
  <c r="B158" i="30"/>
  <c r="Z157" i="30"/>
  <c r="V157" i="30"/>
  <c r="R157" i="30"/>
  <c r="N157" i="30"/>
  <c r="J157" i="30"/>
  <c r="F157" i="30"/>
  <c r="B157" i="30"/>
  <c r="Z156" i="30"/>
  <c r="V156" i="30"/>
  <c r="R156" i="30"/>
  <c r="N156" i="30"/>
  <c r="J156" i="30"/>
  <c r="F156" i="30"/>
  <c r="B156" i="30"/>
  <c r="Z155" i="30"/>
  <c r="V155" i="30"/>
  <c r="R155" i="30"/>
  <c r="N155" i="30"/>
  <c r="J155" i="30"/>
  <c r="F155" i="30"/>
  <c r="B155" i="30"/>
  <c r="Z154" i="30"/>
  <c r="V154" i="30"/>
  <c r="R154" i="30"/>
  <c r="N154" i="30"/>
  <c r="J154" i="30"/>
  <c r="F154" i="30"/>
  <c r="B154" i="30"/>
  <c r="Z153" i="30"/>
  <c r="V153" i="30"/>
  <c r="R153" i="30"/>
  <c r="N153" i="30"/>
  <c r="J153" i="30"/>
  <c r="F153" i="30"/>
  <c r="B153" i="30"/>
  <c r="Z152" i="30"/>
  <c r="V152" i="30"/>
  <c r="R152" i="30"/>
  <c r="N152" i="30"/>
  <c r="J152" i="30"/>
  <c r="F152" i="30"/>
  <c r="B152" i="30"/>
  <c r="Z151" i="30"/>
  <c r="V151" i="30"/>
  <c r="R151" i="30"/>
  <c r="N151" i="30"/>
  <c r="J151" i="30"/>
  <c r="F151" i="30"/>
  <c r="B151" i="30"/>
  <c r="Z150" i="30"/>
  <c r="V150" i="30"/>
  <c r="R150" i="30"/>
  <c r="N150" i="30"/>
  <c r="J150" i="30"/>
  <c r="F150" i="30"/>
  <c r="B150" i="30"/>
  <c r="Z149" i="30"/>
  <c r="V149" i="30"/>
  <c r="R149" i="30"/>
  <c r="N149" i="30"/>
  <c r="J149" i="30"/>
  <c r="F149" i="30"/>
  <c r="B149" i="30"/>
  <c r="Z148" i="30"/>
  <c r="V148" i="30"/>
  <c r="R148" i="30"/>
  <c r="N148" i="30"/>
  <c r="J148" i="30"/>
  <c r="F148" i="30"/>
  <c r="B148" i="30"/>
  <c r="Z147" i="30"/>
  <c r="V147" i="30"/>
  <c r="R147" i="30"/>
  <c r="N147" i="30"/>
  <c r="J147" i="30"/>
  <c r="F147" i="30"/>
  <c r="B147" i="30"/>
  <c r="Z146" i="30"/>
  <c r="V146" i="30"/>
  <c r="R146" i="30"/>
  <c r="N146" i="30"/>
  <c r="J146" i="30"/>
  <c r="F146" i="30"/>
  <c r="B146" i="30"/>
  <c r="Z145" i="30"/>
  <c r="V145" i="30"/>
  <c r="R145" i="30"/>
  <c r="N145" i="30"/>
  <c r="J145" i="30"/>
  <c r="F145" i="30"/>
  <c r="B145" i="30"/>
  <c r="Z144" i="30"/>
  <c r="V144" i="30"/>
  <c r="R144" i="30"/>
  <c r="N144" i="30"/>
  <c r="J144" i="30"/>
  <c r="F144" i="30"/>
  <c r="B144" i="30"/>
  <c r="Z143" i="30"/>
  <c r="V143" i="30"/>
  <c r="R143" i="30"/>
  <c r="N143" i="30"/>
  <c r="J143" i="30"/>
  <c r="F143" i="30"/>
  <c r="B143" i="30"/>
  <c r="Z142" i="30"/>
  <c r="V142" i="30"/>
  <c r="R142" i="30"/>
  <c r="N142" i="30"/>
  <c r="J142" i="30"/>
  <c r="F142" i="30"/>
  <c r="B142" i="30"/>
  <c r="Z141" i="30"/>
  <c r="V141" i="30"/>
  <c r="R141" i="30"/>
  <c r="N141" i="30"/>
  <c r="J141" i="30"/>
  <c r="F141" i="30"/>
  <c r="B141" i="30"/>
  <c r="Z140" i="30"/>
  <c r="V140" i="30"/>
  <c r="R140" i="30"/>
  <c r="N140" i="30"/>
  <c r="J140" i="30"/>
  <c r="F140" i="30"/>
  <c r="B140" i="30"/>
  <c r="Z139" i="30"/>
  <c r="V139" i="30"/>
  <c r="R139" i="30"/>
  <c r="N139" i="30"/>
  <c r="J139" i="30"/>
  <c r="F139" i="30"/>
  <c r="B139" i="30"/>
  <c r="Z138" i="30"/>
  <c r="V138" i="30"/>
  <c r="R138" i="30"/>
  <c r="N138" i="30"/>
  <c r="J138" i="30"/>
  <c r="F138" i="30"/>
  <c r="B138" i="30"/>
  <c r="Z137" i="30"/>
  <c r="V137" i="30"/>
  <c r="R137" i="30"/>
  <c r="N137" i="30"/>
  <c r="J137" i="30"/>
  <c r="F137" i="30"/>
  <c r="B137" i="30"/>
  <c r="Z136" i="30"/>
  <c r="V136" i="30"/>
  <c r="R136" i="30"/>
  <c r="N136" i="30"/>
  <c r="J136" i="30"/>
  <c r="F136" i="30"/>
  <c r="B136" i="30"/>
  <c r="Z135" i="30"/>
  <c r="V135" i="30"/>
  <c r="R135" i="30"/>
  <c r="N135" i="30"/>
  <c r="J135" i="30"/>
  <c r="F135" i="30"/>
  <c r="B135" i="30"/>
  <c r="Z134" i="30"/>
  <c r="V134" i="30"/>
  <c r="R134" i="30"/>
  <c r="N134" i="30"/>
  <c r="J134" i="30"/>
  <c r="F134" i="30"/>
  <c r="B134" i="30"/>
  <c r="Z133" i="30"/>
  <c r="V133" i="30"/>
  <c r="R133" i="30"/>
  <c r="N133" i="30"/>
  <c r="J133" i="30"/>
  <c r="F133" i="30"/>
  <c r="B133" i="30"/>
  <c r="Z132" i="30"/>
  <c r="V132" i="30"/>
  <c r="R132" i="30"/>
  <c r="N132" i="30"/>
  <c r="J132" i="30"/>
  <c r="F132" i="30"/>
  <c r="B132" i="30"/>
  <c r="Z131" i="30"/>
  <c r="V131" i="30"/>
  <c r="R131" i="30"/>
  <c r="N131" i="30"/>
  <c r="J131" i="30"/>
  <c r="F131" i="30"/>
  <c r="B131" i="30"/>
  <c r="Z130" i="30"/>
  <c r="V130" i="30"/>
  <c r="R130" i="30"/>
  <c r="N130" i="30"/>
  <c r="J130" i="30"/>
  <c r="F130" i="30"/>
  <c r="B130" i="30"/>
  <c r="Z129" i="30"/>
  <c r="V129" i="30"/>
  <c r="R129" i="30"/>
  <c r="N129" i="30"/>
  <c r="J129" i="30"/>
  <c r="F129" i="30"/>
  <c r="B129" i="30"/>
  <c r="Z128" i="30"/>
  <c r="V128" i="30"/>
  <c r="R128" i="30"/>
  <c r="N128" i="30"/>
  <c r="J128" i="30"/>
  <c r="F128" i="30"/>
  <c r="B128" i="30"/>
  <c r="Z127" i="30"/>
  <c r="V127" i="30"/>
  <c r="R127" i="30"/>
  <c r="N127" i="30"/>
  <c r="J127" i="30"/>
  <c r="F127" i="30"/>
  <c r="B127" i="30"/>
  <c r="Z126" i="30"/>
  <c r="V126" i="30"/>
  <c r="R126" i="30"/>
  <c r="N126" i="30"/>
  <c r="J126" i="30"/>
  <c r="F126" i="30"/>
  <c r="B126" i="30"/>
  <c r="Z125" i="30"/>
  <c r="V125" i="30"/>
  <c r="R125" i="30"/>
  <c r="N125" i="30"/>
  <c r="J125" i="30"/>
  <c r="F125" i="30"/>
  <c r="B125" i="30"/>
  <c r="Z124" i="30"/>
  <c r="V124" i="30"/>
  <c r="R124" i="30"/>
  <c r="N124" i="30"/>
  <c r="J124" i="30"/>
  <c r="F124" i="30"/>
  <c r="B124" i="30"/>
  <c r="Z123" i="30"/>
  <c r="V123" i="30"/>
  <c r="R123" i="30"/>
  <c r="N123" i="30"/>
  <c r="J123" i="30"/>
  <c r="F123" i="30"/>
  <c r="B123" i="30"/>
  <c r="Z122" i="30"/>
  <c r="V122" i="30"/>
  <c r="R122" i="30"/>
  <c r="N122" i="30"/>
  <c r="J122" i="30"/>
  <c r="F122" i="30"/>
  <c r="B122" i="30"/>
  <c r="Z121" i="30"/>
  <c r="V121" i="30"/>
  <c r="R121" i="30"/>
  <c r="N121" i="30"/>
  <c r="J121" i="30"/>
  <c r="F121" i="30"/>
  <c r="B121" i="30"/>
  <c r="Z120" i="30"/>
  <c r="V120" i="30"/>
  <c r="R120" i="30"/>
  <c r="N120" i="30"/>
  <c r="J120" i="30"/>
  <c r="F120" i="30"/>
  <c r="B120" i="30"/>
  <c r="Z119" i="30"/>
  <c r="V119" i="30"/>
  <c r="R119" i="30"/>
  <c r="N119" i="30"/>
  <c r="J119" i="30"/>
  <c r="F119" i="30"/>
  <c r="B119" i="30"/>
  <c r="Z118" i="30"/>
  <c r="V118" i="30"/>
  <c r="R118" i="30"/>
  <c r="N118" i="30"/>
  <c r="J118" i="30"/>
  <c r="F118" i="30"/>
  <c r="B118" i="30"/>
  <c r="Z117" i="30"/>
  <c r="V117" i="30"/>
  <c r="R117" i="30"/>
  <c r="N117" i="30"/>
  <c r="J117" i="30"/>
  <c r="F117" i="30"/>
  <c r="B117" i="30"/>
  <c r="Z116" i="30"/>
  <c r="V116" i="30"/>
  <c r="R116" i="30"/>
  <c r="N116" i="30"/>
  <c r="J116" i="30"/>
  <c r="F116" i="30"/>
  <c r="B116" i="30"/>
  <c r="Z115" i="30"/>
  <c r="V115" i="30"/>
  <c r="R115" i="30"/>
  <c r="N115" i="30"/>
  <c r="J115" i="30"/>
  <c r="F115" i="30"/>
  <c r="B115" i="30"/>
  <c r="Z114" i="30"/>
  <c r="V114" i="30"/>
  <c r="R114" i="30"/>
  <c r="N114" i="30"/>
  <c r="J114" i="30"/>
  <c r="F114" i="30"/>
  <c r="B114" i="30"/>
  <c r="Z113" i="30"/>
  <c r="V113" i="30"/>
  <c r="R113" i="30"/>
  <c r="N113" i="30"/>
  <c r="J113" i="30"/>
  <c r="F113" i="30"/>
  <c r="B113" i="30"/>
  <c r="Z112" i="30"/>
  <c r="V112" i="30"/>
  <c r="R112" i="30"/>
  <c r="N112" i="30"/>
  <c r="J112" i="30"/>
  <c r="F112" i="30"/>
  <c r="B112" i="30"/>
  <c r="Z111" i="30"/>
  <c r="V111" i="30"/>
  <c r="R111" i="30"/>
  <c r="N111" i="30"/>
  <c r="J111" i="30"/>
  <c r="F111" i="30"/>
  <c r="B111" i="30"/>
  <c r="Z110" i="30"/>
  <c r="V110" i="30"/>
  <c r="R110" i="30"/>
  <c r="N110" i="30"/>
  <c r="J110" i="30"/>
  <c r="F110" i="30"/>
  <c r="B110" i="30"/>
  <c r="Z109" i="30"/>
  <c r="V109" i="30"/>
  <c r="R109" i="30"/>
  <c r="N109" i="30"/>
  <c r="J109" i="30"/>
  <c r="F109" i="30"/>
  <c r="B109" i="30"/>
  <c r="Z108" i="30"/>
  <c r="V108" i="30"/>
  <c r="R108" i="30"/>
  <c r="N108" i="30"/>
  <c r="J108" i="30"/>
  <c r="F108" i="30"/>
  <c r="B108" i="30"/>
  <c r="Z107" i="30"/>
  <c r="V107" i="30"/>
  <c r="R107" i="30"/>
  <c r="N107" i="30"/>
  <c r="J107" i="30"/>
  <c r="F107" i="30"/>
  <c r="B107" i="30"/>
  <c r="Z106" i="30"/>
  <c r="V106" i="30"/>
  <c r="R106" i="30"/>
  <c r="N106" i="30"/>
  <c r="J106" i="30"/>
  <c r="F106" i="30"/>
  <c r="B106" i="30"/>
  <c r="Z105" i="30"/>
  <c r="V105" i="30"/>
  <c r="R105" i="30"/>
  <c r="N105" i="30"/>
  <c r="J105" i="30"/>
  <c r="F105" i="30"/>
  <c r="B105" i="30"/>
  <c r="Z104" i="30"/>
  <c r="V104" i="30"/>
  <c r="R104" i="30"/>
  <c r="N104" i="30"/>
  <c r="J104" i="30"/>
  <c r="F104" i="30"/>
  <c r="B104" i="30"/>
  <c r="Z103" i="30"/>
  <c r="V103" i="30"/>
  <c r="R103" i="30"/>
  <c r="N103" i="30"/>
  <c r="J103" i="30"/>
  <c r="F103" i="30"/>
  <c r="B103" i="30"/>
  <c r="Z102" i="30"/>
  <c r="V102" i="30"/>
  <c r="R102" i="30"/>
  <c r="N102" i="30"/>
  <c r="J102" i="30"/>
  <c r="F102" i="30"/>
  <c r="B102" i="30"/>
  <c r="Z101" i="30"/>
  <c r="V101" i="30"/>
  <c r="R101" i="30"/>
  <c r="N101" i="30"/>
  <c r="J101" i="30"/>
  <c r="F101" i="30"/>
  <c r="B101" i="30"/>
  <c r="Z100" i="30"/>
  <c r="V100" i="30"/>
  <c r="R100" i="30"/>
  <c r="N100" i="30"/>
  <c r="J100" i="30"/>
  <c r="F100" i="30"/>
  <c r="B100" i="30"/>
  <c r="Z99" i="30"/>
  <c r="V99" i="30"/>
  <c r="R99" i="30"/>
  <c r="N99" i="30"/>
  <c r="J99" i="30"/>
  <c r="F99" i="30"/>
  <c r="B99" i="30"/>
  <c r="Z98" i="30"/>
  <c r="V98" i="30"/>
  <c r="R98" i="30"/>
  <c r="N98" i="30"/>
  <c r="J98" i="30"/>
  <c r="F98" i="30"/>
  <c r="B98" i="30"/>
  <c r="Z97" i="30"/>
  <c r="V97" i="30"/>
  <c r="R97" i="30"/>
  <c r="N97" i="30"/>
  <c r="J97" i="30"/>
  <c r="F97" i="30"/>
  <c r="B97" i="30"/>
  <c r="Z96" i="30"/>
  <c r="V96" i="30"/>
  <c r="R96" i="30"/>
  <c r="N96" i="30"/>
  <c r="J96" i="30"/>
  <c r="F96" i="30"/>
  <c r="B96" i="30"/>
  <c r="Z95" i="30"/>
  <c r="V95" i="30"/>
  <c r="R95" i="30"/>
  <c r="N95" i="30"/>
  <c r="J95" i="30"/>
  <c r="F95" i="30"/>
  <c r="B95" i="30"/>
  <c r="Z94" i="30"/>
  <c r="V94" i="30"/>
  <c r="R94" i="30"/>
  <c r="N94" i="30"/>
  <c r="J94" i="30"/>
  <c r="F94" i="30"/>
  <c r="B94" i="30"/>
  <c r="Z93" i="30"/>
  <c r="V93" i="30"/>
  <c r="R93" i="30"/>
  <c r="N93" i="30"/>
  <c r="J93" i="30"/>
  <c r="F93" i="30"/>
  <c r="B93" i="30"/>
  <c r="Z92" i="30"/>
  <c r="V92" i="30"/>
  <c r="R92" i="30"/>
  <c r="N92" i="30"/>
  <c r="J92" i="30"/>
  <c r="F92" i="30"/>
  <c r="B92" i="30"/>
  <c r="Z91" i="30"/>
  <c r="V91" i="30"/>
  <c r="R91" i="30"/>
  <c r="N91" i="30"/>
  <c r="J91" i="30"/>
  <c r="F91" i="30"/>
  <c r="B91" i="30"/>
  <c r="Z90" i="30"/>
  <c r="V90" i="30"/>
  <c r="R90" i="30"/>
  <c r="N90" i="30"/>
  <c r="J90" i="30"/>
  <c r="F90" i="30"/>
  <c r="B90" i="30"/>
  <c r="Z89" i="30"/>
  <c r="V89" i="30"/>
  <c r="R89" i="30"/>
  <c r="N89" i="30"/>
  <c r="J89" i="30"/>
  <c r="F89" i="30"/>
  <c r="B89" i="30"/>
  <c r="Z88" i="30"/>
  <c r="V88" i="30"/>
  <c r="R88" i="30"/>
  <c r="N88" i="30"/>
  <c r="J88" i="30"/>
  <c r="F88" i="30"/>
  <c r="B88" i="30"/>
  <c r="Z87" i="30"/>
  <c r="V87" i="30"/>
  <c r="R87" i="30"/>
  <c r="N87" i="30"/>
  <c r="J87" i="30"/>
  <c r="F87" i="30"/>
  <c r="B87" i="30"/>
  <c r="Z86" i="30"/>
  <c r="V86" i="30"/>
  <c r="R86" i="30"/>
  <c r="N86" i="30"/>
  <c r="J86" i="30"/>
  <c r="F86" i="30"/>
  <c r="B86" i="30"/>
  <c r="Z85" i="30"/>
  <c r="V85" i="30"/>
  <c r="R85" i="30"/>
  <c r="N85" i="30"/>
  <c r="J85" i="30"/>
  <c r="F85" i="30"/>
  <c r="B85" i="30"/>
  <c r="Z84" i="30"/>
  <c r="V84" i="30"/>
  <c r="R84" i="30"/>
  <c r="N84" i="30"/>
  <c r="J84" i="30"/>
  <c r="F84" i="30"/>
  <c r="B84" i="30"/>
  <c r="Z83" i="30"/>
  <c r="V83" i="30"/>
  <c r="R83" i="30"/>
  <c r="N83" i="30"/>
  <c r="J83" i="30"/>
  <c r="F83" i="30"/>
  <c r="B83" i="30"/>
  <c r="Z82" i="30"/>
  <c r="V82" i="30"/>
  <c r="R82" i="30"/>
  <c r="N82" i="30"/>
  <c r="J82" i="30"/>
  <c r="F82" i="30"/>
  <c r="B82" i="30"/>
  <c r="Z81" i="30"/>
  <c r="V81" i="30"/>
  <c r="R81" i="30"/>
  <c r="N81" i="30"/>
  <c r="J81" i="30"/>
  <c r="F81" i="30"/>
  <c r="B81" i="30"/>
  <c r="Z80" i="30"/>
  <c r="V80" i="30"/>
  <c r="R80" i="30"/>
  <c r="N80" i="30"/>
  <c r="J80" i="30"/>
  <c r="F80" i="30"/>
  <c r="B80" i="30"/>
  <c r="Z79" i="30"/>
  <c r="V79" i="30"/>
  <c r="R79" i="30"/>
  <c r="N79" i="30"/>
  <c r="J79" i="30"/>
  <c r="F79" i="30"/>
  <c r="B79" i="30"/>
  <c r="Z78" i="30"/>
  <c r="V78" i="30"/>
  <c r="R78" i="30"/>
  <c r="N78" i="30"/>
  <c r="J78" i="30"/>
  <c r="F78" i="30"/>
  <c r="B78" i="30"/>
  <c r="Z77" i="30"/>
  <c r="V77" i="30"/>
  <c r="R77" i="30"/>
  <c r="N77" i="30"/>
  <c r="J77" i="30"/>
  <c r="F77" i="30"/>
  <c r="B77" i="30"/>
  <c r="Z76" i="30"/>
  <c r="V76" i="30"/>
  <c r="R76" i="30"/>
  <c r="N76" i="30"/>
  <c r="J76" i="30"/>
  <c r="F76" i="30"/>
  <c r="B76" i="30"/>
  <c r="Z75" i="30"/>
  <c r="V75" i="30"/>
  <c r="R75" i="30"/>
  <c r="N75" i="30"/>
  <c r="J75" i="30"/>
  <c r="F75" i="30"/>
  <c r="B75" i="30"/>
  <c r="Z74" i="30"/>
  <c r="V74" i="30"/>
  <c r="R74" i="30"/>
  <c r="N74" i="30"/>
  <c r="J74" i="30"/>
  <c r="F74" i="30"/>
  <c r="B74" i="30"/>
  <c r="Z73" i="30"/>
  <c r="V73" i="30"/>
  <c r="R73" i="30"/>
  <c r="N73" i="30"/>
  <c r="J73" i="30"/>
  <c r="F73" i="30"/>
  <c r="B73" i="30"/>
  <c r="Z72" i="30"/>
  <c r="V72" i="30"/>
  <c r="R72" i="30"/>
  <c r="N72" i="30"/>
  <c r="J72" i="30"/>
  <c r="F72" i="30"/>
  <c r="B72" i="30"/>
  <c r="Z71" i="30"/>
  <c r="V71" i="30"/>
  <c r="R71" i="30"/>
  <c r="N71" i="30"/>
  <c r="J71" i="30"/>
  <c r="F71" i="30"/>
  <c r="B71" i="30"/>
  <c r="Z70" i="30"/>
  <c r="V70" i="30"/>
  <c r="R70" i="30"/>
  <c r="N70" i="30"/>
  <c r="J70" i="30"/>
  <c r="F70" i="30"/>
  <c r="B70" i="30"/>
  <c r="Z69" i="30"/>
  <c r="V69" i="30"/>
  <c r="R69" i="30"/>
  <c r="N69" i="30"/>
  <c r="J69" i="30"/>
  <c r="F69" i="30"/>
  <c r="B69" i="30"/>
  <c r="Z68" i="30"/>
  <c r="V68" i="30"/>
  <c r="R68" i="30"/>
  <c r="N68" i="30"/>
  <c r="J68" i="30"/>
  <c r="F68" i="30"/>
  <c r="B68" i="30"/>
  <c r="Z67" i="30"/>
  <c r="V67" i="30"/>
  <c r="R67" i="30"/>
  <c r="N67" i="30"/>
  <c r="J67" i="30"/>
  <c r="F67" i="30"/>
  <c r="B67" i="30"/>
  <c r="Z66" i="30"/>
  <c r="V66" i="30"/>
  <c r="R66" i="30"/>
  <c r="N66" i="30"/>
  <c r="J66" i="30"/>
  <c r="F66" i="30"/>
  <c r="B66" i="30"/>
  <c r="Z65" i="30"/>
  <c r="V65" i="30"/>
  <c r="R65" i="30"/>
  <c r="N65" i="30"/>
  <c r="J65" i="30"/>
  <c r="F65" i="30"/>
  <c r="B65" i="30"/>
  <c r="Z64" i="30"/>
  <c r="V64" i="30"/>
  <c r="R64" i="30"/>
  <c r="N64" i="30"/>
  <c r="J64" i="30"/>
  <c r="F64" i="30"/>
  <c r="B64" i="30"/>
  <c r="Z63" i="30"/>
  <c r="V63" i="30"/>
  <c r="R63" i="30"/>
  <c r="N63" i="30"/>
  <c r="J63" i="30"/>
  <c r="F63" i="30"/>
  <c r="B63" i="30"/>
  <c r="Z62" i="30"/>
  <c r="V62" i="30"/>
  <c r="R62" i="30"/>
  <c r="N62" i="30"/>
  <c r="J62" i="30"/>
  <c r="F62" i="30"/>
  <c r="B62" i="30"/>
  <c r="Z61" i="30"/>
  <c r="V61" i="30"/>
  <c r="R61" i="30"/>
  <c r="N61" i="30"/>
  <c r="J61" i="30"/>
  <c r="F61" i="30"/>
  <c r="B61" i="30"/>
  <c r="Z60" i="30"/>
  <c r="V60" i="30"/>
  <c r="R60" i="30"/>
  <c r="N60" i="30"/>
  <c r="J60" i="30"/>
  <c r="F60" i="30"/>
  <c r="B60" i="30"/>
  <c r="Z59" i="30"/>
  <c r="V59" i="30"/>
  <c r="R59" i="30"/>
  <c r="N59" i="30"/>
  <c r="J59" i="30"/>
  <c r="F59" i="30"/>
  <c r="B59" i="30"/>
  <c r="Z58" i="30"/>
  <c r="V58" i="30"/>
  <c r="R58" i="30"/>
  <c r="N58" i="30"/>
  <c r="J58" i="30"/>
  <c r="F58" i="30"/>
  <c r="B58" i="30"/>
  <c r="Z57" i="30"/>
  <c r="V57" i="30"/>
  <c r="R57" i="30"/>
  <c r="N57" i="30"/>
  <c r="J57" i="30"/>
  <c r="F57" i="30"/>
  <c r="B57" i="30"/>
  <c r="Z56" i="30"/>
  <c r="V56" i="30"/>
  <c r="R56" i="30"/>
  <c r="N56" i="30"/>
  <c r="J56" i="30"/>
  <c r="F56" i="30"/>
  <c r="B56" i="30"/>
  <c r="Z55" i="30"/>
  <c r="V55" i="30"/>
  <c r="R55" i="30"/>
  <c r="N55" i="30"/>
  <c r="J55" i="30"/>
  <c r="F55" i="30"/>
  <c r="B55" i="30"/>
  <c r="Z54" i="30"/>
  <c r="V54" i="30"/>
  <c r="R54" i="30"/>
  <c r="N54" i="30"/>
  <c r="J54" i="30"/>
  <c r="F54" i="30"/>
  <c r="B54" i="30"/>
  <c r="Z53" i="30"/>
  <c r="V53" i="30"/>
  <c r="R53" i="30"/>
  <c r="N53" i="30"/>
  <c r="J53" i="30"/>
  <c r="F53" i="30"/>
  <c r="B53" i="30"/>
  <c r="Z52" i="30"/>
  <c r="V52" i="30"/>
  <c r="R52" i="30"/>
  <c r="N52" i="30"/>
  <c r="J52" i="30"/>
  <c r="F52" i="30"/>
  <c r="B52" i="30"/>
  <c r="Z51" i="30"/>
  <c r="V51" i="30"/>
  <c r="R51" i="30"/>
  <c r="N51" i="30"/>
  <c r="J51" i="30"/>
  <c r="F51" i="30"/>
  <c r="B51" i="30"/>
  <c r="Z50" i="30"/>
  <c r="V50" i="30"/>
  <c r="R50" i="30"/>
  <c r="N50" i="30"/>
  <c r="J50" i="30"/>
  <c r="F50" i="30"/>
  <c r="B50" i="30"/>
  <c r="Z49" i="30"/>
  <c r="V49" i="30"/>
  <c r="R49" i="30"/>
  <c r="N49" i="30"/>
  <c r="J49" i="30"/>
  <c r="F49" i="30"/>
  <c r="B49" i="30"/>
  <c r="Z48" i="30"/>
  <c r="V48" i="30"/>
  <c r="R48" i="30"/>
  <c r="N48" i="30"/>
  <c r="J48" i="30"/>
  <c r="F48" i="30"/>
  <c r="B48" i="30"/>
  <c r="Z47" i="30"/>
  <c r="V47" i="30"/>
  <c r="R47" i="30"/>
  <c r="N47" i="30"/>
  <c r="J47" i="30"/>
  <c r="F47" i="30"/>
  <c r="B47" i="30"/>
  <c r="Z46" i="30"/>
  <c r="V46" i="30"/>
  <c r="R46" i="30"/>
  <c r="N46" i="30"/>
  <c r="J46" i="30"/>
  <c r="F46" i="30"/>
  <c r="B46" i="30"/>
  <c r="Z45" i="30"/>
  <c r="V45" i="30"/>
  <c r="R45" i="30"/>
  <c r="N45" i="30"/>
  <c r="J45" i="30"/>
  <c r="F45" i="30"/>
  <c r="B45" i="30"/>
  <c r="Z44" i="30"/>
  <c r="V44" i="30"/>
  <c r="R44" i="30"/>
  <c r="N44" i="30"/>
  <c r="J44" i="30"/>
  <c r="F44" i="30"/>
  <c r="B44" i="30"/>
  <c r="A1" i="30"/>
  <c r="Z253" i="29"/>
  <c r="V253" i="29"/>
  <c r="R253" i="29"/>
  <c r="N253" i="29"/>
  <c r="J253" i="29"/>
  <c r="F253" i="29"/>
  <c r="B253" i="29"/>
  <c r="Z252" i="29"/>
  <c r="V252" i="29"/>
  <c r="R252" i="29"/>
  <c r="N252" i="29"/>
  <c r="J252" i="29"/>
  <c r="F252" i="29"/>
  <c r="B252" i="29"/>
  <c r="Z251" i="29"/>
  <c r="V251" i="29"/>
  <c r="R251" i="29"/>
  <c r="N251" i="29"/>
  <c r="J251" i="29"/>
  <c r="F251" i="29"/>
  <c r="B251" i="29"/>
  <c r="Z250" i="29"/>
  <c r="V250" i="29"/>
  <c r="R250" i="29"/>
  <c r="N250" i="29"/>
  <c r="J250" i="29"/>
  <c r="F250" i="29"/>
  <c r="B250" i="29"/>
  <c r="Z249" i="29"/>
  <c r="V249" i="29"/>
  <c r="R249" i="29"/>
  <c r="N249" i="29"/>
  <c r="J249" i="29"/>
  <c r="F249" i="29"/>
  <c r="B249" i="29"/>
  <c r="Z248" i="29"/>
  <c r="V248" i="29"/>
  <c r="R248" i="29"/>
  <c r="N248" i="29"/>
  <c r="J248" i="29"/>
  <c r="F248" i="29"/>
  <c r="B248" i="29"/>
  <c r="Z247" i="29"/>
  <c r="V247" i="29"/>
  <c r="R247" i="29"/>
  <c r="N247" i="29"/>
  <c r="J247" i="29"/>
  <c r="F247" i="29"/>
  <c r="B247" i="29"/>
  <c r="Z246" i="29"/>
  <c r="V246" i="29"/>
  <c r="R246" i="29"/>
  <c r="N246" i="29"/>
  <c r="J246" i="29"/>
  <c r="F246" i="29"/>
  <c r="B246" i="29"/>
  <c r="Z245" i="29"/>
  <c r="V245" i="29"/>
  <c r="R245" i="29"/>
  <c r="N245" i="29"/>
  <c r="J245" i="29"/>
  <c r="F245" i="29"/>
  <c r="B245" i="29"/>
  <c r="Z244" i="29"/>
  <c r="V244" i="29"/>
  <c r="R244" i="29"/>
  <c r="N244" i="29"/>
  <c r="J244" i="29"/>
  <c r="F244" i="29"/>
  <c r="B244" i="29"/>
  <c r="Z243" i="29"/>
  <c r="V243" i="29"/>
  <c r="R243" i="29"/>
  <c r="N243" i="29"/>
  <c r="J243" i="29"/>
  <c r="F243" i="29"/>
  <c r="B243" i="29"/>
  <c r="Z242" i="29"/>
  <c r="V242" i="29"/>
  <c r="R242" i="29"/>
  <c r="N242" i="29"/>
  <c r="J242" i="29"/>
  <c r="F242" i="29"/>
  <c r="B242" i="29"/>
  <c r="Z241" i="29"/>
  <c r="V241" i="29"/>
  <c r="R241" i="29"/>
  <c r="N241" i="29"/>
  <c r="J241" i="29"/>
  <c r="F241" i="29"/>
  <c r="B241" i="29"/>
  <c r="Z240" i="29"/>
  <c r="V240" i="29"/>
  <c r="R240" i="29"/>
  <c r="N240" i="29"/>
  <c r="J240" i="29"/>
  <c r="F240" i="29"/>
  <c r="B240" i="29"/>
  <c r="Z239" i="29"/>
  <c r="V239" i="29"/>
  <c r="R239" i="29"/>
  <c r="N239" i="29"/>
  <c r="J239" i="29"/>
  <c r="F239" i="29"/>
  <c r="B239" i="29"/>
  <c r="Z238" i="29"/>
  <c r="V238" i="29"/>
  <c r="R238" i="29"/>
  <c r="N238" i="29"/>
  <c r="J238" i="29"/>
  <c r="F238" i="29"/>
  <c r="B238" i="29"/>
  <c r="Z237" i="29"/>
  <c r="V237" i="29"/>
  <c r="R237" i="29"/>
  <c r="N237" i="29"/>
  <c r="J237" i="29"/>
  <c r="F237" i="29"/>
  <c r="B237" i="29"/>
  <c r="Z236" i="29"/>
  <c r="V236" i="29"/>
  <c r="R236" i="29"/>
  <c r="N236" i="29"/>
  <c r="J236" i="29"/>
  <c r="F236" i="29"/>
  <c r="B236" i="29"/>
  <c r="Z235" i="29"/>
  <c r="V235" i="29"/>
  <c r="R235" i="29"/>
  <c r="N235" i="29"/>
  <c r="J235" i="29"/>
  <c r="F235" i="29"/>
  <c r="B235" i="29"/>
  <c r="Z234" i="29"/>
  <c r="V234" i="29"/>
  <c r="R234" i="29"/>
  <c r="N234" i="29"/>
  <c r="J234" i="29"/>
  <c r="F234" i="29"/>
  <c r="B234" i="29"/>
  <c r="Z233" i="29"/>
  <c r="V233" i="29"/>
  <c r="R233" i="29"/>
  <c r="N233" i="29"/>
  <c r="J233" i="29"/>
  <c r="F233" i="29"/>
  <c r="B233" i="29"/>
  <c r="Z232" i="29"/>
  <c r="V232" i="29"/>
  <c r="R232" i="29"/>
  <c r="N232" i="29"/>
  <c r="J232" i="29"/>
  <c r="F232" i="29"/>
  <c r="B232" i="29"/>
  <c r="Z231" i="29"/>
  <c r="V231" i="29"/>
  <c r="R231" i="29"/>
  <c r="N231" i="29"/>
  <c r="J231" i="29"/>
  <c r="F231" i="29"/>
  <c r="B231" i="29"/>
  <c r="Z230" i="29"/>
  <c r="V230" i="29"/>
  <c r="R230" i="29"/>
  <c r="N230" i="29"/>
  <c r="J230" i="29"/>
  <c r="F230" i="29"/>
  <c r="B230" i="29"/>
  <c r="Z229" i="29"/>
  <c r="V229" i="29"/>
  <c r="R229" i="29"/>
  <c r="N229" i="29"/>
  <c r="J229" i="29"/>
  <c r="F229" i="29"/>
  <c r="B229" i="29"/>
  <c r="Z228" i="29"/>
  <c r="V228" i="29"/>
  <c r="R228" i="29"/>
  <c r="N228" i="29"/>
  <c r="J228" i="29"/>
  <c r="F228" i="29"/>
  <c r="B228" i="29"/>
  <c r="Z227" i="29"/>
  <c r="V227" i="29"/>
  <c r="R227" i="29"/>
  <c r="N227" i="29"/>
  <c r="J227" i="29"/>
  <c r="F227" i="29"/>
  <c r="B227" i="29"/>
  <c r="Z226" i="29"/>
  <c r="V226" i="29"/>
  <c r="R226" i="29"/>
  <c r="N226" i="29"/>
  <c r="J226" i="29"/>
  <c r="F226" i="29"/>
  <c r="B226" i="29"/>
  <c r="Z225" i="29"/>
  <c r="V225" i="29"/>
  <c r="R225" i="29"/>
  <c r="N225" i="29"/>
  <c r="J225" i="29"/>
  <c r="F225" i="29"/>
  <c r="B225" i="29"/>
  <c r="Z224" i="29"/>
  <c r="V224" i="29"/>
  <c r="R224" i="29"/>
  <c r="N224" i="29"/>
  <c r="J224" i="29"/>
  <c r="F224" i="29"/>
  <c r="B224" i="29"/>
  <c r="Z223" i="29"/>
  <c r="V223" i="29"/>
  <c r="R223" i="29"/>
  <c r="N223" i="29"/>
  <c r="J223" i="29"/>
  <c r="F223" i="29"/>
  <c r="B223" i="29"/>
  <c r="Z222" i="29"/>
  <c r="V222" i="29"/>
  <c r="R222" i="29"/>
  <c r="N222" i="29"/>
  <c r="J222" i="29"/>
  <c r="F222" i="29"/>
  <c r="B222" i="29"/>
  <c r="Z221" i="29"/>
  <c r="V221" i="29"/>
  <c r="R221" i="29"/>
  <c r="N221" i="29"/>
  <c r="J221" i="29"/>
  <c r="F221" i="29"/>
  <c r="B221" i="29"/>
  <c r="Z220" i="29"/>
  <c r="V220" i="29"/>
  <c r="R220" i="29"/>
  <c r="N220" i="29"/>
  <c r="J220" i="29"/>
  <c r="F220" i="29"/>
  <c r="B220" i="29"/>
  <c r="Z219" i="29"/>
  <c r="V219" i="29"/>
  <c r="R219" i="29"/>
  <c r="N219" i="29"/>
  <c r="J219" i="29"/>
  <c r="F219" i="29"/>
  <c r="B219" i="29"/>
  <c r="Z218" i="29"/>
  <c r="V218" i="29"/>
  <c r="R218" i="29"/>
  <c r="N218" i="29"/>
  <c r="J218" i="29"/>
  <c r="F218" i="29"/>
  <c r="B218" i="29"/>
  <c r="Z217" i="29"/>
  <c r="V217" i="29"/>
  <c r="R217" i="29"/>
  <c r="N217" i="29"/>
  <c r="J217" i="29"/>
  <c r="F217" i="29"/>
  <c r="B217" i="29"/>
  <c r="Z216" i="29"/>
  <c r="V216" i="29"/>
  <c r="R216" i="29"/>
  <c r="N216" i="29"/>
  <c r="J216" i="29"/>
  <c r="F216" i="29"/>
  <c r="B216" i="29"/>
  <c r="Z215" i="29"/>
  <c r="V215" i="29"/>
  <c r="R215" i="29"/>
  <c r="N215" i="29"/>
  <c r="J215" i="29"/>
  <c r="F215" i="29"/>
  <c r="B215" i="29"/>
  <c r="Z214" i="29"/>
  <c r="V214" i="29"/>
  <c r="R214" i="29"/>
  <c r="N214" i="29"/>
  <c r="J214" i="29"/>
  <c r="F214" i="29"/>
  <c r="B214" i="29"/>
  <c r="Z213" i="29"/>
  <c r="V213" i="29"/>
  <c r="R213" i="29"/>
  <c r="N213" i="29"/>
  <c r="J213" i="29"/>
  <c r="F213" i="29"/>
  <c r="B213" i="29"/>
  <c r="Z212" i="29"/>
  <c r="V212" i="29"/>
  <c r="R212" i="29"/>
  <c r="N212" i="29"/>
  <c r="J212" i="29"/>
  <c r="F212" i="29"/>
  <c r="B212" i="29"/>
  <c r="Z211" i="29"/>
  <c r="V211" i="29"/>
  <c r="R211" i="29"/>
  <c r="N211" i="29"/>
  <c r="J211" i="29"/>
  <c r="F211" i="29"/>
  <c r="B211" i="29"/>
  <c r="Z210" i="29"/>
  <c r="V210" i="29"/>
  <c r="R210" i="29"/>
  <c r="N210" i="29"/>
  <c r="J210" i="29"/>
  <c r="F210" i="29"/>
  <c r="B210" i="29"/>
  <c r="Z209" i="29"/>
  <c r="V209" i="29"/>
  <c r="R209" i="29"/>
  <c r="N209" i="29"/>
  <c r="J209" i="29"/>
  <c r="F209" i="29"/>
  <c r="B209" i="29"/>
  <c r="Z208" i="29"/>
  <c r="V208" i="29"/>
  <c r="R208" i="29"/>
  <c r="N208" i="29"/>
  <c r="J208" i="29"/>
  <c r="F208" i="29"/>
  <c r="B208" i="29"/>
  <c r="Z207" i="29"/>
  <c r="V207" i="29"/>
  <c r="R207" i="29"/>
  <c r="N207" i="29"/>
  <c r="J207" i="29"/>
  <c r="F207" i="29"/>
  <c r="B207" i="29"/>
  <c r="Z206" i="29"/>
  <c r="V206" i="29"/>
  <c r="R206" i="29"/>
  <c r="N206" i="29"/>
  <c r="J206" i="29"/>
  <c r="F206" i="29"/>
  <c r="B206" i="29"/>
  <c r="Z205" i="29"/>
  <c r="V205" i="29"/>
  <c r="R205" i="29"/>
  <c r="N205" i="29"/>
  <c r="J205" i="29"/>
  <c r="F205" i="29"/>
  <c r="B205" i="29"/>
  <c r="Z204" i="29"/>
  <c r="V204" i="29"/>
  <c r="R204" i="29"/>
  <c r="N204" i="29"/>
  <c r="J204" i="29"/>
  <c r="F204" i="29"/>
  <c r="B204" i="29"/>
  <c r="Z203" i="29"/>
  <c r="V203" i="29"/>
  <c r="R203" i="29"/>
  <c r="N203" i="29"/>
  <c r="J203" i="29"/>
  <c r="F203" i="29"/>
  <c r="B203" i="29"/>
  <c r="Z202" i="29"/>
  <c r="V202" i="29"/>
  <c r="R202" i="29"/>
  <c r="N202" i="29"/>
  <c r="J202" i="29"/>
  <c r="F202" i="29"/>
  <c r="B202" i="29"/>
  <c r="Z201" i="29"/>
  <c r="V201" i="29"/>
  <c r="R201" i="29"/>
  <c r="N201" i="29"/>
  <c r="J201" i="29"/>
  <c r="F201" i="29"/>
  <c r="B201" i="29"/>
  <c r="Z200" i="29"/>
  <c r="V200" i="29"/>
  <c r="R200" i="29"/>
  <c r="N200" i="29"/>
  <c r="J200" i="29"/>
  <c r="F200" i="29"/>
  <c r="B200" i="29"/>
  <c r="Z199" i="29"/>
  <c r="V199" i="29"/>
  <c r="R199" i="29"/>
  <c r="N199" i="29"/>
  <c r="J199" i="29"/>
  <c r="F199" i="29"/>
  <c r="B199" i="29"/>
  <c r="Z198" i="29"/>
  <c r="V198" i="29"/>
  <c r="R198" i="29"/>
  <c r="N198" i="29"/>
  <c r="J198" i="29"/>
  <c r="F198" i="29"/>
  <c r="B198" i="29"/>
  <c r="Z197" i="29"/>
  <c r="V197" i="29"/>
  <c r="R197" i="29"/>
  <c r="N197" i="29"/>
  <c r="J197" i="29"/>
  <c r="F197" i="29"/>
  <c r="B197" i="29"/>
  <c r="Z196" i="29"/>
  <c r="V196" i="29"/>
  <c r="R196" i="29"/>
  <c r="N196" i="29"/>
  <c r="J196" i="29"/>
  <c r="F196" i="29"/>
  <c r="B196" i="29"/>
  <c r="Z195" i="29"/>
  <c r="V195" i="29"/>
  <c r="R195" i="29"/>
  <c r="N195" i="29"/>
  <c r="J195" i="29"/>
  <c r="F195" i="29"/>
  <c r="B195" i="29"/>
  <c r="Z194" i="29"/>
  <c r="V194" i="29"/>
  <c r="R194" i="29"/>
  <c r="N194" i="29"/>
  <c r="J194" i="29"/>
  <c r="F194" i="29"/>
  <c r="B194" i="29"/>
  <c r="Z193" i="29"/>
  <c r="V193" i="29"/>
  <c r="R193" i="29"/>
  <c r="N193" i="29"/>
  <c r="J193" i="29"/>
  <c r="F193" i="29"/>
  <c r="B193" i="29"/>
  <c r="Z192" i="29"/>
  <c r="V192" i="29"/>
  <c r="R192" i="29"/>
  <c r="N192" i="29"/>
  <c r="J192" i="29"/>
  <c r="F192" i="29"/>
  <c r="B192" i="29"/>
  <c r="Z191" i="29"/>
  <c r="V191" i="29"/>
  <c r="R191" i="29"/>
  <c r="N191" i="29"/>
  <c r="J191" i="29"/>
  <c r="F191" i="29"/>
  <c r="B191" i="29"/>
  <c r="Z190" i="29"/>
  <c r="V190" i="29"/>
  <c r="R190" i="29"/>
  <c r="N190" i="29"/>
  <c r="J190" i="29"/>
  <c r="F190" i="29"/>
  <c r="B190" i="29"/>
  <c r="Z189" i="29"/>
  <c r="V189" i="29"/>
  <c r="R189" i="29"/>
  <c r="N189" i="29"/>
  <c r="J189" i="29"/>
  <c r="F189" i="29"/>
  <c r="B189" i="29"/>
  <c r="Z188" i="29"/>
  <c r="V188" i="29"/>
  <c r="R188" i="29"/>
  <c r="N188" i="29"/>
  <c r="J188" i="29"/>
  <c r="F188" i="29"/>
  <c r="B188" i="29"/>
  <c r="Z187" i="29"/>
  <c r="V187" i="29"/>
  <c r="R187" i="29"/>
  <c r="N187" i="29"/>
  <c r="J187" i="29"/>
  <c r="F187" i="29"/>
  <c r="B187" i="29"/>
  <c r="Z186" i="29"/>
  <c r="V186" i="29"/>
  <c r="R186" i="29"/>
  <c r="N186" i="29"/>
  <c r="J186" i="29"/>
  <c r="F186" i="29"/>
  <c r="B186" i="29"/>
  <c r="Z185" i="29"/>
  <c r="V185" i="29"/>
  <c r="R185" i="29"/>
  <c r="N185" i="29"/>
  <c r="J185" i="29"/>
  <c r="F185" i="29"/>
  <c r="B185" i="29"/>
  <c r="Z184" i="29"/>
  <c r="V184" i="29"/>
  <c r="R184" i="29"/>
  <c r="N184" i="29"/>
  <c r="J184" i="29"/>
  <c r="F184" i="29"/>
  <c r="B184" i="29"/>
  <c r="Z183" i="29"/>
  <c r="V183" i="29"/>
  <c r="R183" i="29"/>
  <c r="N183" i="29"/>
  <c r="J183" i="29"/>
  <c r="F183" i="29"/>
  <c r="B183" i="29"/>
  <c r="Z182" i="29"/>
  <c r="V182" i="29"/>
  <c r="R182" i="29"/>
  <c r="N182" i="29"/>
  <c r="J182" i="29"/>
  <c r="F182" i="29"/>
  <c r="B182" i="29"/>
  <c r="Z181" i="29"/>
  <c r="V181" i="29"/>
  <c r="R181" i="29"/>
  <c r="N181" i="29"/>
  <c r="J181" i="29"/>
  <c r="F181" i="29"/>
  <c r="B181" i="29"/>
  <c r="Z180" i="29"/>
  <c r="V180" i="29"/>
  <c r="R180" i="29"/>
  <c r="N180" i="29"/>
  <c r="J180" i="29"/>
  <c r="F180" i="29"/>
  <c r="B180" i="29"/>
  <c r="Z179" i="29"/>
  <c r="V179" i="29"/>
  <c r="R179" i="29"/>
  <c r="N179" i="29"/>
  <c r="J179" i="29"/>
  <c r="F179" i="29"/>
  <c r="B179" i="29"/>
  <c r="Z178" i="29"/>
  <c r="V178" i="29"/>
  <c r="R178" i="29"/>
  <c r="N178" i="29"/>
  <c r="J178" i="29"/>
  <c r="F178" i="29"/>
  <c r="B178" i="29"/>
  <c r="Z177" i="29"/>
  <c r="V177" i="29"/>
  <c r="R177" i="29"/>
  <c r="N177" i="29"/>
  <c r="J177" i="29"/>
  <c r="F177" i="29"/>
  <c r="B177" i="29"/>
  <c r="Z176" i="29"/>
  <c r="V176" i="29"/>
  <c r="R176" i="29"/>
  <c r="N176" i="29"/>
  <c r="J176" i="29"/>
  <c r="F176" i="29"/>
  <c r="B176" i="29"/>
  <c r="Z175" i="29"/>
  <c r="V175" i="29"/>
  <c r="R175" i="29"/>
  <c r="N175" i="29"/>
  <c r="J175" i="29"/>
  <c r="F175" i="29"/>
  <c r="B175" i="29"/>
  <c r="Z174" i="29"/>
  <c r="V174" i="29"/>
  <c r="R174" i="29"/>
  <c r="N174" i="29"/>
  <c r="J174" i="29"/>
  <c r="F174" i="29"/>
  <c r="B174" i="29"/>
  <c r="Z173" i="29"/>
  <c r="V173" i="29"/>
  <c r="R173" i="29"/>
  <c r="N173" i="29"/>
  <c r="J173" i="29"/>
  <c r="F173" i="29"/>
  <c r="B173" i="29"/>
  <c r="Z172" i="29"/>
  <c r="V172" i="29"/>
  <c r="R172" i="29"/>
  <c r="N172" i="29"/>
  <c r="J172" i="29"/>
  <c r="F172" i="29"/>
  <c r="B172" i="29"/>
  <c r="Z171" i="29"/>
  <c r="V171" i="29"/>
  <c r="R171" i="29"/>
  <c r="N171" i="29"/>
  <c r="J171" i="29"/>
  <c r="F171" i="29"/>
  <c r="B171" i="29"/>
  <c r="Z170" i="29"/>
  <c r="V170" i="29"/>
  <c r="R170" i="29"/>
  <c r="N170" i="29"/>
  <c r="J170" i="29"/>
  <c r="F170" i="29"/>
  <c r="B170" i="29"/>
  <c r="Z169" i="29"/>
  <c r="V169" i="29"/>
  <c r="R169" i="29"/>
  <c r="N169" i="29"/>
  <c r="J169" i="29"/>
  <c r="F169" i="29"/>
  <c r="B169" i="29"/>
  <c r="Z168" i="29"/>
  <c r="V168" i="29"/>
  <c r="R168" i="29"/>
  <c r="N168" i="29"/>
  <c r="J168" i="29"/>
  <c r="F168" i="29"/>
  <c r="B168" i="29"/>
  <c r="Z167" i="29"/>
  <c r="V167" i="29"/>
  <c r="R167" i="29"/>
  <c r="N167" i="29"/>
  <c r="J167" i="29"/>
  <c r="F167" i="29"/>
  <c r="B167" i="29"/>
  <c r="Z166" i="29"/>
  <c r="V166" i="29"/>
  <c r="R166" i="29"/>
  <c r="N166" i="29"/>
  <c r="J166" i="29"/>
  <c r="F166" i="29"/>
  <c r="B166" i="29"/>
  <c r="Z165" i="29"/>
  <c r="V165" i="29"/>
  <c r="R165" i="29"/>
  <c r="N165" i="29"/>
  <c r="J165" i="29"/>
  <c r="F165" i="29"/>
  <c r="B165" i="29"/>
  <c r="Z164" i="29"/>
  <c r="V164" i="29"/>
  <c r="R164" i="29"/>
  <c r="N164" i="29"/>
  <c r="J164" i="29"/>
  <c r="F164" i="29"/>
  <c r="B164" i="29"/>
  <c r="Z163" i="29"/>
  <c r="V163" i="29"/>
  <c r="R163" i="29"/>
  <c r="N163" i="29"/>
  <c r="J163" i="29"/>
  <c r="F163" i="29"/>
  <c r="B163" i="29"/>
  <c r="Z162" i="29"/>
  <c r="V162" i="29"/>
  <c r="R162" i="29"/>
  <c r="N162" i="29"/>
  <c r="J162" i="29"/>
  <c r="F162" i="29"/>
  <c r="B162" i="29"/>
  <c r="Z161" i="29"/>
  <c r="V161" i="29"/>
  <c r="R161" i="29"/>
  <c r="N161" i="29"/>
  <c r="J161" i="29"/>
  <c r="F161" i="29"/>
  <c r="B161" i="29"/>
  <c r="Z160" i="29"/>
  <c r="V160" i="29"/>
  <c r="R160" i="29"/>
  <c r="N160" i="29"/>
  <c r="J160" i="29"/>
  <c r="F160" i="29"/>
  <c r="B160" i="29"/>
  <c r="Z159" i="29"/>
  <c r="V159" i="29"/>
  <c r="R159" i="29"/>
  <c r="N159" i="29"/>
  <c r="J159" i="29"/>
  <c r="F159" i="29"/>
  <c r="B159" i="29"/>
  <c r="Z158" i="29"/>
  <c r="V158" i="29"/>
  <c r="R158" i="29"/>
  <c r="N158" i="29"/>
  <c r="J158" i="29"/>
  <c r="F158" i="29"/>
  <c r="B158" i="29"/>
  <c r="Z157" i="29"/>
  <c r="V157" i="29"/>
  <c r="R157" i="29"/>
  <c r="N157" i="29"/>
  <c r="J157" i="29"/>
  <c r="F157" i="29"/>
  <c r="B157" i="29"/>
  <c r="Z156" i="29"/>
  <c r="V156" i="29"/>
  <c r="R156" i="29"/>
  <c r="N156" i="29"/>
  <c r="J156" i="29"/>
  <c r="F156" i="29"/>
  <c r="B156" i="29"/>
  <c r="Z155" i="29"/>
  <c r="V155" i="29"/>
  <c r="R155" i="29"/>
  <c r="N155" i="29"/>
  <c r="J155" i="29"/>
  <c r="F155" i="29"/>
  <c r="B155" i="29"/>
  <c r="Z154" i="29"/>
  <c r="V154" i="29"/>
  <c r="R154" i="29"/>
  <c r="N154" i="29"/>
  <c r="J154" i="29"/>
  <c r="F154" i="29"/>
  <c r="B154" i="29"/>
  <c r="Z153" i="29"/>
  <c r="V153" i="29"/>
  <c r="R153" i="29"/>
  <c r="N153" i="29"/>
  <c r="J153" i="29"/>
  <c r="F153" i="29"/>
  <c r="B153" i="29"/>
  <c r="Z152" i="29"/>
  <c r="V152" i="29"/>
  <c r="R152" i="29"/>
  <c r="N152" i="29"/>
  <c r="J152" i="29"/>
  <c r="F152" i="29"/>
  <c r="B152" i="29"/>
  <c r="Z151" i="29"/>
  <c r="V151" i="29"/>
  <c r="R151" i="29"/>
  <c r="N151" i="29"/>
  <c r="J151" i="29"/>
  <c r="F151" i="29"/>
  <c r="B151" i="29"/>
  <c r="Z150" i="29"/>
  <c r="V150" i="29"/>
  <c r="R150" i="29"/>
  <c r="N150" i="29"/>
  <c r="J150" i="29"/>
  <c r="F150" i="29"/>
  <c r="B150" i="29"/>
  <c r="Z149" i="29"/>
  <c r="V149" i="29"/>
  <c r="R149" i="29"/>
  <c r="N149" i="29"/>
  <c r="J149" i="29"/>
  <c r="F149" i="29"/>
  <c r="B149" i="29"/>
  <c r="Z148" i="29"/>
  <c r="V148" i="29"/>
  <c r="R148" i="29"/>
  <c r="N148" i="29"/>
  <c r="J148" i="29"/>
  <c r="F148" i="29"/>
  <c r="B148" i="29"/>
  <c r="Z147" i="29"/>
  <c r="V147" i="29"/>
  <c r="R147" i="29"/>
  <c r="N147" i="29"/>
  <c r="J147" i="29"/>
  <c r="F147" i="29"/>
  <c r="B147" i="29"/>
  <c r="Z146" i="29"/>
  <c r="V146" i="29"/>
  <c r="R146" i="29"/>
  <c r="N146" i="29"/>
  <c r="J146" i="29"/>
  <c r="F146" i="29"/>
  <c r="B146" i="29"/>
  <c r="Z145" i="29"/>
  <c r="V145" i="29"/>
  <c r="R145" i="29"/>
  <c r="N145" i="29"/>
  <c r="J145" i="29"/>
  <c r="F145" i="29"/>
  <c r="B145" i="29"/>
  <c r="Z144" i="29"/>
  <c r="V144" i="29"/>
  <c r="R144" i="29"/>
  <c r="N144" i="29"/>
  <c r="J144" i="29"/>
  <c r="F144" i="29"/>
  <c r="B144" i="29"/>
  <c r="Z143" i="29"/>
  <c r="V143" i="29"/>
  <c r="R143" i="29"/>
  <c r="N143" i="29"/>
  <c r="J143" i="29"/>
  <c r="F143" i="29"/>
  <c r="B143" i="29"/>
  <c r="Z142" i="29"/>
  <c r="V142" i="29"/>
  <c r="R142" i="29"/>
  <c r="N142" i="29"/>
  <c r="J142" i="29"/>
  <c r="F142" i="29"/>
  <c r="B142" i="29"/>
  <c r="Z141" i="29"/>
  <c r="V141" i="29"/>
  <c r="R141" i="29"/>
  <c r="N141" i="29"/>
  <c r="J141" i="29"/>
  <c r="F141" i="29"/>
  <c r="B141" i="29"/>
  <c r="Z140" i="29"/>
  <c r="V140" i="29"/>
  <c r="R140" i="29"/>
  <c r="N140" i="29"/>
  <c r="J140" i="29"/>
  <c r="F140" i="29"/>
  <c r="B140" i="29"/>
  <c r="Z139" i="29"/>
  <c r="V139" i="29"/>
  <c r="R139" i="29"/>
  <c r="N139" i="29"/>
  <c r="J139" i="29"/>
  <c r="F139" i="29"/>
  <c r="B139" i="29"/>
  <c r="Z138" i="29"/>
  <c r="V138" i="29"/>
  <c r="R138" i="29"/>
  <c r="N138" i="29"/>
  <c r="J138" i="29"/>
  <c r="F138" i="29"/>
  <c r="B138" i="29"/>
  <c r="Z137" i="29"/>
  <c r="V137" i="29"/>
  <c r="R137" i="29"/>
  <c r="N137" i="29"/>
  <c r="J137" i="29"/>
  <c r="F137" i="29"/>
  <c r="B137" i="29"/>
  <c r="Z136" i="29"/>
  <c r="V136" i="29"/>
  <c r="R136" i="29"/>
  <c r="N136" i="29"/>
  <c r="J136" i="29"/>
  <c r="F136" i="29"/>
  <c r="B136" i="29"/>
  <c r="Z135" i="29"/>
  <c r="V135" i="29"/>
  <c r="R135" i="29"/>
  <c r="N135" i="29"/>
  <c r="J135" i="29"/>
  <c r="F135" i="29"/>
  <c r="B135" i="29"/>
  <c r="Z134" i="29"/>
  <c r="V134" i="29"/>
  <c r="R134" i="29"/>
  <c r="N134" i="29"/>
  <c r="J134" i="29"/>
  <c r="F134" i="29"/>
  <c r="B134" i="29"/>
  <c r="Z133" i="29"/>
  <c r="V133" i="29"/>
  <c r="R133" i="29"/>
  <c r="N133" i="29"/>
  <c r="J133" i="29"/>
  <c r="F133" i="29"/>
  <c r="B133" i="29"/>
  <c r="Z132" i="29"/>
  <c r="V132" i="29"/>
  <c r="R132" i="29"/>
  <c r="N132" i="29"/>
  <c r="J132" i="29"/>
  <c r="F132" i="29"/>
  <c r="B132" i="29"/>
  <c r="Z131" i="29"/>
  <c r="V131" i="29"/>
  <c r="R131" i="29"/>
  <c r="N131" i="29"/>
  <c r="J131" i="29"/>
  <c r="F131" i="29"/>
  <c r="B131" i="29"/>
  <c r="Z130" i="29"/>
  <c r="V130" i="29"/>
  <c r="R130" i="29"/>
  <c r="N130" i="29"/>
  <c r="J130" i="29"/>
  <c r="F130" i="29"/>
  <c r="B130" i="29"/>
  <c r="Z129" i="29"/>
  <c r="V129" i="29"/>
  <c r="R129" i="29"/>
  <c r="N129" i="29"/>
  <c r="J129" i="29"/>
  <c r="F129" i="29"/>
  <c r="B129" i="29"/>
  <c r="Z128" i="29"/>
  <c r="V128" i="29"/>
  <c r="R128" i="29"/>
  <c r="N128" i="29"/>
  <c r="J128" i="29"/>
  <c r="F128" i="29"/>
  <c r="B128" i="29"/>
  <c r="Z127" i="29"/>
  <c r="V127" i="29"/>
  <c r="R127" i="29"/>
  <c r="N127" i="29"/>
  <c r="J127" i="29"/>
  <c r="F127" i="29"/>
  <c r="B127" i="29"/>
  <c r="Z126" i="29"/>
  <c r="V126" i="29"/>
  <c r="R126" i="29"/>
  <c r="N126" i="29"/>
  <c r="J126" i="29"/>
  <c r="F126" i="29"/>
  <c r="B126" i="29"/>
  <c r="Z125" i="29"/>
  <c r="V125" i="29"/>
  <c r="R125" i="29"/>
  <c r="N125" i="29"/>
  <c r="J125" i="29"/>
  <c r="F125" i="29"/>
  <c r="B125" i="29"/>
  <c r="Z124" i="29"/>
  <c r="V124" i="29"/>
  <c r="R124" i="29"/>
  <c r="N124" i="29"/>
  <c r="J124" i="29"/>
  <c r="F124" i="29"/>
  <c r="B124" i="29"/>
  <c r="Z123" i="29"/>
  <c r="V123" i="29"/>
  <c r="R123" i="29"/>
  <c r="N123" i="29"/>
  <c r="J123" i="29"/>
  <c r="F123" i="29"/>
  <c r="B123" i="29"/>
  <c r="Z122" i="29"/>
  <c r="V122" i="29"/>
  <c r="R122" i="29"/>
  <c r="N122" i="29"/>
  <c r="J122" i="29"/>
  <c r="F122" i="29"/>
  <c r="B122" i="29"/>
  <c r="Z121" i="29"/>
  <c r="V121" i="29"/>
  <c r="R121" i="29"/>
  <c r="N121" i="29"/>
  <c r="J121" i="29"/>
  <c r="F121" i="29"/>
  <c r="B121" i="29"/>
  <c r="Z120" i="29"/>
  <c r="V120" i="29"/>
  <c r="R120" i="29"/>
  <c r="N120" i="29"/>
  <c r="J120" i="29"/>
  <c r="F120" i="29"/>
  <c r="B120" i="29"/>
  <c r="Z119" i="29"/>
  <c r="V119" i="29"/>
  <c r="R119" i="29"/>
  <c r="N119" i="29"/>
  <c r="J119" i="29"/>
  <c r="F119" i="29"/>
  <c r="B119" i="29"/>
  <c r="Z118" i="29"/>
  <c r="V118" i="29"/>
  <c r="R118" i="29"/>
  <c r="N118" i="29"/>
  <c r="J118" i="29"/>
  <c r="F118" i="29"/>
  <c r="B118" i="29"/>
  <c r="Z117" i="29"/>
  <c r="V117" i="29"/>
  <c r="R117" i="29"/>
  <c r="N117" i="29"/>
  <c r="J117" i="29"/>
  <c r="F117" i="29"/>
  <c r="B117" i="29"/>
  <c r="Z116" i="29"/>
  <c r="V116" i="29"/>
  <c r="R116" i="29"/>
  <c r="N116" i="29"/>
  <c r="J116" i="29"/>
  <c r="F116" i="29"/>
  <c r="B116" i="29"/>
  <c r="Z115" i="29"/>
  <c r="V115" i="29"/>
  <c r="R115" i="29"/>
  <c r="N115" i="29"/>
  <c r="J115" i="29"/>
  <c r="F115" i="29"/>
  <c r="B115" i="29"/>
  <c r="Z114" i="29"/>
  <c r="V114" i="29"/>
  <c r="R114" i="29"/>
  <c r="N114" i="29"/>
  <c r="J114" i="29"/>
  <c r="F114" i="29"/>
  <c r="B114" i="29"/>
  <c r="Z113" i="29"/>
  <c r="V113" i="29"/>
  <c r="R113" i="29"/>
  <c r="N113" i="29"/>
  <c r="J113" i="29"/>
  <c r="F113" i="29"/>
  <c r="B113" i="29"/>
  <c r="Z112" i="29"/>
  <c r="V112" i="29"/>
  <c r="R112" i="29"/>
  <c r="N112" i="29"/>
  <c r="J112" i="29"/>
  <c r="F112" i="29"/>
  <c r="B112" i="29"/>
  <c r="Z111" i="29"/>
  <c r="V111" i="29"/>
  <c r="R111" i="29"/>
  <c r="N111" i="29"/>
  <c r="J111" i="29"/>
  <c r="F111" i="29"/>
  <c r="B111" i="29"/>
  <c r="Z110" i="29"/>
  <c r="V110" i="29"/>
  <c r="R110" i="29"/>
  <c r="N110" i="29"/>
  <c r="J110" i="29"/>
  <c r="F110" i="29"/>
  <c r="B110" i="29"/>
  <c r="Z109" i="29"/>
  <c r="V109" i="29"/>
  <c r="R109" i="29"/>
  <c r="N109" i="29"/>
  <c r="J109" i="29"/>
  <c r="F109" i="29"/>
  <c r="B109" i="29"/>
  <c r="Z108" i="29"/>
  <c r="V108" i="29"/>
  <c r="R108" i="29"/>
  <c r="N108" i="29"/>
  <c r="J108" i="29"/>
  <c r="F108" i="29"/>
  <c r="B108" i="29"/>
  <c r="Z107" i="29"/>
  <c r="V107" i="29"/>
  <c r="R107" i="29"/>
  <c r="N107" i="29"/>
  <c r="J107" i="29"/>
  <c r="F107" i="29"/>
  <c r="B107" i="29"/>
  <c r="Z106" i="29"/>
  <c r="V106" i="29"/>
  <c r="R106" i="29"/>
  <c r="N106" i="29"/>
  <c r="J106" i="29"/>
  <c r="F106" i="29"/>
  <c r="B106" i="29"/>
  <c r="Z105" i="29"/>
  <c r="V105" i="29"/>
  <c r="R105" i="29"/>
  <c r="N105" i="29"/>
  <c r="J105" i="29"/>
  <c r="F105" i="29"/>
  <c r="B105" i="29"/>
  <c r="Z104" i="29"/>
  <c r="V104" i="29"/>
  <c r="R104" i="29"/>
  <c r="N104" i="29"/>
  <c r="J104" i="29"/>
  <c r="F104" i="29"/>
  <c r="B104" i="29"/>
  <c r="Z103" i="29"/>
  <c r="V103" i="29"/>
  <c r="R103" i="29"/>
  <c r="N103" i="29"/>
  <c r="J103" i="29"/>
  <c r="F103" i="29"/>
  <c r="B103" i="29"/>
  <c r="Z102" i="29"/>
  <c r="V102" i="29"/>
  <c r="R102" i="29"/>
  <c r="N102" i="29"/>
  <c r="J102" i="29"/>
  <c r="F102" i="29"/>
  <c r="B102" i="29"/>
  <c r="Z101" i="29"/>
  <c r="V101" i="29"/>
  <c r="R101" i="29"/>
  <c r="N101" i="29"/>
  <c r="J101" i="29"/>
  <c r="F101" i="29"/>
  <c r="B101" i="29"/>
  <c r="Z100" i="29"/>
  <c r="V100" i="29"/>
  <c r="R100" i="29"/>
  <c r="N100" i="29"/>
  <c r="J100" i="29"/>
  <c r="F100" i="29"/>
  <c r="B100" i="29"/>
  <c r="Z99" i="29"/>
  <c r="V99" i="29"/>
  <c r="R99" i="29"/>
  <c r="N99" i="29"/>
  <c r="J99" i="29"/>
  <c r="F99" i="29"/>
  <c r="B99" i="29"/>
  <c r="Z98" i="29"/>
  <c r="V98" i="29"/>
  <c r="R98" i="29"/>
  <c r="N98" i="29"/>
  <c r="J98" i="29"/>
  <c r="F98" i="29"/>
  <c r="B98" i="29"/>
  <c r="Z97" i="29"/>
  <c r="V97" i="29"/>
  <c r="R97" i="29"/>
  <c r="N97" i="29"/>
  <c r="J97" i="29"/>
  <c r="F97" i="29"/>
  <c r="B97" i="29"/>
  <c r="Z96" i="29"/>
  <c r="V96" i="29"/>
  <c r="R96" i="29"/>
  <c r="N96" i="29"/>
  <c r="J96" i="29"/>
  <c r="F96" i="29"/>
  <c r="B96" i="29"/>
  <c r="Z95" i="29"/>
  <c r="V95" i="29"/>
  <c r="R95" i="29"/>
  <c r="N95" i="29"/>
  <c r="J95" i="29"/>
  <c r="F95" i="29"/>
  <c r="B95" i="29"/>
  <c r="Z94" i="29"/>
  <c r="V94" i="29"/>
  <c r="R94" i="29"/>
  <c r="N94" i="29"/>
  <c r="J94" i="29"/>
  <c r="F94" i="29"/>
  <c r="B94" i="29"/>
  <c r="Z93" i="29"/>
  <c r="V93" i="29"/>
  <c r="R93" i="29"/>
  <c r="N93" i="29"/>
  <c r="J93" i="29"/>
  <c r="F93" i="29"/>
  <c r="B93" i="29"/>
  <c r="Z92" i="29"/>
  <c r="V92" i="29"/>
  <c r="R92" i="29"/>
  <c r="N92" i="29"/>
  <c r="J92" i="29"/>
  <c r="F92" i="29"/>
  <c r="B92" i="29"/>
  <c r="Z91" i="29"/>
  <c r="V91" i="29"/>
  <c r="R91" i="29"/>
  <c r="N91" i="29"/>
  <c r="J91" i="29"/>
  <c r="F91" i="29"/>
  <c r="B91" i="29"/>
  <c r="Z90" i="29"/>
  <c r="V90" i="29"/>
  <c r="R90" i="29"/>
  <c r="N90" i="29"/>
  <c r="J90" i="29"/>
  <c r="F90" i="29"/>
  <c r="B90" i="29"/>
  <c r="Z89" i="29"/>
  <c r="V89" i="29"/>
  <c r="R89" i="29"/>
  <c r="N89" i="29"/>
  <c r="J89" i="29"/>
  <c r="F89" i="29"/>
  <c r="B89" i="29"/>
  <c r="Z88" i="29"/>
  <c r="V88" i="29"/>
  <c r="R88" i="29"/>
  <c r="N88" i="29"/>
  <c r="J88" i="29"/>
  <c r="F88" i="29"/>
  <c r="B88" i="29"/>
  <c r="Z87" i="29"/>
  <c r="V87" i="29"/>
  <c r="R87" i="29"/>
  <c r="N87" i="29"/>
  <c r="J87" i="29"/>
  <c r="F87" i="29"/>
  <c r="B87" i="29"/>
  <c r="Z86" i="29"/>
  <c r="V86" i="29"/>
  <c r="R86" i="29"/>
  <c r="N86" i="29"/>
  <c r="J86" i="29"/>
  <c r="F86" i="29"/>
  <c r="B86" i="29"/>
  <c r="Z85" i="29"/>
  <c r="V85" i="29"/>
  <c r="R85" i="29"/>
  <c r="N85" i="29"/>
  <c r="J85" i="29"/>
  <c r="F85" i="29"/>
  <c r="B85" i="29"/>
  <c r="Z84" i="29"/>
  <c r="V84" i="29"/>
  <c r="R84" i="29"/>
  <c r="N84" i="29"/>
  <c r="J84" i="29"/>
  <c r="F84" i="29"/>
  <c r="B84" i="29"/>
  <c r="Z83" i="29"/>
  <c r="V83" i="29"/>
  <c r="R83" i="29"/>
  <c r="N83" i="29"/>
  <c r="J83" i="29"/>
  <c r="F83" i="29"/>
  <c r="B83" i="29"/>
  <c r="Z82" i="29"/>
  <c r="V82" i="29"/>
  <c r="R82" i="29"/>
  <c r="N82" i="29"/>
  <c r="J82" i="29"/>
  <c r="F82" i="29"/>
  <c r="B82" i="29"/>
  <c r="Z81" i="29"/>
  <c r="V81" i="29"/>
  <c r="R81" i="29"/>
  <c r="N81" i="29"/>
  <c r="J81" i="29"/>
  <c r="F81" i="29"/>
  <c r="B81" i="29"/>
  <c r="Z80" i="29"/>
  <c r="V80" i="29"/>
  <c r="R80" i="29"/>
  <c r="N80" i="29"/>
  <c r="J80" i="29"/>
  <c r="F80" i="29"/>
  <c r="B80" i="29"/>
  <c r="Z79" i="29"/>
  <c r="V79" i="29"/>
  <c r="R79" i="29"/>
  <c r="N79" i="29"/>
  <c r="J79" i="29"/>
  <c r="F79" i="29"/>
  <c r="B79" i="29"/>
  <c r="Z78" i="29"/>
  <c r="V78" i="29"/>
  <c r="R78" i="29"/>
  <c r="N78" i="29"/>
  <c r="J78" i="29"/>
  <c r="F78" i="29"/>
  <c r="B78" i="29"/>
  <c r="Z77" i="29"/>
  <c r="V77" i="29"/>
  <c r="R77" i="29"/>
  <c r="N77" i="29"/>
  <c r="J77" i="29"/>
  <c r="F77" i="29"/>
  <c r="B77" i="29"/>
  <c r="Z76" i="29"/>
  <c r="V76" i="29"/>
  <c r="R76" i="29"/>
  <c r="N76" i="29"/>
  <c r="J76" i="29"/>
  <c r="F76" i="29"/>
  <c r="B76" i="29"/>
  <c r="Z75" i="29"/>
  <c r="V75" i="29"/>
  <c r="R75" i="29"/>
  <c r="N75" i="29"/>
  <c r="J75" i="29"/>
  <c r="F75" i="29"/>
  <c r="B75" i="29"/>
  <c r="Z74" i="29"/>
  <c r="V74" i="29"/>
  <c r="R74" i="29"/>
  <c r="N74" i="29"/>
  <c r="J74" i="29"/>
  <c r="F74" i="29"/>
  <c r="B74" i="29"/>
  <c r="Z73" i="29"/>
  <c r="V73" i="29"/>
  <c r="R73" i="29"/>
  <c r="N73" i="29"/>
  <c r="J73" i="29"/>
  <c r="F73" i="29"/>
  <c r="B73" i="29"/>
  <c r="Z72" i="29"/>
  <c r="V72" i="29"/>
  <c r="R72" i="29"/>
  <c r="N72" i="29"/>
  <c r="J72" i="29"/>
  <c r="F72" i="29"/>
  <c r="B72" i="29"/>
  <c r="Z71" i="29"/>
  <c r="V71" i="29"/>
  <c r="R71" i="29"/>
  <c r="N71" i="29"/>
  <c r="J71" i="29"/>
  <c r="F71" i="29"/>
  <c r="B71" i="29"/>
  <c r="Z70" i="29"/>
  <c r="V70" i="29"/>
  <c r="R70" i="29"/>
  <c r="N70" i="29"/>
  <c r="J70" i="29"/>
  <c r="F70" i="29"/>
  <c r="B70" i="29"/>
  <c r="Z69" i="29"/>
  <c r="V69" i="29"/>
  <c r="R69" i="29"/>
  <c r="N69" i="29"/>
  <c r="J69" i="29"/>
  <c r="F69" i="29"/>
  <c r="B69" i="29"/>
  <c r="Z68" i="29"/>
  <c r="V68" i="29"/>
  <c r="R68" i="29"/>
  <c r="N68" i="29"/>
  <c r="J68" i="29"/>
  <c r="F68" i="29"/>
  <c r="B68" i="29"/>
  <c r="Z67" i="29"/>
  <c r="V67" i="29"/>
  <c r="R67" i="29"/>
  <c r="N67" i="29"/>
  <c r="J67" i="29"/>
  <c r="F67" i="29"/>
  <c r="B67" i="29"/>
  <c r="Z66" i="29"/>
  <c r="V66" i="29"/>
  <c r="R66" i="29"/>
  <c r="N66" i="29"/>
  <c r="J66" i="29"/>
  <c r="F66" i="29"/>
  <c r="B66" i="29"/>
  <c r="Z65" i="29"/>
  <c r="V65" i="29"/>
  <c r="R65" i="29"/>
  <c r="N65" i="29"/>
  <c r="J65" i="29"/>
  <c r="F65" i="29"/>
  <c r="B65" i="29"/>
  <c r="Z64" i="29"/>
  <c r="V64" i="29"/>
  <c r="R64" i="29"/>
  <c r="N64" i="29"/>
  <c r="J64" i="29"/>
  <c r="F64" i="29"/>
  <c r="B64" i="29"/>
  <c r="Z63" i="29"/>
  <c r="V63" i="29"/>
  <c r="R63" i="29"/>
  <c r="N63" i="29"/>
  <c r="J63" i="29"/>
  <c r="F63" i="29"/>
  <c r="B63" i="29"/>
  <c r="Z62" i="29"/>
  <c r="V62" i="29"/>
  <c r="R62" i="29"/>
  <c r="N62" i="29"/>
  <c r="J62" i="29"/>
  <c r="F62" i="29"/>
  <c r="B62" i="29"/>
  <c r="Z61" i="29"/>
  <c r="V61" i="29"/>
  <c r="R61" i="29"/>
  <c r="N61" i="29"/>
  <c r="J61" i="29"/>
  <c r="F61" i="29"/>
  <c r="B61" i="29"/>
  <c r="Z60" i="29"/>
  <c r="V60" i="29"/>
  <c r="R60" i="29"/>
  <c r="N60" i="29"/>
  <c r="J60" i="29"/>
  <c r="F60" i="29"/>
  <c r="B60" i="29"/>
  <c r="Z59" i="29"/>
  <c r="V59" i="29"/>
  <c r="R59" i="29"/>
  <c r="N59" i="29"/>
  <c r="J59" i="29"/>
  <c r="F59" i="29"/>
  <c r="B59" i="29"/>
  <c r="Z58" i="29"/>
  <c r="V58" i="29"/>
  <c r="R58" i="29"/>
  <c r="N58" i="29"/>
  <c r="J58" i="29"/>
  <c r="F58" i="29"/>
  <c r="B58" i="29"/>
  <c r="Z57" i="29"/>
  <c r="V57" i="29"/>
  <c r="R57" i="29"/>
  <c r="N57" i="29"/>
  <c r="J57" i="29"/>
  <c r="F57" i="29"/>
  <c r="B57" i="29"/>
  <c r="Z56" i="29"/>
  <c r="V56" i="29"/>
  <c r="R56" i="29"/>
  <c r="N56" i="29"/>
  <c r="J56" i="29"/>
  <c r="F56" i="29"/>
  <c r="B56" i="29"/>
  <c r="Z55" i="29"/>
  <c r="V55" i="29"/>
  <c r="R55" i="29"/>
  <c r="N55" i="29"/>
  <c r="J55" i="29"/>
  <c r="F55" i="29"/>
  <c r="B55" i="29"/>
  <c r="Z54" i="29"/>
  <c r="V54" i="29"/>
  <c r="R54" i="29"/>
  <c r="N54" i="29"/>
  <c r="J54" i="29"/>
  <c r="F54" i="29"/>
  <c r="B54" i="29"/>
  <c r="Z53" i="29"/>
  <c r="V53" i="29"/>
  <c r="R53" i="29"/>
  <c r="N53" i="29"/>
  <c r="J53" i="29"/>
  <c r="F53" i="29"/>
  <c r="B53" i="29"/>
  <c r="Z52" i="29"/>
  <c r="V52" i="29"/>
  <c r="R52" i="29"/>
  <c r="N52" i="29"/>
  <c r="J52" i="29"/>
  <c r="F52" i="29"/>
  <c r="B52" i="29"/>
  <c r="Z51" i="29"/>
  <c r="V51" i="29"/>
  <c r="R51" i="29"/>
  <c r="N51" i="29"/>
  <c r="J51" i="29"/>
  <c r="F51" i="29"/>
  <c r="B51" i="29"/>
  <c r="Z50" i="29"/>
  <c r="V50" i="29"/>
  <c r="R50" i="29"/>
  <c r="N50" i="29"/>
  <c r="J50" i="29"/>
  <c r="F50" i="29"/>
  <c r="B50" i="29"/>
  <c r="Z49" i="29"/>
  <c r="V49" i="29"/>
  <c r="R49" i="29"/>
  <c r="N49" i="29"/>
  <c r="J49" i="29"/>
  <c r="F49" i="29"/>
  <c r="B49" i="29"/>
  <c r="Z48" i="29"/>
  <c r="V48" i="29"/>
  <c r="R48" i="29"/>
  <c r="N48" i="29"/>
  <c r="J48" i="29"/>
  <c r="F48" i="29"/>
  <c r="B48" i="29"/>
  <c r="Z47" i="29"/>
  <c r="V47" i="29"/>
  <c r="R47" i="29"/>
  <c r="N47" i="29"/>
  <c r="J47" i="29"/>
  <c r="F47" i="29"/>
  <c r="B47" i="29"/>
  <c r="Z46" i="29"/>
  <c r="V46" i="29"/>
  <c r="R46" i="29"/>
  <c r="N46" i="29"/>
  <c r="J46" i="29"/>
  <c r="F46" i="29"/>
  <c r="B46" i="29"/>
  <c r="Z45" i="29"/>
  <c r="V45" i="29"/>
  <c r="R45" i="29"/>
  <c r="N45" i="29"/>
  <c r="J45" i="29"/>
  <c r="F45" i="29"/>
  <c r="B45" i="29"/>
  <c r="Z44" i="29"/>
  <c r="V44" i="29"/>
  <c r="R44" i="29"/>
  <c r="N44" i="29"/>
  <c r="J44" i="29"/>
  <c r="F44" i="29"/>
  <c r="B44" i="29"/>
  <c r="A1" i="29"/>
  <c r="Z253" i="28"/>
  <c r="V253" i="28"/>
  <c r="R253" i="28"/>
  <c r="N253" i="28"/>
  <c r="J253" i="28"/>
  <c r="F253" i="28"/>
  <c r="B253" i="28"/>
  <c r="Z252" i="28"/>
  <c r="V252" i="28"/>
  <c r="R252" i="28"/>
  <c r="N252" i="28"/>
  <c r="J252" i="28"/>
  <c r="F252" i="28"/>
  <c r="B252" i="28"/>
  <c r="Z251" i="28"/>
  <c r="V251" i="28"/>
  <c r="R251" i="28"/>
  <c r="N251" i="28"/>
  <c r="J251" i="28"/>
  <c r="F251" i="28"/>
  <c r="B251" i="28"/>
  <c r="Z250" i="28"/>
  <c r="V250" i="28"/>
  <c r="R250" i="28"/>
  <c r="N250" i="28"/>
  <c r="J250" i="28"/>
  <c r="F250" i="28"/>
  <c r="B250" i="28"/>
  <c r="Z249" i="28"/>
  <c r="V249" i="28"/>
  <c r="R249" i="28"/>
  <c r="N249" i="28"/>
  <c r="J249" i="28"/>
  <c r="F249" i="28"/>
  <c r="B249" i="28"/>
  <c r="Z248" i="28"/>
  <c r="V248" i="28"/>
  <c r="R248" i="28"/>
  <c r="N248" i="28"/>
  <c r="J248" i="28"/>
  <c r="F248" i="28"/>
  <c r="B248" i="28"/>
  <c r="Z247" i="28"/>
  <c r="V247" i="28"/>
  <c r="R247" i="28"/>
  <c r="N247" i="28"/>
  <c r="J247" i="28"/>
  <c r="F247" i="28"/>
  <c r="B247" i="28"/>
  <c r="Z246" i="28"/>
  <c r="V246" i="28"/>
  <c r="R246" i="28"/>
  <c r="N246" i="28"/>
  <c r="J246" i="28"/>
  <c r="F246" i="28"/>
  <c r="B246" i="28"/>
  <c r="Z245" i="28"/>
  <c r="V245" i="28"/>
  <c r="R245" i="28"/>
  <c r="N245" i="28"/>
  <c r="J245" i="28"/>
  <c r="F245" i="28"/>
  <c r="B245" i="28"/>
  <c r="Z244" i="28"/>
  <c r="V244" i="28"/>
  <c r="R244" i="28"/>
  <c r="N244" i="28"/>
  <c r="J244" i="28"/>
  <c r="F244" i="28"/>
  <c r="B244" i="28"/>
  <c r="Z243" i="28"/>
  <c r="V243" i="28"/>
  <c r="R243" i="28"/>
  <c r="N243" i="28"/>
  <c r="J243" i="28"/>
  <c r="F243" i="28"/>
  <c r="B243" i="28"/>
  <c r="Z242" i="28"/>
  <c r="V242" i="28"/>
  <c r="R242" i="28"/>
  <c r="N242" i="28"/>
  <c r="J242" i="28"/>
  <c r="F242" i="28"/>
  <c r="B242" i="28"/>
  <c r="Z241" i="28"/>
  <c r="V241" i="28"/>
  <c r="R241" i="28"/>
  <c r="N241" i="28"/>
  <c r="J241" i="28"/>
  <c r="F241" i="28"/>
  <c r="B241" i="28"/>
  <c r="Z240" i="28"/>
  <c r="V240" i="28"/>
  <c r="R240" i="28"/>
  <c r="N240" i="28"/>
  <c r="J240" i="28"/>
  <c r="F240" i="28"/>
  <c r="B240" i="28"/>
  <c r="Z239" i="28"/>
  <c r="V239" i="28"/>
  <c r="R239" i="28"/>
  <c r="N239" i="28"/>
  <c r="J239" i="28"/>
  <c r="F239" i="28"/>
  <c r="B239" i="28"/>
  <c r="Z238" i="28"/>
  <c r="V238" i="28"/>
  <c r="R238" i="28"/>
  <c r="N238" i="28"/>
  <c r="J238" i="28"/>
  <c r="F238" i="28"/>
  <c r="B238" i="28"/>
  <c r="Z237" i="28"/>
  <c r="V237" i="28"/>
  <c r="R237" i="28"/>
  <c r="N237" i="28"/>
  <c r="J237" i="28"/>
  <c r="F237" i="28"/>
  <c r="B237" i="28"/>
  <c r="Z236" i="28"/>
  <c r="V236" i="28"/>
  <c r="R236" i="28"/>
  <c r="N236" i="28"/>
  <c r="J236" i="28"/>
  <c r="F236" i="28"/>
  <c r="B236" i="28"/>
  <c r="Z235" i="28"/>
  <c r="V235" i="28"/>
  <c r="R235" i="28"/>
  <c r="N235" i="28"/>
  <c r="J235" i="28"/>
  <c r="F235" i="28"/>
  <c r="B235" i="28"/>
  <c r="Z234" i="28"/>
  <c r="V234" i="28"/>
  <c r="R234" i="28"/>
  <c r="N234" i="28"/>
  <c r="J234" i="28"/>
  <c r="F234" i="28"/>
  <c r="B234" i="28"/>
  <c r="Z233" i="28"/>
  <c r="V233" i="28"/>
  <c r="R233" i="28"/>
  <c r="N233" i="28"/>
  <c r="J233" i="28"/>
  <c r="F233" i="28"/>
  <c r="B233" i="28"/>
  <c r="Z232" i="28"/>
  <c r="V232" i="28"/>
  <c r="R232" i="28"/>
  <c r="N232" i="28"/>
  <c r="J232" i="28"/>
  <c r="F232" i="28"/>
  <c r="B232" i="28"/>
  <c r="Z231" i="28"/>
  <c r="V231" i="28"/>
  <c r="R231" i="28"/>
  <c r="N231" i="28"/>
  <c r="J231" i="28"/>
  <c r="F231" i="28"/>
  <c r="B231" i="28"/>
  <c r="Z230" i="28"/>
  <c r="V230" i="28"/>
  <c r="R230" i="28"/>
  <c r="N230" i="28"/>
  <c r="J230" i="28"/>
  <c r="F230" i="28"/>
  <c r="B230" i="28"/>
  <c r="Z229" i="28"/>
  <c r="V229" i="28"/>
  <c r="R229" i="28"/>
  <c r="N229" i="28"/>
  <c r="J229" i="28"/>
  <c r="F229" i="28"/>
  <c r="B229" i="28"/>
  <c r="Z228" i="28"/>
  <c r="V228" i="28"/>
  <c r="R228" i="28"/>
  <c r="N228" i="28"/>
  <c r="J228" i="28"/>
  <c r="F228" i="28"/>
  <c r="B228" i="28"/>
  <c r="Z227" i="28"/>
  <c r="V227" i="28"/>
  <c r="R227" i="28"/>
  <c r="N227" i="28"/>
  <c r="J227" i="28"/>
  <c r="F227" i="28"/>
  <c r="B227" i="28"/>
  <c r="Z226" i="28"/>
  <c r="V226" i="28"/>
  <c r="R226" i="28"/>
  <c r="N226" i="28"/>
  <c r="J226" i="28"/>
  <c r="F226" i="28"/>
  <c r="B226" i="28"/>
  <c r="Z225" i="28"/>
  <c r="V225" i="28"/>
  <c r="R225" i="28"/>
  <c r="N225" i="28"/>
  <c r="J225" i="28"/>
  <c r="F225" i="28"/>
  <c r="B225" i="28"/>
  <c r="Z224" i="28"/>
  <c r="V224" i="28"/>
  <c r="R224" i="28"/>
  <c r="N224" i="28"/>
  <c r="J224" i="28"/>
  <c r="F224" i="28"/>
  <c r="B224" i="28"/>
  <c r="Z223" i="28"/>
  <c r="V223" i="28"/>
  <c r="R223" i="28"/>
  <c r="N223" i="28"/>
  <c r="J223" i="28"/>
  <c r="F223" i="28"/>
  <c r="B223" i="28"/>
  <c r="Z222" i="28"/>
  <c r="V222" i="28"/>
  <c r="R222" i="28"/>
  <c r="N222" i="28"/>
  <c r="J222" i="28"/>
  <c r="F222" i="28"/>
  <c r="B222" i="28"/>
  <c r="Z221" i="28"/>
  <c r="V221" i="28"/>
  <c r="R221" i="28"/>
  <c r="N221" i="28"/>
  <c r="J221" i="28"/>
  <c r="F221" i="28"/>
  <c r="B221" i="28"/>
  <c r="Z220" i="28"/>
  <c r="V220" i="28"/>
  <c r="R220" i="28"/>
  <c r="N220" i="28"/>
  <c r="J220" i="28"/>
  <c r="F220" i="28"/>
  <c r="B220" i="28"/>
  <c r="Z219" i="28"/>
  <c r="V219" i="28"/>
  <c r="R219" i="28"/>
  <c r="N219" i="28"/>
  <c r="J219" i="28"/>
  <c r="F219" i="28"/>
  <c r="B219" i="28"/>
  <c r="Z218" i="28"/>
  <c r="V218" i="28"/>
  <c r="R218" i="28"/>
  <c r="N218" i="28"/>
  <c r="J218" i="28"/>
  <c r="F218" i="28"/>
  <c r="B218" i="28"/>
  <c r="Z217" i="28"/>
  <c r="V217" i="28"/>
  <c r="R217" i="28"/>
  <c r="N217" i="28"/>
  <c r="J217" i="28"/>
  <c r="F217" i="28"/>
  <c r="B217" i="28"/>
  <c r="Z216" i="28"/>
  <c r="V216" i="28"/>
  <c r="R216" i="28"/>
  <c r="N216" i="28"/>
  <c r="J216" i="28"/>
  <c r="F216" i="28"/>
  <c r="B216" i="28"/>
  <c r="Z215" i="28"/>
  <c r="V215" i="28"/>
  <c r="R215" i="28"/>
  <c r="N215" i="28"/>
  <c r="J215" i="28"/>
  <c r="F215" i="28"/>
  <c r="B215" i="28"/>
  <c r="Z214" i="28"/>
  <c r="V214" i="28"/>
  <c r="R214" i="28"/>
  <c r="N214" i="28"/>
  <c r="J214" i="28"/>
  <c r="F214" i="28"/>
  <c r="B214" i="28"/>
  <c r="Z213" i="28"/>
  <c r="V213" i="28"/>
  <c r="R213" i="28"/>
  <c r="N213" i="28"/>
  <c r="J213" i="28"/>
  <c r="F213" i="28"/>
  <c r="B213" i="28"/>
  <c r="Z212" i="28"/>
  <c r="V212" i="28"/>
  <c r="R212" i="28"/>
  <c r="N212" i="28"/>
  <c r="J212" i="28"/>
  <c r="F212" i="28"/>
  <c r="B212" i="28"/>
  <c r="Z211" i="28"/>
  <c r="V211" i="28"/>
  <c r="R211" i="28"/>
  <c r="N211" i="28"/>
  <c r="J211" i="28"/>
  <c r="F211" i="28"/>
  <c r="B211" i="28"/>
  <c r="Z210" i="28"/>
  <c r="V210" i="28"/>
  <c r="R210" i="28"/>
  <c r="N210" i="28"/>
  <c r="J210" i="28"/>
  <c r="F210" i="28"/>
  <c r="B210" i="28"/>
  <c r="Z209" i="28"/>
  <c r="V209" i="28"/>
  <c r="R209" i="28"/>
  <c r="N209" i="28"/>
  <c r="J209" i="28"/>
  <c r="F209" i="28"/>
  <c r="B209" i="28"/>
  <c r="Z208" i="28"/>
  <c r="V208" i="28"/>
  <c r="R208" i="28"/>
  <c r="N208" i="28"/>
  <c r="J208" i="28"/>
  <c r="F208" i="28"/>
  <c r="B208" i="28"/>
  <c r="Z207" i="28"/>
  <c r="V207" i="28"/>
  <c r="R207" i="28"/>
  <c r="N207" i="28"/>
  <c r="J207" i="28"/>
  <c r="F207" i="28"/>
  <c r="B207" i="28"/>
  <c r="Z206" i="28"/>
  <c r="V206" i="28"/>
  <c r="R206" i="28"/>
  <c r="N206" i="28"/>
  <c r="J206" i="28"/>
  <c r="F206" i="28"/>
  <c r="B206" i="28"/>
  <c r="Z205" i="28"/>
  <c r="V205" i="28"/>
  <c r="R205" i="28"/>
  <c r="N205" i="28"/>
  <c r="J205" i="28"/>
  <c r="F205" i="28"/>
  <c r="B205" i="28"/>
  <c r="Z204" i="28"/>
  <c r="V204" i="28"/>
  <c r="R204" i="28"/>
  <c r="N204" i="28"/>
  <c r="J204" i="28"/>
  <c r="F204" i="28"/>
  <c r="B204" i="28"/>
  <c r="Z203" i="28"/>
  <c r="V203" i="28"/>
  <c r="R203" i="28"/>
  <c r="N203" i="28"/>
  <c r="J203" i="28"/>
  <c r="F203" i="28"/>
  <c r="B203" i="28"/>
  <c r="Z202" i="28"/>
  <c r="V202" i="28"/>
  <c r="R202" i="28"/>
  <c r="N202" i="28"/>
  <c r="J202" i="28"/>
  <c r="F202" i="28"/>
  <c r="B202" i="28"/>
  <c r="Z201" i="28"/>
  <c r="V201" i="28"/>
  <c r="R201" i="28"/>
  <c r="N201" i="28"/>
  <c r="J201" i="28"/>
  <c r="F201" i="28"/>
  <c r="B201" i="28"/>
  <c r="Z200" i="28"/>
  <c r="V200" i="28"/>
  <c r="R200" i="28"/>
  <c r="N200" i="28"/>
  <c r="J200" i="28"/>
  <c r="F200" i="28"/>
  <c r="B200" i="28"/>
  <c r="Z199" i="28"/>
  <c r="V199" i="28"/>
  <c r="R199" i="28"/>
  <c r="N199" i="28"/>
  <c r="J199" i="28"/>
  <c r="F199" i="28"/>
  <c r="B199" i="28"/>
  <c r="Z198" i="28"/>
  <c r="V198" i="28"/>
  <c r="R198" i="28"/>
  <c r="N198" i="28"/>
  <c r="J198" i="28"/>
  <c r="F198" i="28"/>
  <c r="B198" i="28"/>
  <c r="Z197" i="28"/>
  <c r="V197" i="28"/>
  <c r="R197" i="28"/>
  <c r="N197" i="28"/>
  <c r="J197" i="28"/>
  <c r="F197" i="28"/>
  <c r="B197" i="28"/>
  <c r="Z196" i="28"/>
  <c r="V196" i="28"/>
  <c r="R196" i="28"/>
  <c r="N196" i="28"/>
  <c r="J196" i="28"/>
  <c r="F196" i="28"/>
  <c r="B196" i="28"/>
  <c r="Z195" i="28"/>
  <c r="V195" i="28"/>
  <c r="R195" i="28"/>
  <c r="N195" i="28"/>
  <c r="J195" i="28"/>
  <c r="F195" i="28"/>
  <c r="B195" i="28"/>
  <c r="Z194" i="28"/>
  <c r="V194" i="28"/>
  <c r="R194" i="28"/>
  <c r="N194" i="28"/>
  <c r="J194" i="28"/>
  <c r="F194" i="28"/>
  <c r="B194" i="28"/>
  <c r="Z193" i="28"/>
  <c r="V193" i="28"/>
  <c r="R193" i="28"/>
  <c r="N193" i="28"/>
  <c r="J193" i="28"/>
  <c r="F193" i="28"/>
  <c r="B193" i="28"/>
  <c r="Z192" i="28"/>
  <c r="V192" i="28"/>
  <c r="R192" i="28"/>
  <c r="N192" i="28"/>
  <c r="J192" i="28"/>
  <c r="F192" i="28"/>
  <c r="B192" i="28"/>
  <c r="Z191" i="28"/>
  <c r="V191" i="28"/>
  <c r="R191" i="28"/>
  <c r="N191" i="28"/>
  <c r="J191" i="28"/>
  <c r="F191" i="28"/>
  <c r="B191" i="28"/>
  <c r="Z190" i="28"/>
  <c r="V190" i="28"/>
  <c r="R190" i="28"/>
  <c r="N190" i="28"/>
  <c r="J190" i="28"/>
  <c r="F190" i="28"/>
  <c r="B190" i="28"/>
  <c r="Z189" i="28"/>
  <c r="V189" i="28"/>
  <c r="R189" i="28"/>
  <c r="N189" i="28"/>
  <c r="J189" i="28"/>
  <c r="F189" i="28"/>
  <c r="B189" i="28"/>
  <c r="Z188" i="28"/>
  <c r="V188" i="28"/>
  <c r="R188" i="28"/>
  <c r="N188" i="28"/>
  <c r="J188" i="28"/>
  <c r="F188" i="28"/>
  <c r="B188" i="28"/>
  <c r="Z187" i="28"/>
  <c r="V187" i="28"/>
  <c r="R187" i="28"/>
  <c r="N187" i="28"/>
  <c r="J187" i="28"/>
  <c r="F187" i="28"/>
  <c r="B187" i="28"/>
  <c r="Z186" i="28"/>
  <c r="V186" i="28"/>
  <c r="R186" i="28"/>
  <c r="N186" i="28"/>
  <c r="J186" i="28"/>
  <c r="F186" i="28"/>
  <c r="B186" i="28"/>
  <c r="Z185" i="28"/>
  <c r="V185" i="28"/>
  <c r="R185" i="28"/>
  <c r="N185" i="28"/>
  <c r="J185" i="28"/>
  <c r="F185" i="28"/>
  <c r="B185" i="28"/>
  <c r="Z184" i="28"/>
  <c r="V184" i="28"/>
  <c r="R184" i="28"/>
  <c r="N184" i="28"/>
  <c r="J184" i="28"/>
  <c r="F184" i="28"/>
  <c r="B184" i="28"/>
  <c r="Z183" i="28"/>
  <c r="V183" i="28"/>
  <c r="R183" i="28"/>
  <c r="N183" i="28"/>
  <c r="J183" i="28"/>
  <c r="F183" i="28"/>
  <c r="B183" i="28"/>
  <c r="Z182" i="28"/>
  <c r="V182" i="28"/>
  <c r="R182" i="28"/>
  <c r="N182" i="28"/>
  <c r="J182" i="28"/>
  <c r="F182" i="28"/>
  <c r="B182" i="28"/>
  <c r="Z181" i="28"/>
  <c r="V181" i="28"/>
  <c r="R181" i="28"/>
  <c r="N181" i="28"/>
  <c r="J181" i="28"/>
  <c r="F181" i="28"/>
  <c r="B181" i="28"/>
  <c r="Z180" i="28"/>
  <c r="V180" i="28"/>
  <c r="R180" i="28"/>
  <c r="N180" i="28"/>
  <c r="J180" i="28"/>
  <c r="F180" i="28"/>
  <c r="B180" i="28"/>
  <c r="Z179" i="28"/>
  <c r="V179" i="28"/>
  <c r="R179" i="28"/>
  <c r="N179" i="28"/>
  <c r="J179" i="28"/>
  <c r="F179" i="28"/>
  <c r="B179" i="28"/>
  <c r="Z178" i="28"/>
  <c r="V178" i="28"/>
  <c r="R178" i="28"/>
  <c r="N178" i="28"/>
  <c r="J178" i="28"/>
  <c r="F178" i="28"/>
  <c r="B178" i="28"/>
  <c r="Z177" i="28"/>
  <c r="V177" i="28"/>
  <c r="R177" i="28"/>
  <c r="N177" i="28"/>
  <c r="J177" i="28"/>
  <c r="F177" i="28"/>
  <c r="B177" i="28"/>
  <c r="Z176" i="28"/>
  <c r="V176" i="28"/>
  <c r="R176" i="28"/>
  <c r="N176" i="28"/>
  <c r="J176" i="28"/>
  <c r="F176" i="28"/>
  <c r="B176" i="28"/>
  <c r="Z175" i="28"/>
  <c r="V175" i="28"/>
  <c r="R175" i="28"/>
  <c r="N175" i="28"/>
  <c r="J175" i="28"/>
  <c r="F175" i="28"/>
  <c r="B175" i="28"/>
  <c r="Z174" i="28"/>
  <c r="V174" i="28"/>
  <c r="R174" i="28"/>
  <c r="N174" i="28"/>
  <c r="J174" i="28"/>
  <c r="F174" i="28"/>
  <c r="B174" i="28"/>
  <c r="Z173" i="28"/>
  <c r="V173" i="28"/>
  <c r="R173" i="28"/>
  <c r="N173" i="28"/>
  <c r="J173" i="28"/>
  <c r="F173" i="28"/>
  <c r="B173" i="28"/>
  <c r="Z172" i="28"/>
  <c r="V172" i="28"/>
  <c r="R172" i="28"/>
  <c r="N172" i="28"/>
  <c r="J172" i="28"/>
  <c r="F172" i="28"/>
  <c r="B172" i="28"/>
  <c r="Z171" i="28"/>
  <c r="V171" i="28"/>
  <c r="R171" i="28"/>
  <c r="N171" i="28"/>
  <c r="J171" i="28"/>
  <c r="F171" i="28"/>
  <c r="B171" i="28"/>
  <c r="Z170" i="28"/>
  <c r="V170" i="28"/>
  <c r="R170" i="28"/>
  <c r="N170" i="28"/>
  <c r="J170" i="28"/>
  <c r="F170" i="28"/>
  <c r="B170" i="28"/>
  <c r="Z169" i="28"/>
  <c r="V169" i="28"/>
  <c r="R169" i="28"/>
  <c r="N169" i="28"/>
  <c r="J169" i="28"/>
  <c r="F169" i="28"/>
  <c r="B169" i="28"/>
  <c r="Z168" i="28"/>
  <c r="V168" i="28"/>
  <c r="R168" i="28"/>
  <c r="N168" i="28"/>
  <c r="J168" i="28"/>
  <c r="F168" i="28"/>
  <c r="B168" i="28"/>
  <c r="Z167" i="28"/>
  <c r="V167" i="28"/>
  <c r="R167" i="28"/>
  <c r="N167" i="28"/>
  <c r="J167" i="28"/>
  <c r="F167" i="28"/>
  <c r="B167" i="28"/>
  <c r="Z166" i="28"/>
  <c r="V166" i="28"/>
  <c r="R166" i="28"/>
  <c r="N166" i="28"/>
  <c r="J166" i="28"/>
  <c r="F166" i="28"/>
  <c r="B166" i="28"/>
  <c r="Z165" i="28"/>
  <c r="V165" i="28"/>
  <c r="R165" i="28"/>
  <c r="N165" i="28"/>
  <c r="J165" i="28"/>
  <c r="F165" i="28"/>
  <c r="B165" i="28"/>
  <c r="Z164" i="28"/>
  <c r="V164" i="28"/>
  <c r="R164" i="28"/>
  <c r="N164" i="28"/>
  <c r="J164" i="28"/>
  <c r="F164" i="28"/>
  <c r="B164" i="28"/>
  <c r="Z163" i="28"/>
  <c r="V163" i="28"/>
  <c r="R163" i="28"/>
  <c r="N163" i="28"/>
  <c r="J163" i="28"/>
  <c r="F163" i="28"/>
  <c r="B163" i="28"/>
  <c r="Z162" i="28"/>
  <c r="V162" i="28"/>
  <c r="R162" i="28"/>
  <c r="N162" i="28"/>
  <c r="J162" i="28"/>
  <c r="F162" i="28"/>
  <c r="B162" i="28"/>
  <c r="Z161" i="28"/>
  <c r="V161" i="28"/>
  <c r="R161" i="28"/>
  <c r="N161" i="28"/>
  <c r="J161" i="28"/>
  <c r="F161" i="28"/>
  <c r="B161" i="28"/>
  <c r="Z160" i="28"/>
  <c r="V160" i="28"/>
  <c r="R160" i="28"/>
  <c r="N160" i="28"/>
  <c r="J160" i="28"/>
  <c r="F160" i="28"/>
  <c r="B160" i="28"/>
  <c r="Z159" i="28"/>
  <c r="V159" i="28"/>
  <c r="R159" i="28"/>
  <c r="N159" i="28"/>
  <c r="J159" i="28"/>
  <c r="F159" i="28"/>
  <c r="B159" i="28"/>
  <c r="Z158" i="28"/>
  <c r="V158" i="28"/>
  <c r="R158" i="28"/>
  <c r="N158" i="28"/>
  <c r="J158" i="28"/>
  <c r="F158" i="28"/>
  <c r="B158" i="28"/>
  <c r="Z157" i="28"/>
  <c r="V157" i="28"/>
  <c r="R157" i="28"/>
  <c r="N157" i="28"/>
  <c r="J157" i="28"/>
  <c r="F157" i="28"/>
  <c r="B157" i="28"/>
  <c r="Z156" i="28"/>
  <c r="V156" i="28"/>
  <c r="R156" i="28"/>
  <c r="N156" i="28"/>
  <c r="J156" i="28"/>
  <c r="F156" i="28"/>
  <c r="B156" i="28"/>
  <c r="Z155" i="28"/>
  <c r="V155" i="28"/>
  <c r="R155" i="28"/>
  <c r="N155" i="28"/>
  <c r="J155" i="28"/>
  <c r="F155" i="28"/>
  <c r="B155" i="28"/>
  <c r="Z154" i="28"/>
  <c r="V154" i="28"/>
  <c r="R154" i="28"/>
  <c r="N154" i="28"/>
  <c r="J154" i="28"/>
  <c r="F154" i="28"/>
  <c r="B154" i="28"/>
  <c r="Z153" i="28"/>
  <c r="V153" i="28"/>
  <c r="R153" i="28"/>
  <c r="N153" i="28"/>
  <c r="J153" i="28"/>
  <c r="F153" i="28"/>
  <c r="B153" i="28"/>
  <c r="Z152" i="28"/>
  <c r="V152" i="28"/>
  <c r="R152" i="28"/>
  <c r="N152" i="28"/>
  <c r="J152" i="28"/>
  <c r="F152" i="28"/>
  <c r="B152" i="28"/>
  <c r="Z151" i="28"/>
  <c r="V151" i="28"/>
  <c r="R151" i="28"/>
  <c r="N151" i="28"/>
  <c r="J151" i="28"/>
  <c r="F151" i="28"/>
  <c r="B151" i="28"/>
  <c r="Z150" i="28"/>
  <c r="V150" i="28"/>
  <c r="R150" i="28"/>
  <c r="N150" i="28"/>
  <c r="J150" i="28"/>
  <c r="F150" i="28"/>
  <c r="B150" i="28"/>
  <c r="Z149" i="28"/>
  <c r="V149" i="28"/>
  <c r="R149" i="28"/>
  <c r="N149" i="28"/>
  <c r="J149" i="28"/>
  <c r="F149" i="28"/>
  <c r="B149" i="28"/>
  <c r="Z148" i="28"/>
  <c r="V148" i="28"/>
  <c r="R148" i="28"/>
  <c r="N148" i="28"/>
  <c r="J148" i="28"/>
  <c r="F148" i="28"/>
  <c r="B148" i="28"/>
  <c r="Z147" i="28"/>
  <c r="V147" i="28"/>
  <c r="R147" i="28"/>
  <c r="N147" i="28"/>
  <c r="J147" i="28"/>
  <c r="F147" i="28"/>
  <c r="B147" i="28"/>
  <c r="Z146" i="28"/>
  <c r="V146" i="28"/>
  <c r="R146" i="28"/>
  <c r="N146" i="28"/>
  <c r="J146" i="28"/>
  <c r="F146" i="28"/>
  <c r="B146" i="28"/>
  <c r="Z145" i="28"/>
  <c r="V145" i="28"/>
  <c r="R145" i="28"/>
  <c r="N145" i="28"/>
  <c r="J145" i="28"/>
  <c r="F145" i="28"/>
  <c r="B145" i="28"/>
  <c r="Z144" i="28"/>
  <c r="V144" i="28"/>
  <c r="R144" i="28"/>
  <c r="N144" i="28"/>
  <c r="J144" i="28"/>
  <c r="F144" i="28"/>
  <c r="B144" i="28"/>
  <c r="Z143" i="28"/>
  <c r="V143" i="28"/>
  <c r="R143" i="28"/>
  <c r="N143" i="28"/>
  <c r="J143" i="28"/>
  <c r="F143" i="28"/>
  <c r="B143" i="28"/>
  <c r="Z142" i="28"/>
  <c r="V142" i="28"/>
  <c r="R142" i="28"/>
  <c r="N142" i="28"/>
  <c r="J142" i="28"/>
  <c r="F142" i="28"/>
  <c r="B142" i="28"/>
  <c r="Z141" i="28"/>
  <c r="V141" i="28"/>
  <c r="R141" i="28"/>
  <c r="N141" i="28"/>
  <c r="J141" i="28"/>
  <c r="F141" i="28"/>
  <c r="B141" i="28"/>
  <c r="Z140" i="28"/>
  <c r="V140" i="28"/>
  <c r="R140" i="28"/>
  <c r="N140" i="28"/>
  <c r="J140" i="28"/>
  <c r="F140" i="28"/>
  <c r="B140" i="28"/>
  <c r="Z139" i="28"/>
  <c r="V139" i="28"/>
  <c r="R139" i="28"/>
  <c r="N139" i="28"/>
  <c r="J139" i="28"/>
  <c r="F139" i="28"/>
  <c r="B139" i="28"/>
  <c r="Z138" i="28"/>
  <c r="V138" i="28"/>
  <c r="R138" i="28"/>
  <c r="N138" i="28"/>
  <c r="J138" i="28"/>
  <c r="F138" i="28"/>
  <c r="B138" i="28"/>
  <c r="Z137" i="28"/>
  <c r="V137" i="28"/>
  <c r="R137" i="28"/>
  <c r="N137" i="28"/>
  <c r="J137" i="28"/>
  <c r="F137" i="28"/>
  <c r="B137" i="28"/>
  <c r="Z136" i="28"/>
  <c r="V136" i="28"/>
  <c r="R136" i="28"/>
  <c r="N136" i="28"/>
  <c r="J136" i="28"/>
  <c r="F136" i="28"/>
  <c r="B136" i="28"/>
  <c r="Z135" i="28"/>
  <c r="V135" i="28"/>
  <c r="R135" i="28"/>
  <c r="N135" i="28"/>
  <c r="J135" i="28"/>
  <c r="F135" i="28"/>
  <c r="B135" i="28"/>
  <c r="Z134" i="28"/>
  <c r="V134" i="28"/>
  <c r="R134" i="28"/>
  <c r="N134" i="28"/>
  <c r="J134" i="28"/>
  <c r="F134" i="28"/>
  <c r="B134" i="28"/>
  <c r="Z133" i="28"/>
  <c r="V133" i="28"/>
  <c r="R133" i="28"/>
  <c r="N133" i="28"/>
  <c r="J133" i="28"/>
  <c r="F133" i="28"/>
  <c r="B133" i="28"/>
  <c r="Z132" i="28"/>
  <c r="V132" i="28"/>
  <c r="R132" i="28"/>
  <c r="N132" i="28"/>
  <c r="J132" i="28"/>
  <c r="F132" i="28"/>
  <c r="B132" i="28"/>
  <c r="Z131" i="28"/>
  <c r="V131" i="28"/>
  <c r="R131" i="28"/>
  <c r="N131" i="28"/>
  <c r="J131" i="28"/>
  <c r="F131" i="28"/>
  <c r="B131" i="28"/>
  <c r="Z130" i="28"/>
  <c r="V130" i="28"/>
  <c r="R130" i="28"/>
  <c r="N130" i="28"/>
  <c r="J130" i="28"/>
  <c r="F130" i="28"/>
  <c r="B130" i="28"/>
  <c r="Z129" i="28"/>
  <c r="V129" i="28"/>
  <c r="R129" i="28"/>
  <c r="N129" i="28"/>
  <c r="J129" i="28"/>
  <c r="F129" i="28"/>
  <c r="B129" i="28"/>
  <c r="Z128" i="28"/>
  <c r="V128" i="28"/>
  <c r="R128" i="28"/>
  <c r="N128" i="28"/>
  <c r="J128" i="28"/>
  <c r="F128" i="28"/>
  <c r="B128" i="28"/>
  <c r="Z127" i="28"/>
  <c r="V127" i="28"/>
  <c r="R127" i="28"/>
  <c r="N127" i="28"/>
  <c r="J127" i="28"/>
  <c r="F127" i="28"/>
  <c r="B127" i="28"/>
  <c r="Z126" i="28"/>
  <c r="V126" i="28"/>
  <c r="R126" i="28"/>
  <c r="N126" i="28"/>
  <c r="J126" i="28"/>
  <c r="F126" i="28"/>
  <c r="B126" i="28"/>
  <c r="Z125" i="28"/>
  <c r="V125" i="28"/>
  <c r="R125" i="28"/>
  <c r="N125" i="28"/>
  <c r="J125" i="28"/>
  <c r="F125" i="28"/>
  <c r="B125" i="28"/>
  <c r="Z124" i="28"/>
  <c r="V124" i="28"/>
  <c r="R124" i="28"/>
  <c r="N124" i="28"/>
  <c r="J124" i="28"/>
  <c r="F124" i="28"/>
  <c r="B124" i="28"/>
  <c r="Z123" i="28"/>
  <c r="V123" i="28"/>
  <c r="R123" i="28"/>
  <c r="N123" i="28"/>
  <c r="J123" i="28"/>
  <c r="F123" i="28"/>
  <c r="B123" i="28"/>
  <c r="Z122" i="28"/>
  <c r="V122" i="28"/>
  <c r="R122" i="28"/>
  <c r="N122" i="28"/>
  <c r="J122" i="28"/>
  <c r="F122" i="28"/>
  <c r="B122" i="28"/>
  <c r="Z121" i="28"/>
  <c r="V121" i="28"/>
  <c r="R121" i="28"/>
  <c r="N121" i="28"/>
  <c r="J121" i="28"/>
  <c r="F121" i="28"/>
  <c r="B121" i="28"/>
  <c r="Z120" i="28"/>
  <c r="V120" i="28"/>
  <c r="R120" i="28"/>
  <c r="N120" i="28"/>
  <c r="J120" i="28"/>
  <c r="F120" i="28"/>
  <c r="B120" i="28"/>
  <c r="Z119" i="28"/>
  <c r="V119" i="28"/>
  <c r="R119" i="28"/>
  <c r="N119" i="28"/>
  <c r="J119" i="28"/>
  <c r="F119" i="28"/>
  <c r="B119" i="28"/>
  <c r="Z118" i="28"/>
  <c r="V118" i="28"/>
  <c r="R118" i="28"/>
  <c r="N118" i="28"/>
  <c r="J118" i="28"/>
  <c r="F118" i="28"/>
  <c r="B118" i="28"/>
  <c r="Z117" i="28"/>
  <c r="V117" i="28"/>
  <c r="R117" i="28"/>
  <c r="N117" i="28"/>
  <c r="J117" i="28"/>
  <c r="F117" i="28"/>
  <c r="B117" i="28"/>
  <c r="Z116" i="28"/>
  <c r="V116" i="28"/>
  <c r="R116" i="28"/>
  <c r="N116" i="28"/>
  <c r="J116" i="28"/>
  <c r="F116" i="28"/>
  <c r="B116" i="28"/>
  <c r="Z115" i="28"/>
  <c r="V115" i="28"/>
  <c r="R115" i="28"/>
  <c r="N115" i="28"/>
  <c r="J115" i="28"/>
  <c r="F115" i="28"/>
  <c r="B115" i="28"/>
  <c r="Z114" i="28"/>
  <c r="V114" i="28"/>
  <c r="R114" i="28"/>
  <c r="N114" i="28"/>
  <c r="J114" i="28"/>
  <c r="F114" i="28"/>
  <c r="B114" i="28"/>
  <c r="Z113" i="28"/>
  <c r="V113" i="28"/>
  <c r="R113" i="28"/>
  <c r="N113" i="28"/>
  <c r="J113" i="28"/>
  <c r="F113" i="28"/>
  <c r="B113" i="28"/>
  <c r="Z112" i="28"/>
  <c r="V112" i="28"/>
  <c r="R112" i="28"/>
  <c r="N112" i="28"/>
  <c r="J112" i="28"/>
  <c r="F112" i="28"/>
  <c r="B112" i="28"/>
  <c r="Z111" i="28"/>
  <c r="V111" i="28"/>
  <c r="R111" i="28"/>
  <c r="N111" i="28"/>
  <c r="J111" i="28"/>
  <c r="F111" i="28"/>
  <c r="B111" i="28"/>
  <c r="Z110" i="28"/>
  <c r="V110" i="28"/>
  <c r="R110" i="28"/>
  <c r="N110" i="28"/>
  <c r="J110" i="28"/>
  <c r="F110" i="28"/>
  <c r="B110" i="28"/>
  <c r="Z109" i="28"/>
  <c r="V109" i="28"/>
  <c r="R109" i="28"/>
  <c r="N109" i="28"/>
  <c r="J109" i="28"/>
  <c r="F109" i="28"/>
  <c r="B109" i="28"/>
  <c r="Z108" i="28"/>
  <c r="V108" i="28"/>
  <c r="R108" i="28"/>
  <c r="N108" i="28"/>
  <c r="J108" i="28"/>
  <c r="F108" i="28"/>
  <c r="B108" i="28"/>
  <c r="Z107" i="28"/>
  <c r="V107" i="28"/>
  <c r="R107" i="28"/>
  <c r="N107" i="28"/>
  <c r="J107" i="28"/>
  <c r="F107" i="28"/>
  <c r="B107" i="28"/>
  <c r="Z106" i="28"/>
  <c r="V106" i="28"/>
  <c r="R106" i="28"/>
  <c r="N106" i="28"/>
  <c r="J106" i="28"/>
  <c r="F106" i="28"/>
  <c r="B106" i="28"/>
  <c r="Z105" i="28"/>
  <c r="V105" i="28"/>
  <c r="R105" i="28"/>
  <c r="N105" i="28"/>
  <c r="J105" i="28"/>
  <c r="F105" i="28"/>
  <c r="B105" i="28"/>
  <c r="Z104" i="28"/>
  <c r="V104" i="28"/>
  <c r="R104" i="28"/>
  <c r="N104" i="28"/>
  <c r="J104" i="28"/>
  <c r="F104" i="28"/>
  <c r="B104" i="28"/>
  <c r="Z103" i="28"/>
  <c r="V103" i="28"/>
  <c r="R103" i="28"/>
  <c r="N103" i="28"/>
  <c r="J103" i="28"/>
  <c r="F103" i="28"/>
  <c r="B103" i="28"/>
  <c r="Z102" i="28"/>
  <c r="V102" i="28"/>
  <c r="R102" i="28"/>
  <c r="N102" i="28"/>
  <c r="J102" i="28"/>
  <c r="F102" i="28"/>
  <c r="B102" i="28"/>
  <c r="Z101" i="28"/>
  <c r="V101" i="28"/>
  <c r="R101" i="28"/>
  <c r="N101" i="28"/>
  <c r="J101" i="28"/>
  <c r="F101" i="28"/>
  <c r="B101" i="28"/>
  <c r="Z100" i="28"/>
  <c r="V100" i="28"/>
  <c r="R100" i="28"/>
  <c r="N100" i="28"/>
  <c r="J100" i="28"/>
  <c r="F100" i="28"/>
  <c r="B100" i="28"/>
  <c r="Z99" i="28"/>
  <c r="V99" i="28"/>
  <c r="R99" i="28"/>
  <c r="N99" i="28"/>
  <c r="J99" i="28"/>
  <c r="F99" i="28"/>
  <c r="B99" i="28"/>
  <c r="Z98" i="28"/>
  <c r="V98" i="28"/>
  <c r="R98" i="28"/>
  <c r="N98" i="28"/>
  <c r="J98" i="28"/>
  <c r="F98" i="28"/>
  <c r="B98" i="28"/>
  <c r="Z97" i="28"/>
  <c r="V97" i="28"/>
  <c r="R97" i="28"/>
  <c r="N97" i="28"/>
  <c r="J97" i="28"/>
  <c r="F97" i="28"/>
  <c r="B97" i="28"/>
  <c r="Z96" i="28"/>
  <c r="V96" i="28"/>
  <c r="R96" i="28"/>
  <c r="N96" i="28"/>
  <c r="J96" i="28"/>
  <c r="F96" i="28"/>
  <c r="B96" i="28"/>
  <c r="Z95" i="28"/>
  <c r="V95" i="28"/>
  <c r="R95" i="28"/>
  <c r="N95" i="28"/>
  <c r="J95" i="28"/>
  <c r="F95" i="28"/>
  <c r="B95" i="28"/>
  <c r="Z94" i="28"/>
  <c r="V94" i="28"/>
  <c r="R94" i="28"/>
  <c r="N94" i="28"/>
  <c r="J94" i="28"/>
  <c r="F94" i="28"/>
  <c r="B94" i="28"/>
  <c r="Z93" i="28"/>
  <c r="V93" i="28"/>
  <c r="R93" i="28"/>
  <c r="N93" i="28"/>
  <c r="J93" i="28"/>
  <c r="F93" i="28"/>
  <c r="B93" i="28"/>
  <c r="Z92" i="28"/>
  <c r="V92" i="28"/>
  <c r="R92" i="28"/>
  <c r="N92" i="28"/>
  <c r="J92" i="28"/>
  <c r="F92" i="28"/>
  <c r="B92" i="28"/>
  <c r="Z91" i="28"/>
  <c r="V91" i="28"/>
  <c r="R91" i="28"/>
  <c r="N91" i="28"/>
  <c r="J91" i="28"/>
  <c r="F91" i="28"/>
  <c r="B91" i="28"/>
  <c r="Z90" i="28"/>
  <c r="V90" i="28"/>
  <c r="R90" i="28"/>
  <c r="N90" i="28"/>
  <c r="J90" i="28"/>
  <c r="F90" i="28"/>
  <c r="B90" i="28"/>
  <c r="Z89" i="28"/>
  <c r="V89" i="28"/>
  <c r="R89" i="28"/>
  <c r="N89" i="28"/>
  <c r="J89" i="28"/>
  <c r="F89" i="28"/>
  <c r="B89" i="28"/>
  <c r="Z88" i="28"/>
  <c r="V88" i="28"/>
  <c r="R88" i="28"/>
  <c r="N88" i="28"/>
  <c r="J88" i="28"/>
  <c r="F88" i="28"/>
  <c r="B88" i="28"/>
  <c r="Z87" i="28"/>
  <c r="V87" i="28"/>
  <c r="R87" i="28"/>
  <c r="N87" i="28"/>
  <c r="J87" i="28"/>
  <c r="F87" i="28"/>
  <c r="B87" i="28"/>
  <c r="Z86" i="28"/>
  <c r="V86" i="28"/>
  <c r="R86" i="28"/>
  <c r="N86" i="28"/>
  <c r="J86" i="28"/>
  <c r="F86" i="28"/>
  <c r="B86" i="28"/>
  <c r="Z85" i="28"/>
  <c r="V85" i="28"/>
  <c r="R85" i="28"/>
  <c r="N85" i="28"/>
  <c r="J85" i="28"/>
  <c r="F85" i="28"/>
  <c r="B85" i="28"/>
  <c r="Z84" i="28"/>
  <c r="V84" i="28"/>
  <c r="R84" i="28"/>
  <c r="N84" i="28"/>
  <c r="J84" i="28"/>
  <c r="F84" i="28"/>
  <c r="B84" i="28"/>
  <c r="Z83" i="28"/>
  <c r="V83" i="28"/>
  <c r="R83" i="28"/>
  <c r="N83" i="28"/>
  <c r="J83" i="28"/>
  <c r="F83" i="28"/>
  <c r="B83" i="28"/>
  <c r="Z82" i="28"/>
  <c r="V82" i="28"/>
  <c r="R82" i="28"/>
  <c r="N82" i="28"/>
  <c r="J82" i="28"/>
  <c r="F82" i="28"/>
  <c r="B82" i="28"/>
  <c r="Z81" i="28"/>
  <c r="V81" i="28"/>
  <c r="R81" i="28"/>
  <c r="N81" i="28"/>
  <c r="J81" i="28"/>
  <c r="F81" i="28"/>
  <c r="B81" i="28"/>
  <c r="Z80" i="28"/>
  <c r="V80" i="28"/>
  <c r="R80" i="28"/>
  <c r="N80" i="28"/>
  <c r="J80" i="28"/>
  <c r="F80" i="28"/>
  <c r="B80" i="28"/>
  <c r="Z79" i="28"/>
  <c r="V79" i="28"/>
  <c r="R79" i="28"/>
  <c r="N79" i="28"/>
  <c r="J79" i="28"/>
  <c r="F79" i="28"/>
  <c r="B79" i="28"/>
  <c r="Z78" i="28"/>
  <c r="V78" i="28"/>
  <c r="R78" i="28"/>
  <c r="N78" i="28"/>
  <c r="J78" i="28"/>
  <c r="F78" i="28"/>
  <c r="B78" i="28"/>
  <c r="Z77" i="28"/>
  <c r="V77" i="28"/>
  <c r="R77" i="28"/>
  <c r="N77" i="28"/>
  <c r="J77" i="28"/>
  <c r="F77" i="28"/>
  <c r="B77" i="28"/>
  <c r="Z76" i="28"/>
  <c r="V76" i="28"/>
  <c r="R76" i="28"/>
  <c r="N76" i="28"/>
  <c r="J76" i="28"/>
  <c r="F76" i="28"/>
  <c r="B76" i="28"/>
  <c r="Z75" i="28"/>
  <c r="V75" i="28"/>
  <c r="R75" i="28"/>
  <c r="N75" i="28"/>
  <c r="J75" i="28"/>
  <c r="F75" i="28"/>
  <c r="B75" i="28"/>
  <c r="Z74" i="28"/>
  <c r="V74" i="28"/>
  <c r="R74" i="28"/>
  <c r="N74" i="28"/>
  <c r="J74" i="28"/>
  <c r="F74" i="28"/>
  <c r="B74" i="28"/>
  <c r="Z73" i="28"/>
  <c r="V73" i="28"/>
  <c r="R73" i="28"/>
  <c r="N73" i="28"/>
  <c r="J73" i="28"/>
  <c r="F73" i="28"/>
  <c r="B73" i="28"/>
  <c r="Z72" i="28"/>
  <c r="V72" i="28"/>
  <c r="R72" i="28"/>
  <c r="N72" i="28"/>
  <c r="J72" i="28"/>
  <c r="F72" i="28"/>
  <c r="B72" i="28"/>
  <c r="Z71" i="28"/>
  <c r="V71" i="28"/>
  <c r="R71" i="28"/>
  <c r="N71" i="28"/>
  <c r="J71" i="28"/>
  <c r="F71" i="28"/>
  <c r="B71" i="28"/>
  <c r="Z70" i="28"/>
  <c r="V70" i="28"/>
  <c r="R70" i="28"/>
  <c r="N70" i="28"/>
  <c r="J70" i="28"/>
  <c r="F70" i="28"/>
  <c r="B70" i="28"/>
  <c r="Z69" i="28"/>
  <c r="V69" i="28"/>
  <c r="R69" i="28"/>
  <c r="N69" i="28"/>
  <c r="J69" i="28"/>
  <c r="F69" i="28"/>
  <c r="B69" i="28"/>
  <c r="Z68" i="28"/>
  <c r="V68" i="28"/>
  <c r="R68" i="28"/>
  <c r="N68" i="28"/>
  <c r="J68" i="28"/>
  <c r="F68" i="28"/>
  <c r="B68" i="28"/>
  <c r="Z67" i="28"/>
  <c r="V67" i="28"/>
  <c r="R67" i="28"/>
  <c r="N67" i="28"/>
  <c r="J67" i="28"/>
  <c r="F67" i="28"/>
  <c r="B67" i="28"/>
  <c r="Z66" i="28"/>
  <c r="V66" i="28"/>
  <c r="R66" i="28"/>
  <c r="N66" i="28"/>
  <c r="J66" i="28"/>
  <c r="F66" i="28"/>
  <c r="B66" i="28"/>
  <c r="Z65" i="28"/>
  <c r="V65" i="28"/>
  <c r="R65" i="28"/>
  <c r="N65" i="28"/>
  <c r="J65" i="28"/>
  <c r="F65" i="28"/>
  <c r="B65" i="28"/>
  <c r="Z64" i="28"/>
  <c r="V64" i="28"/>
  <c r="R64" i="28"/>
  <c r="N64" i="28"/>
  <c r="J64" i="28"/>
  <c r="F64" i="28"/>
  <c r="B64" i="28"/>
  <c r="Z63" i="28"/>
  <c r="V63" i="28"/>
  <c r="R63" i="28"/>
  <c r="N63" i="28"/>
  <c r="J63" i="28"/>
  <c r="F63" i="28"/>
  <c r="B63" i="28"/>
  <c r="Z62" i="28"/>
  <c r="V62" i="28"/>
  <c r="R62" i="28"/>
  <c r="N62" i="28"/>
  <c r="J62" i="28"/>
  <c r="F62" i="28"/>
  <c r="B62" i="28"/>
  <c r="Z61" i="28"/>
  <c r="V61" i="28"/>
  <c r="R61" i="28"/>
  <c r="N61" i="28"/>
  <c r="J61" i="28"/>
  <c r="F61" i="28"/>
  <c r="B61" i="28"/>
  <c r="Z60" i="28"/>
  <c r="V60" i="28"/>
  <c r="R60" i="28"/>
  <c r="N60" i="28"/>
  <c r="J60" i="28"/>
  <c r="F60" i="28"/>
  <c r="B60" i="28"/>
  <c r="Z59" i="28"/>
  <c r="V59" i="28"/>
  <c r="R59" i="28"/>
  <c r="N59" i="28"/>
  <c r="J59" i="28"/>
  <c r="F59" i="28"/>
  <c r="B59" i="28"/>
  <c r="Z58" i="28"/>
  <c r="V58" i="28"/>
  <c r="R58" i="28"/>
  <c r="N58" i="28"/>
  <c r="J58" i="28"/>
  <c r="F58" i="28"/>
  <c r="B58" i="28"/>
  <c r="Z57" i="28"/>
  <c r="V57" i="28"/>
  <c r="R57" i="28"/>
  <c r="N57" i="28"/>
  <c r="J57" i="28"/>
  <c r="F57" i="28"/>
  <c r="B57" i="28"/>
  <c r="Z56" i="28"/>
  <c r="V56" i="28"/>
  <c r="R56" i="28"/>
  <c r="N56" i="28"/>
  <c r="J56" i="28"/>
  <c r="F56" i="28"/>
  <c r="B56" i="28"/>
  <c r="Z55" i="28"/>
  <c r="V55" i="28"/>
  <c r="R55" i="28"/>
  <c r="N55" i="28"/>
  <c r="J55" i="28"/>
  <c r="F55" i="28"/>
  <c r="B55" i="28"/>
  <c r="Z54" i="28"/>
  <c r="V54" i="28"/>
  <c r="R54" i="28"/>
  <c r="N54" i="28"/>
  <c r="J54" i="28"/>
  <c r="F54" i="28"/>
  <c r="B54" i="28"/>
  <c r="Z53" i="28"/>
  <c r="V53" i="28"/>
  <c r="R53" i="28"/>
  <c r="N53" i="28"/>
  <c r="J53" i="28"/>
  <c r="F53" i="28"/>
  <c r="B53" i="28"/>
  <c r="Z52" i="28"/>
  <c r="V52" i="28"/>
  <c r="R52" i="28"/>
  <c r="N52" i="28"/>
  <c r="J52" i="28"/>
  <c r="F52" i="28"/>
  <c r="B52" i="28"/>
  <c r="Z51" i="28"/>
  <c r="V51" i="28"/>
  <c r="R51" i="28"/>
  <c r="N51" i="28"/>
  <c r="J51" i="28"/>
  <c r="F51" i="28"/>
  <c r="B51" i="28"/>
  <c r="Z50" i="28"/>
  <c r="V50" i="28"/>
  <c r="R50" i="28"/>
  <c r="N50" i="28"/>
  <c r="J50" i="28"/>
  <c r="F50" i="28"/>
  <c r="B50" i="28"/>
  <c r="Z49" i="28"/>
  <c r="V49" i="28"/>
  <c r="R49" i="28"/>
  <c r="N49" i="28"/>
  <c r="J49" i="28"/>
  <c r="F49" i="28"/>
  <c r="B49" i="28"/>
  <c r="Z48" i="28"/>
  <c r="V48" i="28"/>
  <c r="R48" i="28"/>
  <c r="N48" i="28"/>
  <c r="J48" i="28"/>
  <c r="F48" i="28"/>
  <c r="B48" i="28"/>
  <c r="Z47" i="28"/>
  <c r="V47" i="28"/>
  <c r="R47" i="28"/>
  <c r="N47" i="28"/>
  <c r="J47" i="28"/>
  <c r="F47" i="28"/>
  <c r="B47" i="28"/>
  <c r="Z46" i="28"/>
  <c r="V46" i="28"/>
  <c r="R46" i="28"/>
  <c r="N46" i="28"/>
  <c r="J46" i="28"/>
  <c r="F46" i="28"/>
  <c r="B46" i="28"/>
  <c r="Z45" i="28"/>
  <c r="V45" i="28"/>
  <c r="R45" i="28"/>
  <c r="N45" i="28"/>
  <c r="J45" i="28"/>
  <c r="F45" i="28"/>
  <c r="B45" i="28"/>
  <c r="Z44" i="28"/>
  <c r="V44" i="28"/>
  <c r="R44" i="28"/>
  <c r="N44" i="28"/>
  <c r="J44" i="28"/>
  <c r="F44" i="28"/>
  <c r="B44" i="28"/>
  <c r="A1" i="28"/>
  <c r="Z253" i="27"/>
  <c r="V253" i="27"/>
  <c r="R253" i="27"/>
  <c r="N253" i="27"/>
  <c r="J253" i="27"/>
  <c r="F253" i="27"/>
  <c r="B253" i="27"/>
  <c r="Z252" i="27"/>
  <c r="V252" i="27"/>
  <c r="R252" i="27"/>
  <c r="N252" i="27"/>
  <c r="J252" i="27"/>
  <c r="F252" i="27"/>
  <c r="B252" i="27"/>
  <c r="Z251" i="27"/>
  <c r="V251" i="27"/>
  <c r="R251" i="27"/>
  <c r="N251" i="27"/>
  <c r="J251" i="27"/>
  <c r="F251" i="27"/>
  <c r="B251" i="27"/>
  <c r="Z250" i="27"/>
  <c r="V250" i="27"/>
  <c r="R250" i="27"/>
  <c r="N250" i="27"/>
  <c r="J250" i="27"/>
  <c r="F250" i="27"/>
  <c r="B250" i="27"/>
  <c r="Z249" i="27"/>
  <c r="V249" i="27"/>
  <c r="R249" i="27"/>
  <c r="N249" i="27"/>
  <c r="J249" i="27"/>
  <c r="F249" i="27"/>
  <c r="B249" i="27"/>
  <c r="Z248" i="27"/>
  <c r="V248" i="27"/>
  <c r="R248" i="27"/>
  <c r="N248" i="27"/>
  <c r="J248" i="27"/>
  <c r="F248" i="27"/>
  <c r="B248" i="27"/>
  <c r="Z247" i="27"/>
  <c r="V247" i="27"/>
  <c r="R247" i="27"/>
  <c r="N247" i="27"/>
  <c r="J247" i="27"/>
  <c r="F247" i="27"/>
  <c r="B247" i="27"/>
  <c r="Z246" i="27"/>
  <c r="V246" i="27"/>
  <c r="R246" i="27"/>
  <c r="N246" i="27"/>
  <c r="J246" i="27"/>
  <c r="F246" i="27"/>
  <c r="B246" i="27"/>
  <c r="Z245" i="27"/>
  <c r="V245" i="27"/>
  <c r="R245" i="27"/>
  <c r="N245" i="27"/>
  <c r="J245" i="27"/>
  <c r="F245" i="27"/>
  <c r="B245" i="27"/>
  <c r="Z244" i="27"/>
  <c r="V244" i="27"/>
  <c r="R244" i="27"/>
  <c r="N244" i="27"/>
  <c r="J244" i="27"/>
  <c r="F244" i="27"/>
  <c r="B244" i="27"/>
  <c r="Z243" i="27"/>
  <c r="V243" i="27"/>
  <c r="R243" i="27"/>
  <c r="N243" i="27"/>
  <c r="J243" i="27"/>
  <c r="F243" i="27"/>
  <c r="B243" i="27"/>
  <c r="Z242" i="27"/>
  <c r="V242" i="27"/>
  <c r="R242" i="27"/>
  <c r="N242" i="27"/>
  <c r="J242" i="27"/>
  <c r="F242" i="27"/>
  <c r="B242" i="27"/>
  <c r="Z241" i="27"/>
  <c r="V241" i="27"/>
  <c r="R241" i="27"/>
  <c r="N241" i="27"/>
  <c r="J241" i="27"/>
  <c r="F241" i="27"/>
  <c r="B241" i="27"/>
  <c r="Z240" i="27"/>
  <c r="V240" i="27"/>
  <c r="R240" i="27"/>
  <c r="N240" i="27"/>
  <c r="J240" i="27"/>
  <c r="F240" i="27"/>
  <c r="B240" i="27"/>
  <c r="Z239" i="27"/>
  <c r="V239" i="27"/>
  <c r="R239" i="27"/>
  <c r="N239" i="27"/>
  <c r="J239" i="27"/>
  <c r="F239" i="27"/>
  <c r="B239" i="27"/>
  <c r="Z238" i="27"/>
  <c r="V238" i="27"/>
  <c r="R238" i="27"/>
  <c r="N238" i="27"/>
  <c r="J238" i="27"/>
  <c r="F238" i="27"/>
  <c r="B238" i="27"/>
  <c r="Z237" i="27"/>
  <c r="V237" i="27"/>
  <c r="R237" i="27"/>
  <c r="N237" i="27"/>
  <c r="J237" i="27"/>
  <c r="F237" i="27"/>
  <c r="B237" i="27"/>
  <c r="Z236" i="27"/>
  <c r="V236" i="27"/>
  <c r="R236" i="27"/>
  <c r="N236" i="27"/>
  <c r="J236" i="27"/>
  <c r="F236" i="27"/>
  <c r="B236" i="27"/>
  <c r="Z235" i="27"/>
  <c r="V235" i="27"/>
  <c r="R235" i="27"/>
  <c r="N235" i="27"/>
  <c r="J235" i="27"/>
  <c r="F235" i="27"/>
  <c r="B235" i="27"/>
  <c r="Z234" i="27"/>
  <c r="V234" i="27"/>
  <c r="R234" i="27"/>
  <c r="N234" i="27"/>
  <c r="J234" i="27"/>
  <c r="F234" i="27"/>
  <c r="B234" i="27"/>
  <c r="Z233" i="27"/>
  <c r="V233" i="27"/>
  <c r="R233" i="27"/>
  <c r="N233" i="27"/>
  <c r="J233" i="27"/>
  <c r="F233" i="27"/>
  <c r="B233" i="27"/>
  <c r="Z232" i="27"/>
  <c r="V232" i="27"/>
  <c r="R232" i="27"/>
  <c r="N232" i="27"/>
  <c r="J232" i="27"/>
  <c r="F232" i="27"/>
  <c r="B232" i="27"/>
  <c r="Z231" i="27"/>
  <c r="V231" i="27"/>
  <c r="R231" i="27"/>
  <c r="N231" i="27"/>
  <c r="J231" i="27"/>
  <c r="F231" i="27"/>
  <c r="B231" i="27"/>
  <c r="Z230" i="27"/>
  <c r="V230" i="27"/>
  <c r="R230" i="27"/>
  <c r="N230" i="27"/>
  <c r="J230" i="27"/>
  <c r="F230" i="27"/>
  <c r="B230" i="27"/>
  <c r="Z229" i="27"/>
  <c r="V229" i="27"/>
  <c r="R229" i="27"/>
  <c r="N229" i="27"/>
  <c r="J229" i="27"/>
  <c r="F229" i="27"/>
  <c r="B229" i="27"/>
  <c r="Z228" i="27"/>
  <c r="V228" i="27"/>
  <c r="R228" i="27"/>
  <c r="N228" i="27"/>
  <c r="J228" i="27"/>
  <c r="F228" i="27"/>
  <c r="B228" i="27"/>
  <c r="Z227" i="27"/>
  <c r="V227" i="27"/>
  <c r="R227" i="27"/>
  <c r="N227" i="27"/>
  <c r="J227" i="27"/>
  <c r="F227" i="27"/>
  <c r="B227" i="27"/>
  <c r="Z226" i="27"/>
  <c r="V226" i="27"/>
  <c r="R226" i="27"/>
  <c r="N226" i="27"/>
  <c r="J226" i="27"/>
  <c r="F226" i="27"/>
  <c r="B226" i="27"/>
  <c r="Z225" i="27"/>
  <c r="V225" i="27"/>
  <c r="R225" i="27"/>
  <c r="N225" i="27"/>
  <c r="J225" i="27"/>
  <c r="F225" i="27"/>
  <c r="B225" i="27"/>
  <c r="Z224" i="27"/>
  <c r="V224" i="27"/>
  <c r="R224" i="27"/>
  <c r="N224" i="27"/>
  <c r="J224" i="27"/>
  <c r="F224" i="27"/>
  <c r="B224" i="27"/>
  <c r="Z223" i="27"/>
  <c r="V223" i="27"/>
  <c r="R223" i="27"/>
  <c r="N223" i="27"/>
  <c r="J223" i="27"/>
  <c r="F223" i="27"/>
  <c r="B223" i="27"/>
  <c r="Z222" i="27"/>
  <c r="V222" i="27"/>
  <c r="R222" i="27"/>
  <c r="N222" i="27"/>
  <c r="J222" i="27"/>
  <c r="F222" i="27"/>
  <c r="B222" i="27"/>
  <c r="Z221" i="27"/>
  <c r="V221" i="27"/>
  <c r="R221" i="27"/>
  <c r="N221" i="27"/>
  <c r="J221" i="27"/>
  <c r="F221" i="27"/>
  <c r="B221" i="27"/>
  <c r="Z220" i="27"/>
  <c r="V220" i="27"/>
  <c r="R220" i="27"/>
  <c r="N220" i="27"/>
  <c r="J220" i="27"/>
  <c r="F220" i="27"/>
  <c r="B220" i="27"/>
  <c r="Z219" i="27"/>
  <c r="V219" i="27"/>
  <c r="R219" i="27"/>
  <c r="N219" i="27"/>
  <c r="J219" i="27"/>
  <c r="F219" i="27"/>
  <c r="B219" i="27"/>
  <c r="Z218" i="27"/>
  <c r="V218" i="27"/>
  <c r="R218" i="27"/>
  <c r="N218" i="27"/>
  <c r="J218" i="27"/>
  <c r="F218" i="27"/>
  <c r="B218" i="27"/>
  <c r="Z217" i="27"/>
  <c r="V217" i="27"/>
  <c r="R217" i="27"/>
  <c r="N217" i="27"/>
  <c r="J217" i="27"/>
  <c r="F217" i="27"/>
  <c r="B217" i="27"/>
  <c r="Z216" i="27"/>
  <c r="V216" i="27"/>
  <c r="R216" i="27"/>
  <c r="N216" i="27"/>
  <c r="J216" i="27"/>
  <c r="F216" i="27"/>
  <c r="B216" i="27"/>
  <c r="Z215" i="27"/>
  <c r="V215" i="27"/>
  <c r="R215" i="27"/>
  <c r="N215" i="27"/>
  <c r="J215" i="27"/>
  <c r="F215" i="27"/>
  <c r="B215" i="27"/>
  <c r="Z214" i="27"/>
  <c r="V214" i="27"/>
  <c r="R214" i="27"/>
  <c r="N214" i="27"/>
  <c r="J214" i="27"/>
  <c r="F214" i="27"/>
  <c r="B214" i="27"/>
  <c r="Z213" i="27"/>
  <c r="V213" i="27"/>
  <c r="R213" i="27"/>
  <c r="N213" i="27"/>
  <c r="J213" i="27"/>
  <c r="F213" i="27"/>
  <c r="B213" i="27"/>
  <c r="Z212" i="27"/>
  <c r="V212" i="27"/>
  <c r="R212" i="27"/>
  <c r="N212" i="27"/>
  <c r="J212" i="27"/>
  <c r="F212" i="27"/>
  <c r="B212" i="27"/>
  <c r="Z211" i="27"/>
  <c r="V211" i="27"/>
  <c r="R211" i="27"/>
  <c r="N211" i="27"/>
  <c r="J211" i="27"/>
  <c r="F211" i="27"/>
  <c r="B211" i="27"/>
  <c r="Z210" i="27"/>
  <c r="V210" i="27"/>
  <c r="R210" i="27"/>
  <c r="N210" i="27"/>
  <c r="J210" i="27"/>
  <c r="F210" i="27"/>
  <c r="B210" i="27"/>
  <c r="Z209" i="27"/>
  <c r="V209" i="27"/>
  <c r="R209" i="27"/>
  <c r="N209" i="27"/>
  <c r="J209" i="27"/>
  <c r="F209" i="27"/>
  <c r="B209" i="27"/>
  <c r="Z208" i="27"/>
  <c r="V208" i="27"/>
  <c r="R208" i="27"/>
  <c r="N208" i="27"/>
  <c r="J208" i="27"/>
  <c r="F208" i="27"/>
  <c r="B208" i="27"/>
  <c r="Z207" i="27"/>
  <c r="V207" i="27"/>
  <c r="R207" i="27"/>
  <c r="N207" i="27"/>
  <c r="J207" i="27"/>
  <c r="F207" i="27"/>
  <c r="B207" i="27"/>
  <c r="Z206" i="27"/>
  <c r="V206" i="27"/>
  <c r="R206" i="27"/>
  <c r="N206" i="27"/>
  <c r="J206" i="27"/>
  <c r="F206" i="27"/>
  <c r="B206" i="27"/>
  <c r="Z205" i="27"/>
  <c r="V205" i="27"/>
  <c r="R205" i="27"/>
  <c r="N205" i="27"/>
  <c r="J205" i="27"/>
  <c r="F205" i="27"/>
  <c r="B205" i="27"/>
  <c r="Z204" i="27"/>
  <c r="V204" i="27"/>
  <c r="R204" i="27"/>
  <c r="N204" i="27"/>
  <c r="J204" i="27"/>
  <c r="F204" i="27"/>
  <c r="B204" i="27"/>
  <c r="Z203" i="27"/>
  <c r="V203" i="27"/>
  <c r="R203" i="27"/>
  <c r="N203" i="27"/>
  <c r="J203" i="27"/>
  <c r="F203" i="27"/>
  <c r="B203" i="27"/>
  <c r="Z202" i="27"/>
  <c r="V202" i="27"/>
  <c r="R202" i="27"/>
  <c r="N202" i="27"/>
  <c r="J202" i="27"/>
  <c r="F202" i="27"/>
  <c r="B202" i="27"/>
  <c r="Z201" i="27"/>
  <c r="V201" i="27"/>
  <c r="R201" i="27"/>
  <c r="N201" i="27"/>
  <c r="J201" i="27"/>
  <c r="F201" i="27"/>
  <c r="B201" i="27"/>
  <c r="Z200" i="27"/>
  <c r="V200" i="27"/>
  <c r="R200" i="27"/>
  <c r="N200" i="27"/>
  <c r="J200" i="27"/>
  <c r="F200" i="27"/>
  <c r="B200" i="27"/>
  <c r="Z199" i="27"/>
  <c r="V199" i="27"/>
  <c r="R199" i="27"/>
  <c r="N199" i="27"/>
  <c r="J199" i="27"/>
  <c r="F199" i="27"/>
  <c r="B199" i="27"/>
  <c r="Z198" i="27"/>
  <c r="V198" i="27"/>
  <c r="R198" i="27"/>
  <c r="N198" i="27"/>
  <c r="J198" i="27"/>
  <c r="F198" i="27"/>
  <c r="B198" i="27"/>
  <c r="Z197" i="27"/>
  <c r="V197" i="27"/>
  <c r="R197" i="27"/>
  <c r="N197" i="27"/>
  <c r="J197" i="27"/>
  <c r="F197" i="27"/>
  <c r="B197" i="27"/>
  <c r="Z196" i="27"/>
  <c r="V196" i="27"/>
  <c r="R196" i="27"/>
  <c r="N196" i="27"/>
  <c r="J196" i="27"/>
  <c r="F196" i="27"/>
  <c r="B196" i="27"/>
  <c r="Z195" i="27"/>
  <c r="V195" i="27"/>
  <c r="R195" i="27"/>
  <c r="N195" i="27"/>
  <c r="J195" i="27"/>
  <c r="F195" i="27"/>
  <c r="B195" i="27"/>
  <c r="Z194" i="27"/>
  <c r="V194" i="27"/>
  <c r="R194" i="27"/>
  <c r="N194" i="27"/>
  <c r="J194" i="27"/>
  <c r="F194" i="27"/>
  <c r="B194" i="27"/>
  <c r="Z193" i="27"/>
  <c r="V193" i="27"/>
  <c r="R193" i="27"/>
  <c r="N193" i="27"/>
  <c r="J193" i="27"/>
  <c r="F193" i="27"/>
  <c r="B193" i="27"/>
  <c r="Z192" i="27"/>
  <c r="V192" i="27"/>
  <c r="R192" i="27"/>
  <c r="N192" i="27"/>
  <c r="J192" i="27"/>
  <c r="F192" i="27"/>
  <c r="B192" i="27"/>
  <c r="Z191" i="27"/>
  <c r="V191" i="27"/>
  <c r="R191" i="27"/>
  <c r="N191" i="27"/>
  <c r="J191" i="27"/>
  <c r="F191" i="27"/>
  <c r="B191" i="27"/>
  <c r="Z190" i="27"/>
  <c r="V190" i="27"/>
  <c r="R190" i="27"/>
  <c r="N190" i="27"/>
  <c r="J190" i="27"/>
  <c r="F190" i="27"/>
  <c r="B190" i="27"/>
  <c r="Z189" i="27"/>
  <c r="V189" i="27"/>
  <c r="R189" i="27"/>
  <c r="N189" i="27"/>
  <c r="J189" i="27"/>
  <c r="F189" i="27"/>
  <c r="B189" i="27"/>
  <c r="Z188" i="27"/>
  <c r="V188" i="27"/>
  <c r="R188" i="27"/>
  <c r="N188" i="27"/>
  <c r="J188" i="27"/>
  <c r="F188" i="27"/>
  <c r="B188" i="27"/>
  <c r="Z187" i="27"/>
  <c r="V187" i="27"/>
  <c r="R187" i="27"/>
  <c r="N187" i="27"/>
  <c r="J187" i="27"/>
  <c r="F187" i="27"/>
  <c r="B187" i="27"/>
  <c r="Z186" i="27"/>
  <c r="V186" i="27"/>
  <c r="R186" i="27"/>
  <c r="N186" i="27"/>
  <c r="J186" i="27"/>
  <c r="F186" i="27"/>
  <c r="B186" i="27"/>
  <c r="Z185" i="27"/>
  <c r="V185" i="27"/>
  <c r="R185" i="27"/>
  <c r="N185" i="27"/>
  <c r="J185" i="27"/>
  <c r="F185" i="27"/>
  <c r="B185" i="27"/>
  <c r="Z184" i="27"/>
  <c r="V184" i="27"/>
  <c r="R184" i="27"/>
  <c r="N184" i="27"/>
  <c r="J184" i="27"/>
  <c r="F184" i="27"/>
  <c r="B184" i="27"/>
  <c r="Z183" i="27"/>
  <c r="V183" i="27"/>
  <c r="R183" i="27"/>
  <c r="N183" i="27"/>
  <c r="J183" i="27"/>
  <c r="F183" i="27"/>
  <c r="B183" i="27"/>
  <c r="Z182" i="27"/>
  <c r="V182" i="27"/>
  <c r="R182" i="27"/>
  <c r="N182" i="27"/>
  <c r="J182" i="27"/>
  <c r="F182" i="27"/>
  <c r="B182" i="27"/>
  <c r="Z181" i="27"/>
  <c r="V181" i="27"/>
  <c r="R181" i="27"/>
  <c r="N181" i="27"/>
  <c r="J181" i="27"/>
  <c r="F181" i="27"/>
  <c r="B181" i="27"/>
  <c r="Z180" i="27"/>
  <c r="V180" i="27"/>
  <c r="R180" i="27"/>
  <c r="N180" i="27"/>
  <c r="J180" i="27"/>
  <c r="F180" i="27"/>
  <c r="B180" i="27"/>
  <c r="Z179" i="27"/>
  <c r="V179" i="27"/>
  <c r="R179" i="27"/>
  <c r="N179" i="27"/>
  <c r="J179" i="27"/>
  <c r="F179" i="27"/>
  <c r="B179" i="27"/>
  <c r="Z178" i="27"/>
  <c r="V178" i="27"/>
  <c r="R178" i="27"/>
  <c r="N178" i="27"/>
  <c r="J178" i="27"/>
  <c r="F178" i="27"/>
  <c r="B178" i="27"/>
  <c r="Z177" i="27"/>
  <c r="V177" i="27"/>
  <c r="R177" i="27"/>
  <c r="N177" i="27"/>
  <c r="J177" i="27"/>
  <c r="F177" i="27"/>
  <c r="B177" i="27"/>
  <c r="Z176" i="27"/>
  <c r="V176" i="27"/>
  <c r="R176" i="27"/>
  <c r="N176" i="27"/>
  <c r="J176" i="27"/>
  <c r="F176" i="27"/>
  <c r="B176" i="27"/>
  <c r="Z175" i="27"/>
  <c r="V175" i="27"/>
  <c r="R175" i="27"/>
  <c r="N175" i="27"/>
  <c r="J175" i="27"/>
  <c r="F175" i="27"/>
  <c r="B175" i="27"/>
  <c r="Z174" i="27"/>
  <c r="V174" i="27"/>
  <c r="R174" i="27"/>
  <c r="N174" i="27"/>
  <c r="J174" i="27"/>
  <c r="F174" i="27"/>
  <c r="B174" i="27"/>
  <c r="Z173" i="27"/>
  <c r="V173" i="27"/>
  <c r="R173" i="27"/>
  <c r="N173" i="27"/>
  <c r="J173" i="27"/>
  <c r="F173" i="27"/>
  <c r="B173" i="27"/>
  <c r="Z172" i="27"/>
  <c r="V172" i="27"/>
  <c r="R172" i="27"/>
  <c r="N172" i="27"/>
  <c r="J172" i="27"/>
  <c r="F172" i="27"/>
  <c r="B172" i="27"/>
  <c r="Z171" i="27"/>
  <c r="V171" i="27"/>
  <c r="R171" i="27"/>
  <c r="N171" i="27"/>
  <c r="J171" i="27"/>
  <c r="F171" i="27"/>
  <c r="B171" i="27"/>
  <c r="Z170" i="27"/>
  <c r="V170" i="27"/>
  <c r="R170" i="27"/>
  <c r="N170" i="27"/>
  <c r="J170" i="27"/>
  <c r="F170" i="27"/>
  <c r="B170" i="27"/>
  <c r="Z169" i="27"/>
  <c r="V169" i="27"/>
  <c r="R169" i="27"/>
  <c r="N169" i="27"/>
  <c r="J169" i="27"/>
  <c r="F169" i="27"/>
  <c r="B169" i="27"/>
  <c r="Z168" i="27"/>
  <c r="V168" i="27"/>
  <c r="R168" i="27"/>
  <c r="N168" i="27"/>
  <c r="J168" i="27"/>
  <c r="F168" i="27"/>
  <c r="B168" i="27"/>
  <c r="Z167" i="27"/>
  <c r="V167" i="27"/>
  <c r="R167" i="27"/>
  <c r="N167" i="27"/>
  <c r="J167" i="27"/>
  <c r="F167" i="27"/>
  <c r="B167" i="27"/>
  <c r="Z166" i="27"/>
  <c r="V166" i="27"/>
  <c r="R166" i="27"/>
  <c r="N166" i="27"/>
  <c r="J166" i="27"/>
  <c r="F166" i="27"/>
  <c r="B166" i="27"/>
  <c r="Z165" i="27"/>
  <c r="V165" i="27"/>
  <c r="R165" i="27"/>
  <c r="N165" i="27"/>
  <c r="J165" i="27"/>
  <c r="F165" i="27"/>
  <c r="B165" i="27"/>
  <c r="Z164" i="27"/>
  <c r="V164" i="27"/>
  <c r="R164" i="27"/>
  <c r="N164" i="27"/>
  <c r="J164" i="27"/>
  <c r="F164" i="27"/>
  <c r="B164" i="27"/>
  <c r="Z163" i="27"/>
  <c r="V163" i="27"/>
  <c r="R163" i="27"/>
  <c r="N163" i="27"/>
  <c r="J163" i="27"/>
  <c r="F163" i="27"/>
  <c r="B163" i="27"/>
  <c r="Z162" i="27"/>
  <c r="V162" i="27"/>
  <c r="R162" i="27"/>
  <c r="N162" i="27"/>
  <c r="J162" i="27"/>
  <c r="F162" i="27"/>
  <c r="B162" i="27"/>
  <c r="Z161" i="27"/>
  <c r="V161" i="27"/>
  <c r="R161" i="27"/>
  <c r="N161" i="27"/>
  <c r="J161" i="27"/>
  <c r="F161" i="27"/>
  <c r="B161" i="27"/>
  <c r="Z160" i="27"/>
  <c r="V160" i="27"/>
  <c r="R160" i="27"/>
  <c r="N160" i="27"/>
  <c r="J160" i="27"/>
  <c r="F160" i="27"/>
  <c r="B160" i="27"/>
  <c r="Z159" i="27"/>
  <c r="V159" i="27"/>
  <c r="R159" i="27"/>
  <c r="N159" i="27"/>
  <c r="J159" i="27"/>
  <c r="F159" i="27"/>
  <c r="B159" i="27"/>
  <c r="Z158" i="27"/>
  <c r="V158" i="27"/>
  <c r="R158" i="27"/>
  <c r="N158" i="27"/>
  <c r="J158" i="27"/>
  <c r="F158" i="27"/>
  <c r="B158" i="27"/>
  <c r="Z157" i="27"/>
  <c r="V157" i="27"/>
  <c r="R157" i="27"/>
  <c r="N157" i="27"/>
  <c r="J157" i="27"/>
  <c r="F157" i="27"/>
  <c r="B157" i="27"/>
  <c r="Z156" i="27"/>
  <c r="V156" i="27"/>
  <c r="R156" i="27"/>
  <c r="N156" i="27"/>
  <c r="J156" i="27"/>
  <c r="F156" i="27"/>
  <c r="B156" i="27"/>
  <c r="Z155" i="27"/>
  <c r="V155" i="27"/>
  <c r="R155" i="27"/>
  <c r="N155" i="27"/>
  <c r="J155" i="27"/>
  <c r="F155" i="27"/>
  <c r="B155" i="27"/>
  <c r="Z154" i="27"/>
  <c r="V154" i="27"/>
  <c r="R154" i="27"/>
  <c r="N154" i="27"/>
  <c r="J154" i="27"/>
  <c r="F154" i="27"/>
  <c r="B154" i="27"/>
  <c r="Z153" i="27"/>
  <c r="V153" i="27"/>
  <c r="R153" i="27"/>
  <c r="N153" i="27"/>
  <c r="J153" i="27"/>
  <c r="F153" i="27"/>
  <c r="B153" i="27"/>
  <c r="Z152" i="27"/>
  <c r="V152" i="27"/>
  <c r="R152" i="27"/>
  <c r="N152" i="27"/>
  <c r="J152" i="27"/>
  <c r="F152" i="27"/>
  <c r="B152" i="27"/>
  <c r="Z151" i="27"/>
  <c r="V151" i="27"/>
  <c r="R151" i="27"/>
  <c r="N151" i="27"/>
  <c r="J151" i="27"/>
  <c r="F151" i="27"/>
  <c r="B151" i="27"/>
  <c r="Z150" i="27"/>
  <c r="V150" i="27"/>
  <c r="R150" i="27"/>
  <c r="N150" i="27"/>
  <c r="J150" i="27"/>
  <c r="F150" i="27"/>
  <c r="B150" i="27"/>
  <c r="Z149" i="27"/>
  <c r="V149" i="27"/>
  <c r="R149" i="27"/>
  <c r="N149" i="27"/>
  <c r="J149" i="27"/>
  <c r="F149" i="27"/>
  <c r="B149" i="27"/>
  <c r="Z148" i="27"/>
  <c r="V148" i="27"/>
  <c r="R148" i="27"/>
  <c r="N148" i="27"/>
  <c r="J148" i="27"/>
  <c r="F148" i="27"/>
  <c r="B148" i="27"/>
  <c r="Z147" i="27"/>
  <c r="V147" i="27"/>
  <c r="R147" i="27"/>
  <c r="N147" i="27"/>
  <c r="J147" i="27"/>
  <c r="F147" i="27"/>
  <c r="B147" i="27"/>
  <c r="Z146" i="27"/>
  <c r="V146" i="27"/>
  <c r="R146" i="27"/>
  <c r="N146" i="27"/>
  <c r="J146" i="27"/>
  <c r="F146" i="27"/>
  <c r="B146" i="27"/>
  <c r="Z145" i="27"/>
  <c r="V145" i="27"/>
  <c r="R145" i="27"/>
  <c r="N145" i="27"/>
  <c r="J145" i="27"/>
  <c r="F145" i="27"/>
  <c r="B145" i="27"/>
  <c r="Z144" i="27"/>
  <c r="V144" i="27"/>
  <c r="R144" i="27"/>
  <c r="N144" i="27"/>
  <c r="J144" i="27"/>
  <c r="F144" i="27"/>
  <c r="B144" i="27"/>
  <c r="Z143" i="27"/>
  <c r="V143" i="27"/>
  <c r="R143" i="27"/>
  <c r="N143" i="27"/>
  <c r="J143" i="27"/>
  <c r="F143" i="27"/>
  <c r="B143" i="27"/>
  <c r="Z142" i="27"/>
  <c r="V142" i="27"/>
  <c r="R142" i="27"/>
  <c r="N142" i="27"/>
  <c r="J142" i="27"/>
  <c r="F142" i="27"/>
  <c r="B142" i="27"/>
  <c r="Z141" i="27"/>
  <c r="V141" i="27"/>
  <c r="R141" i="27"/>
  <c r="N141" i="27"/>
  <c r="J141" i="27"/>
  <c r="F141" i="27"/>
  <c r="B141" i="27"/>
  <c r="Z140" i="27"/>
  <c r="V140" i="27"/>
  <c r="R140" i="27"/>
  <c r="N140" i="27"/>
  <c r="J140" i="27"/>
  <c r="F140" i="27"/>
  <c r="B140" i="27"/>
  <c r="Z139" i="27"/>
  <c r="V139" i="27"/>
  <c r="R139" i="27"/>
  <c r="N139" i="27"/>
  <c r="J139" i="27"/>
  <c r="F139" i="27"/>
  <c r="B139" i="27"/>
  <c r="Z138" i="27"/>
  <c r="V138" i="27"/>
  <c r="R138" i="27"/>
  <c r="N138" i="27"/>
  <c r="J138" i="27"/>
  <c r="F138" i="27"/>
  <c r="B138" i="27"/>
  <c r="Z137" i="27"/>
  <c r="V137" i="27"/>
  <c r="R137" i="27"/>
  <c r="N137" i="27"/>
  <c r="J137" i="27"/>
  <c r="F137" i="27"/>
  <c r="B137" i="27"/>
  <c r="Z136" i="27"/>
  <c r="V136" i="27"/>
  <c r="R136" i="27"/>
  <c r="N136" i="27"/>
  <c r="J136" i="27"/>
  <c r="F136" i="27"/>
  <c r="B136" i="27"/>
  <c r="Z135" i="27"/>
  <c r="V135" i="27"/>
  <c r="R135" i="27"/>
  <c r="N135" i="27"/>
  <c r="J135" i="27"/>
  <c r="F135" i="27"/>
  <c r="B135" i="27"/>
  <c r="Z134" i="27"/>
  <c r="V134" i="27"/>
  <c r="R134" i="27"/>
  <c r="N134" i="27"/>
  <c r="J134" i="27"/>
  <c r="F134" i="27"/>
  <c r="B134" i="27"/>
  <c r="Z133" i="27"/>
  <c r="V133" i="27"/>
  <c r="R133" i="27"/>
  <c r="N133" i="27"/>
  <c r="J133" i="27"/>
  <c r="F133" i="27"/>
  <c r="B133" i="27"/>
  <c r="Z132" i="27"/>
  <c r="V132" i="27"/>
  <c r="R132" i="27"/>
  <c r="N132" i="27"/>
  <c r="J132" i="27"/>
  <c r="F132" i="27"/>
  <c r="B132" i="27"/>
  <c r="Z131" i="27"/>
  <c r="V131" i="27"/>
  <c r="R131" i="27"/>
  <c r="N131" i="27"/>
  <c r="J131" i="27"/>
  <c r="F131" i="27"/>
  <c r="B131" i="27"/>
  <c r="Z130" i="27"/>
  <c r="V130" i="27"/>
  <c r="R130" i="27"/>
  <c r="N130" i="27"/>
  <c r="J130" i="27"/>
  <c r="F130" i="27"/>
  <c r="B130" i="27"/>
  <c r="Z129" i="27"/>
  <c r="V129" i="27"/>
  <c r="R129" i="27"/>
  <c r="N129" i="27"/>
  <c r="J129" i="27"/>
  <c r="F129" i="27"/>
  <c r="B129" i="27"/>
  <c r="Z128" i="27"/>
  <c r="V128" i="27"/>
  <c r="R128" i="27"/>
  <c r="N128" i="27"/>
  <c r="J128" i="27"/>
  <c r="F128" i="27"/>
  <c r="B128" i="27"/>
  <c r="Z127" i="27"/>
  <c r="V127" i="27"/>
  <c r="R127" i="27"/>
  <c r="N127" i="27"/>
  <c r="J127" i="27"/>
  <c r="F127" i="27"/>
  <c r="B127" i="27"/>
  <c r="Z126" i="27"/>
  <c r="V126" i="27"/>
  <c r="R126" i="27"/>
  <c r="N126" i="27"/>
  <c r="J126" i="27"/>
  <c r="F126" i="27"/>
  <c r="B126" i="27"/>
  <c r="Z125" i="27"/>
  <c r="V125" i="27"/>
  <c r="R125" i="27"/>
  <c r="N125" i="27"/>
  <c r="J125" i="27"/>
  <c r="F125" i="27"/>
  <c r="B125" i="27"/>
  <c r="Z124" i="27"/>
  <c r="V124" i="27"/>
  <c r="R124" i="27"/>
  <c r="N124" i="27"/>
  <c r="J124" i="27"/>
  <c r="F124" i="27"/>
  <c r="B124" i="27"/>
  <c r="Z123" i="27"/>
  <c r="V123" i="27"/>
  <c r="R123" i="27"/>
  <c r="N123" i="27"/>
  <c r="J123" i="27"/>
  <c r="F123" i="27"/>
  <c r="B123" i="27"/>
  <c r="Z122" i="27"/>
  <c r="V122" i="27"/>
  <c r="R122" i="27"/>
  <c r="N122" i="27"/>
  <c r="J122" i="27"/>
  <c r="F122" i="27"/>
  <c r="B122" i="27"/>
  <c r="Z121" i="27"/>
  <c r="V121" i="27"/>
  <c r="R121" i="27"/>
  <c r="N121" i="27"/>
  <c r="J121" i="27"/>
  <c r="F121" i="27"/>
  <c r="B121" i="27"/>
  <c r="Z120" i="27"/>
  <c r="V120" i="27"/>
  <c r="R120" i="27"/>
  <c r="N120" i="27"/>
  <c r="J120" i="27"/>
  <c r="F120" i="27"/>
  <c r="B120" i="27"/>
  <c r="Z119" i="27"/>
  <c r="V119" i="27"/>
  <c r="R119" i="27"/>
  <c r="N119" i="27"/>
  <c r="J119" i="27"/>
  <c r="F119" i="27"/>
  <c r="B119" i="27"/>
  <c r="Z118" i="27"/>
  <c r="V118" i="27"/>
  <c r="R118" i="27"/>
  <c r="N118" i="27"/>
  <c r="J118" i="27"/>
  <c r="F118" i="27"/>
  <c r="B118" i="27"/>
  <c r="Z117" i="27"/>
  <c r="V117" i="27"/>
  <c r="R117" i="27"/>
  <c r="N117" i="27"/>
  <c r="J117" i="27"/>
  <c r="F117" i="27"/>
  <c r="B117" i="27"/>
  <c r="Z116" i="27"/>
  <c r="V116" i="27"/>
  <c r="R116" i="27"/>
  <c r="N116" i="27"/>
  <c r="J116" i="27"/>
  <c r="F116" i="27"/>
  <c r="B116" i="27"/>
  <c r="Z115" i="27"/>
  <c r="V115" i="27"/>
  <c r="R115" i="27"/>
  <c r="N115" i="27"/>
  <c r="J115" i="27"/>
  <c r="F115" i="27"/>
  <c r="B115" i="27"/>
  <c r="Z114" i="27"/>
  <c r="V114" i="27"/>
  <c r="R114" i="27"/>
  <c r="N114" i="27"/>
  <c r="J114" i="27"/>
  <c r="F114" i="27"/>
  <c r="B114" i="27"/>
  <c r="Z113" i="27"/>
  <c r="V113" i="27"/>
  <c r="R113" i="27"/>
  <c r="N113" i="27"/>
  <c r="J113" i="27"/>
  <c r="F113" i="27"/>
  <c r="B113" i="27"/>
  <c r="Z112" i="27"/>
  <c r="V112" i="27"/>
  <c r="R112" i="27"/>
  <c r="N112" i="27"/>
  <c r="J112" i="27"/>
  <c r="F112" i="27"/>
  <c r="B112" i="27"/>
  <c r="Z111" i="27"/>
  <c r="V111" i="27"/>
  <c r="R111" i="27"/>
  <c r="N111" i="27"/>
  <c r="J111" i="27"/>
  <c r="F111" i="27"/>
  <c r="B111" i="27"/>
  <c r="Z110" i="27"/>
  <c r="V110" i="27"/>
  <c r="R110" i="27"/>
  <c r="N110" i="27"/>
  <c r="J110" i="27"/>
  <c r="F110" i="27"/>
  <c r="B110" i="27"/>
  <c r="Z109" i="27"/>
  <c r="V109" i="27"/>
  <c r="R109" i="27"/>
  <c r="N109" i="27"/>
  <c r="J109" i="27"/>
  <c r="F109" i="27"/>
  <c r="B109" i="27"/>
  <c r="Z108" i="27"/>
  <c r="V108" i="27"/>
  <c r="R108" i="27"/>
  <c r="N108" i="27"/>
  <c r="J108" i="27"/>
  <c r="F108" i="27"/>
  <c r="B108" i="27"/>
  <c r="Z107" i="27"/>
  <c r="V107" i="27"/>
  <c r="R107" i="27"/>
  <c r="N107" i="27"/>
  <c r="J107" i="27"/>
  <c r="F107" i="27"/>
  <c r="B107" i="27"/>
  <c r="Z106" i="27"/>
  <c r="V106" i="27"/>
  <c r="R106" i="27"/>
  <c r="N106" i="27"/>
  <c r="J106" i="27"/>
  <c r="F106" i="27"/>
  <c r="B106" i="27"/>
  <c r="Z105" i="27"/>
  <c r="V105" i="27"/>
  <c r="R105" i="27"/>
  <c r="N105" i="27"/>
  <c r="J105" i="27"/>
  <c r="F105" i="27"/>
  <c r="B105" i="27"/>
  <c r="Z104" i="27"/>
  <c r="V104" i="27"/>
  <c r="R104" i="27"/>
  <c r="N104" i="27"/>
  <c r="J104" i="27"/>
  <c r="F104" i="27"/>
  <c r="B104" i="27"/>
  <c r="Z103" i="27"/>
  <c r="V103" i="27"/>
  <c r="R103" i="27"/>
  <c r="N103" i="27"/>
  <c r="J103" i="27"/>
  <c r="F103" i="27"/>
  <c r="B103" i="27"/>
  <c r="Z102" i="27"/>
  <c r="V102" i="27"/>
  <c r="R102" i="27"/>
  <c r="N102" i="27"/>
  <c r="J102" i="27"/>
  <c r="F102" i="27"/>
  <c r="B102" i="27"/>
  <c r="Z101" i="27"/>
  <c r="V101" i="27"/>
  <c r="R101" i="27"/>
  <c r="N101" i="27"/>
  <c r="J101" i="27"/>
  <c r="F101" i="27"/>
  <c r="B101" i="27"/>
  <c r="Z100" i="27"/>
  <c r="V100" i="27"/>
  <c r="R100" i="27"/>
  <c r="N100" i="27"/>
  <c r="J100" i="27"/>
  <c r="F100" i="27"/>
  <c r="B100" i="27"/>
  <c r="Z99" i="27"/>
  <c r="V99" i="27"/>
  <c r="R99" i="27"/>
  <c r="N99" i="27"/>
  <c r="J99" i="27"/>
  <c r="F99" i="27"/>
  <c r="B99" i="27"/>
  <c r="Z98" i="27"/>
  <c r="V98" i="27"/>
  <c r="R98" i="27"/>
  <c r="N98" i="27"/>
  <c r="J98" i="27"/>
  <c r="F98" i="27"/>
  <c r="B98" i="27"/>
  <c r="Z97" i="27"/>
  <c r="V97" i="27"/>
  <c r="R97" i="27"/>
  <c r="N97" i="27"/>
  <c r="J97" i="27"/>
  <c r="F97" i="27"/>
  <c r="B97" i="27"/>
  <c r="Z96" i="27"/>
  <c r="V96" i="27"/>
  <c r="R96" i="27"/>
  <c r="N96" i="27"/>
  <c r="J96" i="27"/>
  <c r="F96" i="27"/>
  <c r="B96" i="27"/>
  <c r="Z95" i="27"/>
  <c r="V95" i="27"/>
  <c r="R95" i="27"/>
  <c r="N95" i="27"/>
  <c r="J95" i="27"/>
  <c r="F95" i="27"/>
  <c r="B95" i="27"/>
  <c r="Z94" i="27"/>
  <c r="V94" i="27"/>
  <c r="R94" i="27"/>
  <c r="N94" i="27"/>
  <c r="J94" i="27"/>
  <c r="F94" i="27"/>
  <c r="B94" i="27"/>
  <c r="Z93" i="27"/>
  <c r="V93" i="27"/>
  <c r="R93" i="27"/>
  <c r="N93" i="27"/>
  <c r="J93" i="27"/>
  <c r="F93" i="27"/>
  <c r="B93" i="27"/>
  <c r="Z92" i="27"/>
  <c r="V92" i="27"/>
  <c r="R92" i="27"/>
  <c r="N92" i="27"/>
  <c r="J92" i="27"/>
  <c r="F92" i="27"/>
  <c r="B92" i="27"/>
  <c r="Z91" i="27"/>
  <c r="V91" i="27"/>
  <c r="R91" i="27"/>
  <c r="N91" i="27"/>
  <c r="J91" i="27"/>
  <c r="F91" i="27"/>
  <c r="B91" i="27"/>
  <c r="Z90" i="27"/>
  <c r="V90" i="27"/>
  <c r="R90" i="27"/>
  <c r="N90" i="27"/>
  <c r="J90" i="27"/>
  <c r="F90" i="27"/>
  <c r="B90" i="27"/>
  <c r="Z89" i="27"/>
  <c r="V89" i="27"/>
  <c r="R89" i="27"/>
  <c r="N89" i="27"/>
  <c r="J89" i="27"/>
  <c r="F89" i="27"/>
  <c r="B89" i="27"/>
  <c r="Z88" i="27"/>
  <c r="V88" i="27"/>
  <c r="R88" i="27"/>
  <c r="N88" i="27"/>
  <c r="J88" i="27"/>
  <c r="F88" i="27"/>
  <c r="B88" i="27"/>
  <c r="Z87" i="27"/>
  <c r="V87" i="27"/>
  <c r="R87" i="27"/>
  <c r="N87" i="27"/>
  <c r="J87" i="27"/>
  <c r="F87" i="27"/>
  <c r="B87" i="27"/>
  <c r="Z86" i="27"/>
  <c r="V86" i="27"/>
  <c r="R86" i="27"/>
  <c r="N86" i="27"/>
  <c r="J86" i="27"/>
  <c r="F86" i="27"/>
  <c r="B86" i="27"/>
  <c r="Z85" i="27"/>
  <c r="V85" i="27"/>
  <c r="R85" i="27"/>
  <c r="N85" i="27"/>
  <c r="J85" i="27"/>
  <c r="F85" i="27"/>
  <c r="B85" i="27"/>
  <c r="Z84" i="27"/>
  <c r="V84" i="27"/>
  <c r="R84" i="27"/>
  <c r="N84" i="27"/>
  <c r="J84" i="27"/>
  <c r="F84" i="27"/>
  <c r="B84" i="27"/>
  <c r="Z83" i="27"/>
  <c r="V83" i="27"/>
  <c r="R83" i="27"/>
  <c r="N83" i="27"/>
  <c r="J83" i="27"/>
  <c r="F83" i="27"/>
  <c r="B83" i="27"/>
  <c r="Z82" i="27"/>
  <c r="V82" i="27"/>
  <c r="R82" i="27"/>
  <c r="N82" i="27"/>
  <c r="J82" i="27"/>
  <c r="F82" i="27"/>
  <c r="B82" i="27"/>
  <c r="Z81" i="27"/>
  <c r="V81" i="27"/>
  <c r="R81" i="27"/>
  <c r="N81" i="27"/>
  <c r="J81" i="27"/>
  <c r="F81" i="27"/>
  <c r="B81" i="27"/>
  <c r="Z80" i="27"/>
  <c r="V80" i="27"/>
  <c r="R80" i="27"/>
  <c r="N80" i="27"/>
  <c r="J80" i="27"/>
  <c r="F80" i="27"/>
  <c r="B80" i="27"/>
  <c r="Z79" i="27"/>
  <c r="V79" i="27"/>
  <c r="R79" i="27"/>
  <c r="N79" i="27"/>
  <c r="J79" i="27"/>
  <c r="F79" i="27"/>
  <c r="B79" i="27"/>
  <c r="Z78" i="27"/>
  <c r="V78" i="27"/>
  <c r="R78" i="27"/>
  <c r="N78" i="27"/>
  <c r="J78" i="27"/>
  <c r="F78" i="27"/>
  <c r="B78" i="27"/>
  <c r="Z77" i="27"/>
  <c r="V77" i="27"/>
  <c r="R77" i="27"/>
  <c r="N77" i="27"/>
  <c r="J77" i="27"/>
  <c r="F77" i="27"/>
  <c r="B77" i="27"/>
  <c r="Z76" i="27"/>
  <c r="V76" i="27"/>
  <c r="R76" i="27"/>
  <c r="N76" i="27"/>
  <c r="J76" i="27"/>
  <c r="F76" i="27"/>
  <c r="B76" i="27"/>
  <c r="Z75" i="27"/>
  <c r="V75" i="27"/>
  <c r="R75" i="27"/>
  <c r="N75" i="27"/>
  <c r="J75" i="27"/>
  <c r="F75" i="27"/>
  <c r="B75" i="27"/>
  <c r="Z74" i="27"/>
  <c r="V74" i="27"/>
  <c r="R74" i="27"/>
  <c r="N74" i="27"/>
  <c r="J74" i="27"/>
  <c r="F74" i="27"/>
  <c r="B74" i="27"/>
  <c r="Z73" i="27"/>
  <c r="V73" i="27"/>
  <c r="R73" i="27"/>
  <c r="N73" i="27"/>
  <c r="J73" i="27"/>
  <c r="F73" i="27"/>
  <c r="B73" i="27"/>
  <c r="Z72" i="27"/>
  <c r="V72" i="27"/>
  <c r="R72" i="27"/>
  <c r="N72" i="27"/>
  <c r="J72" i="27"/>
  <c r="F72" i="27"/>
  <c r="B72" i="27"/>
  <c r="Z71" i="27"/>
  <c r="V71" i="27"/>
  <c r="R71" i="27"/>
  <c r="N71" i="27"/>
  <c r="J71" i="27"/>
  <c r="F71" i="27"/>
  <c r="B71" i="27"/>
  <c r="Z70" i="27"/>
  <c r="V70" i="27"/>
  <c r="R70" i="27"/>
  <c r="N70" i="27"/>
  <c r="J70" i="27"/>
  <c r="F70" i="27"/>
  <c r="B70" i="27"/>
  <c r="Z69" i="27"/>
  <c r="V69" i="27"/>
  <c r="R69" i="27"/>
  <c r="N69" i="27"/>
  <c r="J69" i="27"/>
  <c r="F69" i="27"/>
  <c r="B69" i="27"/>
  <c r="Z68" i="27"/>
  <c r="V68" i="27"/>
  <c r="R68" i="27"/>
  <c r="N68" i="27"/>
  <c r="J68" i="27"/>
  <c r="F68" i="27"/>
  <c r="B68" i="27"/>
  <c r="Z67" i="27"/>
  <c r="V67" i="27"/>
  <c r="R67" i="27"/>
  <c r="N67" i="27"/>
  <c r="J67" i="27"/>
  <c r="F67" i="27"/>
  <c r="B67" i="27"/>
  <c r="Z66" i="27"/>
  <c r="V66" i="27"/>
  <c r="R66" i="27"/>
  <c r="N66" i="27"/>
  <c r="J66" i="27"/>
  <c r="F66" i="27"/>
  <c r="B66" i="27"/>
  <c r="Z65" i="27"/>
  <c r="V65" i="27"/>
  <c r="R65" i="27"/>
  <c r="N65" i="27"/>
  <c r="J65" i="27"/>
  <c r="F65" i="27"/>
  <c r="B65" i="27"/>
  <c r="Z64" i="27"/>
  <c r="V64" i="27"/>
  <c r="R64" i="27"/>
  <c r="N64" i="27"/>
  <c r="J64" i="27"/>
  <c r="F64" i="27"/>
  <c r="B64" i="27"/>
  <c r="Z63" i="27"/>
  <c r="V63" i="27"/>
  <c r="R63" i="27"/>
  <c r="N63" i="27"/>
  <c r="J63" i="27"/>
  <c r="F63" i="27"/>
  <c r="B63" i="27"/>
  <c r="Z62" i="27"/>
  <c r="V62" i="27"/>
  <c r="R62" i="27"/>
  <c r="N62" i="27"/>
  <c r="J62" i="27"/>
  <c r="F62" i="27"/>
  <c r="B62" i="27"/>
  <c r="Z61" i="27"/>
  <c r="V61" i="27"/>
  <c r="R61" i="27"/>
  <c r="N61" i="27"/>
  <c r="J61" i="27"/>
  <c r="F61" i="27"/>
  <c r="B61" i="27"/>
  <c r="Z60" i="27"/>
  <c r="V60" i="27"/>
  <c r="R60" i="27"/>
  <c r="N60" i="27"/>
  <c r="J60" i="27"/>
  <c r="F60" i="27"/>
  <c r="B60" i="27"/>
  <c r="Z59" i="27"/>
  <c r="V59" i="27"/>
  <c r="R59" i="27"/>
  <c r="N59" i="27"/>
  <c r="J59" i="27"/>
  <c r="F59" i="27"/>
  <c r="B59" i="27"/>
  <c r="Z58" i="27"/>
  <c r="V58" i="27"/>
  <c r="R58" i="27"/>
  <c r="N58" i="27"/>
  <c r="J58" i="27"/>
  <c r="F58" i="27"/>
  <c r="B58" i="27"/>
  <c r="Z57" i="27"/>
  <c r="V57" i="27"/>
  <c r="R57" i="27"/>
  <c r="N57" i="27"/>
  <c r="J57" i="27"/>
  <c r="F57" i="27"/>
  <c r="B57" i="27"/>
  <c r="Z56" i="27"/>
  <c r="V56" i="27"/>
  <c r="R56" i="27"/>
  <c r="N56" i="27"/>
  <c r="J56" i="27"/>
  <c r="F56" i="27"/>
  <c r="B56" i="27"/>
  <c r="Z55" i="27"/>
  <c r="V55" i="27"/>
  <c r="R55" i="27"/>
  <c r="N55" i="27"/>
  <c r="J55" i="27"/>
  <c r="F55" i="27"/>
  <c r="B55" i="27"/>
  <c r="Z54" i="27"/>
  <c r="V54" i="27"/>
  <c r="R54" i="27"/>
  <c r="N54" i="27"/>
  <c r="J54" i="27"/>
  <c r="F54" i="27"/>
  <c r="B54" i="27"/>
  <c r="Z53" i="27"/>
  <c r="V53" i="27"/>
  <c r="R53" i="27"/>
  <c r="N53" i="27"/>
  <c r="J53" i="27"/>
  <c r="F53" i="27"/>
  <c r="B53" i="27"/>
  <c r="Z52" i="27"/>
  <c r="V52" i="27"/>
  <c r="R52" i="27"/>
  <c r="N52" i="27"/>
  <c r="J52" i="27"/>
  <c r="F52" i="27"/>
  <c r="B52" i="27"/>
  <c r="Z51" i="27"/>
  <c r="V51" i="27"/>
  <c r="R51" i="27"/>
  <c r="N51" i="27"/>
  <c r="J51" i="27"/>
  <c r="F51" i="27"/>
  <c r="B51" i="27"/>
  <c r="Z50" i="27"/>
  <c r="V50" i="27"/>
  <c r="R50" i="27"/>
  <c r="N50" i="27"/>
  <c r="J50" i="27"/>
  <c r="F50" i="27"/>
  <c r="B50" i="27"/>
  <c r="Z49" i="27"/>
  <c r="V49" i="27"/>
  <c r="R49" i="27"/>
  <c r="N49" i="27"/>
  <c r="J49" i="27"/>
  <c r="F49" i="27"/>
  <c r="B49" i="27"/>
  <c r="Z48" i="27"/>
  <c r="V48" i="27"/>
  <c r="R48" i="27"/>
  <c r="N48" i="27"/>
  <c r="J48" i="27"/>
  <c r="F48" i="27"/>
  <c r="B48" i="27"/>
  <c r="Z47" i="27"/>
  <c r="V47" i="27"/>
  <c r="R47" i="27"/>
  <c r="N47" i="27"/>
  <c r="J47" i="27"/>
  <c r="F47" i="27"/>
  <c r="B47" i="27"/>
  <c r="Z46" i="27"/>
  <c r="V46" i="27"/>
  <c r="R46" i="27"/>
  <c r="N46" i="27"/>
  <c r="J46" i="27"/>
  <c r="F46" i="27"/>
  <c r="B46" i="27"/>
  <c r="Z45" i="27"/>
  <c r="V45" i="27"/>
  <c r="R45" i="27"/>
  <c r="N45" i="27"/>
  <c r="J45" i="27"/>
  <c r="F45" i="27"/>
  <c r="B45" i="27"/>
  <c r="Z44" i="27"/>
  <c r="V44" i="27"/>
  <c r="R44" i="27"/>
  <c r="N44" i="27"/>
  <c r="J44" i="27"/>
  <c r="F44" i="27"/>
  <c r="B44" i="27"/>
  <c r="A1" i="27"/>
  <c r="Z220" i="7"/>
  <c r="Z221" i="7"/>
  <c r="Z222" i="7"/>
  <c r="Z223" i="7"/>
  <c r="Z224" i="7"/>
  <c r="Z225" i="7"/>
  <c r="Z226" i="7"/>
  <c r="Z227" i="7"/>
  <c r="Z228" i="7"/>
  <c r="Z229" i="7"/>
  <c r="Z230" i="7"/>
  <c r="Z231" i="7"/>
  <c r="Z232" i="7"/>
  <c r="Z233" i="7"/>
  <c r="Z234" i="7"/>
  <c r="Z235" i="7"/>
  <c r="Z236" i="7"/>
  <c r="Z237" i="7"/>
  <c r="Z238" i="7"/>
  <c r="Z239" i="7"/>
  <c r="Z240" i="7"/>
  <c r="Z241" i="7"/>
  <c r="Z242" i="7"/>
  <c r="Z243" i="7"/>
  <c r="Z244" i="7"/>
  <c r="Z245" i="7"/>
  <c r="Z246" i="7"/>
  <c r="Z247" i="7"/>
  <c r="Z248" i="7"/>
  <c r="Z249" i="7"/>
  <c r="Z250" i="7"/>
  <c r="Z251" i="7"/>
  <c r="Z252" i="7"/>
  <c r="Z253" i="7"/>
  <c r="Z219" i="7"/>
  <c r="V220" i="7"/>
  <c r="V221" i="7"/>
  <c r="V222" i="7"/>
  <c r="V223" i="7"/>
  <c r="V224" i="7"/>
  <c r="V225" i="7"/>
  <c r="V226" i="7"/>
  <c r="V227" i="7"/>
  <c r="V228" i="7"/>
  <c r="V229" i="7"/>
  <c r="V230" i="7"/>
  <c r="V231" i="7"/>
  <c r="V232" i="7"/>
  <c r="V233" i="7"/>
  <c r="V234" i="7"/>
  <c r="V235" i="7"/>
  <c r="V236" i="7"/>
  <c r="V237" i="7"/>
  <c r="V238" i="7"/>
  <c r="V239" i="7"/>
  <c r="V240" i="7"/>
  <c r="V241" i="7"/>
  <c r="V242" i="7"/>
  <c r="V243" i="7"/>
  <c r="V244" i="7"/>
  <c r="V245" i="7"/>
  <c r="V246" i="7"/>
  <c r="V247" i="7"/>
  <c r="V248" i="7"/>
  <c r="V249" i="7"/>
  <c r="V250" i="7"/>
  <c r="V251" i="7"/>
  <c r="V252" i="7"/>
  <c r="V253" i="7"/>
  <c r="V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19" i="7"/>
  <c r="Z185" i="7"/>
  <c r="Z186" i="7"/>
  <c r="Z187" i="7"/>
  <c r="Z188" i="7"/>
  <c r="Z189" i="7"/>
  <c r="Z190" i="7"/>
  <c r="Z191" i="7"/>
  <c r="Z192" i="7"/>
  <c r="Z193" i="7"/>
  <c r="Z194" i="7"/>
  <c r="Z195" i="7"/>
  <c r="Z196" i="7"/>
  <c r="Z197" i="7"/>
  <c r="Z198" i="7"/>
  <c r="Z199" i="7"/>
  <c r="Z200" i="7"/>
  <c r="Z201" i="7"/>
  <c r="Z202" i="7"/>
  <c r="Z203" i="7"/>
  <c r="Z204" i="7"/>
  <c r="Z205" i="7"/>
  <c r="Z206" i="7"/>
  <c r="Z207" i="7"/>
  <c r="Z208" i="7"/>
  <c r="Z209" i="7"/>
  <c r="Z210" i="7"/>
  <c r="Z211" i="7"/>
  <c r="Z212" i="7"/>
  <c r="Z213" i="7"/>
  <c r="Z214" i="7"/>
  <c r="Z215" i="7"/>
  <c r="Z216" i="7"/>
  <c r="Z217" i="7"/>
  <c r="Z218" i="7"/>
  <c r="Z184" i="7"/>
  <c r="V185" i="7"/>
  <c r="V186" i="7"/>
  <c r="V187" i="7"/>
  <c r="V188" i="7"/>
  <c r="V189" i="7"/>
  <c r="V190" i="7"/>
  <c r="V191" i="7"/>
  <c r="V192" i="7"/>
  <c r="V193" i="7"/>
  <c r="V194" i="7"/>
  <c r="V195" i="7"/>
  <c r="V196" i="7"/>
  <c r="V197" i="7"/>
  <c r="V198" i="7"/>
  <c r="V199" i="7"/>
  <c r="V200" i="7"/>
  <c r="V201" i="7"/>
  <c r="V202" i="7"/>
  <c r="V203" i="7"/>
  <c r="V204" i="7"/>
  <c r="V205" i="7"/>
  <c r="V206" i="7"/>
  <c r="V207" i="7"/>
  <c r="V208" i="7"/>
  <c r="V209" i="7"/>
  <c r="V210" i="7"/>
  <c r="V211" i="7"/>
  <c r="V212" i="7"/>
  <c r="V213" i="7"/>
  <c r="V214" i="7"/>
  <c r="V215" i="7"/>
  <c r="V216" i="7"/>
  <c r="V217" i="7"/>
  <c r="V218" i="7"/>
  <c r="V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184" i="7"/>
  <c r="Z150" i="7"/>
  <c r="Z151" i="7"/>
  <c r="Z152" i="7"/>
  <c r="Z153" i="7"/>
  <c r="Z154" i="7"/>
  <c r="Z155" i="7"/>
  <c r="Z156" i="7"/>
  <c r="Z157" i="7"/>
  <c r="Z158" i="7"/>
  <c r="Z159" i="7"/>
  <c r="Z160" i="7"/>
  <c r="Z161" i="7"/>
  <c r="Z162" i="7"/>
  <c r="Z163" i="7"/>
  <c r="Z164" i="7"/>
  <c r="Z165" i="7"/>
  <c r="Z166" i="7"/>
  <c r="Z167" i="7"/>
  <c r="Z168" i="7"/>
  <c r="Z169" i="7"/>
  <c r="Z170" i="7"/>
  <c r="Z171" i="7"/>
  <c r="Z172" i="7"/>
  <c r="Z173" i="7"/>
  <c r="Z174" i="7"/>
  <c r="Z175" i="7"/>
  <c r="Z176" i="7"/>
  <c r="Z177" i="7"/>
  <c r="Z178" i="7"/>
  <c r="Z179" i="7"/>
  <c r="Z180" i="7"/>
  <c r="Z181" i="7"/>
  <c r="Z182" i="7"/>
  <c r="Z183" i="7"/>
  <c r="Z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49" i="7"/>
  <c r="Z115" i="7"/>
  <c r="Z116" i="7"/>
  <c r="Z117" i="7"/>
  <c r="Z118" i="7"/>
  <c r="Z119" i="7"/>
  <c r="Z120" i="7"/>
  <c r="Z121" i="7"/>
  <c r="Z122" i="7"/>
  <c r="Z123" i="7"/>
  <c r="Z124" i="7"/>
  <c r="Z125" i="7"/>
  <c r="Z126" i="7"/>
  <c r="Z127" i="7"/>
  <c r="Z128" i="7"/>
  <c r="Z129" i="7"/>
  <c r="Z130" i="7"/>
  <c r="Z131" i="7"/>
  <c r="Z132" i="7"/>
  <c r="Z133" i="7"/>
  <c r="Z134" i="7"/>
  <c r="Z135" i="7"/>
  <c r="Z136" i="7"/>
  <c r="Z137" i="7"/>
  <c r="Z138" i="7"/>
  <c r="Z139" i="7"/>
  <c r="Z140" i="7"/>
  <c r="Z141" i="7"/>
  <c r="Z142" i="7"/>
  <c r="Z143" i="7"/>
  <c r="Z144" i="7"/>
  <c r="Z145" i="7"/>
  <c r="Z146" i="7"/>
  <c r="Z147" i="7"/>
  <c r="Z148" i="7"/>
  <c r="Z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14" i="7"/>
  <c r="R4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14" i="7"/>
  <c r="V79" i="7"/>
  <c r="Z80" i="7"/>
  <c r="Z81" i="7"/>
  <c r="Z82" i="7"/>
  <c r="Z83" i="7"/>
  <c r="Z84" i="7"/>
  <c r="Z85" i="7"/>
  <c r="Z86" i="7"/>
  <c r="Z87" i="7"/>
  <c r="Z88" i="7"/>
  <c r="Z89" i="7"/>
  <c r="Z90" i="7"/>
  <c r="Z91" i="7"/>
  <c r="Z92" i="7"/>
  <c r="Z93" i="7"/>
  <c r="Z94" i="7"/>
  <c r="Z95" i="7"/>
  <c r="Z96" i="7"/>
  <c r="Z97" i="7"/>
  <c r="Z98" i="7"/>
  <c r="Z99" i="7"/>
  <c r="Z100" i="7"/>
  <c r="Z101" i="7"/>
  <c r="Z102" i="7"/>
  <c r="Z103" i="7"/>
  <c r="Z104" i="7"/>
  <c r="Z105" i="7"/>
  <c r="Z106" i="7"/>
  <c r="Z107" i="7"/>
  <c r="Z108" i="7"/>
  <c r="Z109" i="7"/>
  <c r="Z110" i="7"/>
  <c r="Z111" i="7"/>
  <c r="Z112" i="7"/>
  <c r="Z113" i="7"/>
  <c r="Z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79" i="7"/>
  <c r="R65" i="7"/>
  <c r="Z45" i="7"/>
  <c r="Z46" i="7"/>
  <c r="Z47" i="7"/>
  <c r="Z48" i="7"/>
  <c r="Z49" i="7"/>
  <c r="Z50" i="7"/>
  <c r="Z51" i="7"/>
  <c r="Z52" i="7"/>
  <c r="Z53" i="7"/>
  <c r="Z54" i="7"/>
  <c r="Z55" i="7"/>
  <c r="Z56" i="7"/>
  <c r="Z57" i="7"/>
  <c r="Z58" i="7"/>
  <c r="Z59" i="7"/>
  <c r="Z60" i="7"/>
  <c r="Z61" i="7"/>
  <c r="Z62" i="7"/>
  <c r="Z63" i="7"/>
  <c r="Z64" i="7"/>
  <c r="Z65" i="7"/>
  <c r="Z66" i="7"/>
  <c r="Z67" i="7"/>
  <c r="Z68" i="7"/>
  <c r="Z69" i="7"/>
  <c r="Z70" i="7"/>
  <c r="Z71" i="7"/>
  <c r="Z72" i="7"/>
  <c r="Z73" i="7"/>
  <c r="Z74" i="7"/>
  <c r="Z75" i="7"/>
  <c r="Z76" i="7"/>
  <c r="Z77" i="7"/>
  <c r="Z78" i="7"/>
  <c r="Z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44" i="7"/>
  <c r="R45" i="7"/>
  <c r="R46" i="7"/>
  <c r="R47" i="7"/>
  <c r="R48" i="7"/>
  <c r="R49" i="7"/>
  <c r="R50" i="7"/>
  <c r="R51" i="7"/>
  <c r="R52" i="7"/>
  <c r="R53" i="7"/>
  <c r="R54" i="7"/>
  <c r="R55" i="7"/>
  <c r="R56" i="7"/>
  <c r="R57" i="7"/>
  <c r="R58" i="7"/>
  <c r="R59" i="7"/>
  <c r="R60" i="7"/>
  <c r="R61" i="7"/>
  <c r="R62" i="7"/>
  <c r="R63" i="7"/>
  <c r="R64" i="7"/>
  <c r="R66" i="7"/>
  <c r="R67" i="7"/>
  <c r="R68" i="7"/>
  <c r="R69" i="7"/>
  <c r="R70" i="7"/>
  <c r="R71" i="7"/>
  <c r="R72" i="7"/>
  <c r="R73" i="7"/>
  <c r="R74" i="7"/>
  <c r="R75" i="7"/>
  <c r="R76" i="7"/>
  <c r="R77" i="7"/>
  <c r="R78"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44" i="7"/>
  <c r="A1" i="7"/>
  <c r="AE37" i="35"/>
  <c r="AE93" i="35"/>
  <c r="AE58" i="35"/>
  <c r="AE114" i="35"/>
  <c r="AE121" i="35" l="1"/>
  <c r="AE107" i="35"/>
  <c r="AE100" i="35"/>
  <c r="AE65" i="35"/>
  <c r="AE72" i="35"/>
  <c r="AE86" i="35"/>
  <c r="AE128" i="35"/>
  <c r="AE92" i="35"/>
  <c r="AE78" i="35"/>
  <c r="AE50" i="35"/>
  <c r="AE43" i="35"/>
  <c r="AE29" i="35"/>
  <c r="AE51" i="35"/>
  <c r="AE71" i="35"/>
  <c r="AE57" i="35"/>
  <c r="AE44" i="35"/>
  <c r="AE36" i="35"/>
  <c r="AE30" i="35"/>
  <c r="AE64" i="35"/>
  <c r="AE120" i="35"/>
  <c r="AE106" i="35"/>
  <c r="C44" i="7" l="1"/>
  <c r="E44" i="7"/>
  <c r="G44" i="7"/>
  <c r="I44" i="7"/>
  <c r="K44" i="7"/>
  <c r="M44" i="7"/>
  <c r="O44" i="7"/>
  <c r="Q44" i="7"/>
  <c r="S44" i="7"/>
  <c r="U44" i="7"/>
  <c r="W44" i="7"/>
  <c r="Y44" i="7"/>
  <c r="AA44" i="7"/>
  <c r="AC44" i="7"/>
  <c r="AD44" i="7"/>
  <c r="C45" i="7"/>
  <c r="E45" i="7"/>
  <c r="G45" i="7"/>
  <c r="I45" i="7"/>
  <c r="K45" i="7"/>
  <c r="M45" i="7"/>
  <c r="O45" i="7"/>
  <c r="Q45" i="7"/>
  <c r="S45" i="7"/>
  <c r="U45" i="7"/>
  <c r="W45" i="7"/>
  <c r="Y45" i="7"/>
  <c r="AA45" i="7"/>
  <c r="AC45" i="7"/>
  <c r="C46" i="7"/>
  <c r="E46" i="7"/>
  <c r="G46" i="7"/>
  <c r="I46" i="7"/>
  <c r="K46" i="7"/>
  <c r="M46" i="7"/>
  <c r="O46" i="7"/>
  <c r="Q46" i="7"/>
  <c r="S46" i="7"/>
  <c r="U46" i="7"/>
  <c r="W46" i="7"/>
  <c r="Y46" i="7"/>
  <c r="AA46" i="7"/>
  <c r="AC46" i="7"/>
  <c r="C47" i="7"/>
  <c r="E47" i="7"/>
  <c r="G47" i="7"/>
  <c r="I47" i="7"/>
  <c r="K47" i="7"/>
  <c r="M47" i="7"/>
  <c r="O47" i="7"/>
  <c r="Q47" i="7"/>
  <c r="S47" i="7"/>
  <c r="U47" i="7"/>
  <c r="W47" i="7"/>
  <c r="Y47" i="7"/>
  <c r="AA47" i="7"/>
  <c r="AC47" i="7"/>
  <c r="C48" i="7"/>
  <c r="E48" i="7"/>
  <c r="G48" i="7"/>
  <c r="I48" i="7"/>
  <c r="K48" i="7"/>
  <c r="M48" i="7"/>
  <c r="O48" i="7"/>
  <c r="Q48" i="7"/>
  <c r="S48" i="7"/>
  <c r="U48" i="7"/>
  <c r="W48" i="7"/>
  <c r="Y48" i="7"/>
  <c r="AA48" i="7"/>
  <c r="AC48" i="7"/>
  <c r="C49" i="7"/>
  <c r="E49" i="7"/>
  <c r="G49" i="7"/>
  <c r="I49" i="7"/>
  <c r="K49" i="7"/>
  <c r="M49" i="7"/>
  <c r="O49" i="7"/>
  <c r="Q49" i="7"/>
  <c r="S49" i="7"/>
  <c r="U49" i="7"/>
  <c r="W49" i="7"/>
  <c r="Y49" i="7"/>
  <c r="AA49" i="7"/>
  <c r="AC49" i="7"/>
  <c r="C50" i="7"/>
  <c r="E50" i="7"/>
  <c r="G50" i="7"/>
  <c r="I50" i="7"/>
  <c r="K50" i="7"/>
  <c r="M50" i="7"/>
  <c r="O50" i="7"/>
  <c r="Q50" i="7"/>
  <c r="S50" i="7"/>
  <c r="U50" i="7"/>
  <c r="W50" i="7"/>
  <c r="Y50" i="7"/>
  <c r="AA50" i="7"/>
  <c r="AC50" i="7"/>
  <c r="C51" i="7"/>
  <c r="E51" i="7"/>
  <c r="G51" i="7"/>
  <c r="I51" i="7"/>
  <c r="K51" i="7"/>
  <c r="M51" i="7"/>
  <c r="O51" i="7"/>
  <c r="Q51" i="7"/>
  <c r="S51" i="7"/>
  <c r="U51" i="7"/>
  <c r="W51" i="7"/>
  <c r="Y51" i="7"/>
  <c r="AA51" i="7"/>
  <c r="AC51" i="7"/>
  <c r="C52" i="7"/>
  <c r="E52" i="7"/>
  <c r="G52" i="7"/>
  <c r="I52" i="7"/>
  <c r="K52" i="7"/>
  <c r="M52" i="7"/>
  <c r="O52" i="7"/>
  <c r="Q52" i="7"/>
  <c r="S52" i="7"/>
  <c r="U52" i="7"/>
  <c r="W52" i="7"/>
  <c r="Y52" i="7"/>
  <c r="AA52" i="7"/>
  <c r="AC52" i="7"/>
  <c r="C53" i="7"/>
  <c r="E53" i="7"/>
  <c r="G53" i="7"/>
  <c r="I53" i="7"/>
  <c r="K53" i="7"/>
  <c r="M53" i="7"/>
  <c r="O53" i="7"/>
  <c r="Q53" i="7"/>
  <c r="S53" i="7"/>
  <c r="U53" i="7"/>
  <c r="W53" i="7"/>
  <c r="Y53" i="7"/>
  <c r="AA53" i="7"/>
  <c r="AC53" i="7"/>
  <c r="C54" i="7"/>
  <c r="E54" i="7"/>
  <c r="G54" i="7"/>
  <c r="I54" i="7"/>
  <c r="K54" i="7"/>
  <c r="M54" i="7"/>
  <c r="O54" i="7"/>
  <c r="Q54" i="7"/>
  <c r="S54" i="7"/>
  <c r="U54" i="7"/>
  <c r="W54" i="7"/>
  <c r="Y54" i="7"/>
  <c r="AA54" i="7"/>
  <c r="AC54" i="7"/>
  <c r="C55" i="7"/>
  <c r="E55" i="7"/>
  <c r="G55" i="7"/>
  <c r="I55" i="7"/>
  <c r="K55" i="7"/>
  <c r="M55" i="7"/>
  <c r="O55" i="7"/>
  <c r="Q55" i="7"/>
  <c r="S55" i="7"/>
  <c r="U55" i="7"/>
  <c r="W55" i="7"/>
  <c r="Y55" i="7"/>
  <c r="AA55" i="7"/>
  <c r="AC55" i="7"/>
  <c r="C56" i="7"/>
  <c r="E56" i="7"/>
  <c r="G56" i="7"/>
  <c r="I56" i="7"/>
  <c r="K56" i="7"/>
  <c r="M56" i="7"/>
  <c r="O56" i="7"/>
  <c r="Q56" i="7"/>
  <c r="S56" i="7"/>
  <c r="U56" i="7"/>
  <c r="W56" i="7"/>
  <c r="Y56" i="7"/>
  <c r="AA56" i="7"/>
  <c r="AC56" i="7"/>
  <c r="C57" i="7"/>
  <c r="E57" i="7"/>
  <c r="G57" i="7"/>
  <c r="I57" i="7"/>
  <c r="K57" i="7"/>
  <c r="M57" i="7"/>
  <c r="O57" i="7"/>
  <c r="Q57" i="7"/>
  <c r="S57" i="7"/>
  <c r="U57" i="7"/>
  <c r="W57" i="7"/>
  <c r="Y57" i="7"/>
  <c r="AA57" i="7"/>
  <c r="AC57" i="7"/>
  <c r="C58" i="7"/>
  <c r="E58" i="7"/>
  <c r="G58" i="7"/>
  <c r="I58" i="7"/>
  <c r="K58" i="7"/>
  <c r="M58" i="7"/>
  <c r="O58" i="7"/>
  <c r="Q58" i="7"/>
  <c r="S58" i="7"/>
  <c r="U58" i="7"/>
  <c r="W58" i="7"/>
  <c r="Y58" i="7"/>
  <c r="AA58" i="7"/>
  <c r="AC58" i="7"/>
  <c r="C59" i="7"/>
  <c r="E59" i="7"/>
  <c r="G59" i="7"/>
  <c r="I59" i="7"/>
  <c r="K59" i="7"/>
  <c r="M59" i="7"/>
  <c r="O59" i="7"/>
  <c r="Q59" i="7"/>
  <c r="S59" i="7"/>
  <c r="U59" i="7"/>
  <c r="W59" i="7"/>
  <c r="Y59" i="7"/>
  <c r="AA59" i="7"/>
  <c r="AC59" i="7"/>
  <c r="C60" i="7"/>
  <c r="E60" i="7"/>
  <c r="G60" i="7"/>
  <c r="I60" i="7"/>
  <c r="K60" i="7"/>
  <c r="M60" i="7"/>
  <c r="O60" i="7"/>
  <c r="Q60" i="7"/>
  <c r="S60" i="7"/>
  <c r="U60" i="7"/>
  <c r="W60" i="7"/>
  <c r="Y60" i="7"/>
  <c r="AA60" i="7"/>
  <c r="AC60" i="7"/>
  <c r="C61" i="7"/>
  <c r="E61" i="7"/>
  <c r="G61" i="7"/>
  <c r="I61" i="7"/>
  <c r="K61" i="7"/>
  <c r="M61" i="7"/>
  <c r="O61" i="7"/>
  <c r="Q61" i="7"/>
  <c r="S61" i="7"/>
  <c r="U61" i="7"/>
  <c r="W61" i="7"/>
  <c r="Y61" i="7"/>
  <c r="AA61" i="7"/>
  <c r="AC61" i="7"/>
  <c r="C62" i="7"/>
  <c r="E62" i="7"/>
  <c r="G62" i="7"/>
  <c r="I62" i="7"/>
  <c r="K62" i="7"/>
  <c r="M62" i="7"/>
  <c r="O62" i="7"/>
  <c r="Q62" i="7"/>
  <c r="S62" i="7"/>
  <c r="U62" i="7"/>
  <c r="W62" i="7"/>
  <c r="Y62" i="7"/>
  <c r="AA62" i="7"/>
  <c r="AC62" i="7"/>
  <c r="C63" i="7"/>
  <c r="E63" i="7"/>
  <c r="G63" i="7"/>
  <c r="I63" i="7"/>
  <c r="K63" i="7"/>
  <c r="M63" i="7"/>
  <c r="O63" i="7"/>
  <c r="Q63" i="7"/>
  <c r="S63" i="7"/>
  <c r="U63" i="7"/>
  <c r="W63" i="7"/>
  <c r="Y63" i="7"/>
  <c r="AA63" i="7"/>
  <c r="AC63" i="7"/>
  <c r="C64" i="7"/>
  <c r="E64" i="7"/>
  <c r="G64" i="7"/>
  <c r="I64" i="7"/>
  <c r="K64" i="7"/>
  <c r="M64" i="7"/>
  <c r="O64" i="7"/>
  <c r="Q64" i="7"/>
  <c r="S64" i="7"/>
  <c r="U64" i="7"/>
  <c r="W64" i="7"/>
  <c r="Y64" i="7"/>
  <c r="AA64" i="7"/>
  <c r="AC64" i="7"/>
  <c r="C65" i="7"/>
  <c r="E65" i="7"/>
  <c r="G65" i="7"/>
  <c r="I65" i="7"/>
  <c r="K65" i="7"/>
  <c r="M65" i="7"/>
  <c r="O65" i="7"/>
  <c r="Q65" i="7"/>
  <c r="S65" i="7"/>
  <c r="U65" i="7"/>
  <c r="W65" i="7"/>
  <c r="Y65" i="7"/>
  <c r="AA65" i="7"/>
  <c r="AC65" i="7"/>
  <c r="C66" i="7"/>
  <c r="E66" i="7"/>
  <c r="G66" i="7"/>
  <c r="I66" i="7"/>
  <c r="K66" i="7"/>
  <c r="M66" i="7"/>
  <c r="O66" i="7"/>
  <c r="Q66" i="7"/>
  <c r="S66" i="7"/>
  <c r="U66" i="7"/>
  <c r="W66" i="7"/>
  <c r="Y66" i="7"/>
  <c r="AA66" i="7"/>
  <c r="AC66" i="7"/>
  <c r="C67" i="7"/>
  <c r="E67" i="7"/>
  <c r="G67" i="7"/>
  <c r="I67" i="7"/>
  <c r="K67" i="7"/>
  <c r="M67" i="7"/>
  <c r="O67" i="7"/>
  <c r="Q67" i="7"/>
  <c r="S67" i="7"/>
  <c r="U67" i="7"/>
  <c r="W67" i="7"/>
  <c r="Y67" i="7"/>
  <c r="AA67" i="7"/>
  <c r="AC67" i="7"/>
  <c r="C68" i="7"/>
  <c r="E68" i="7"/>
  <c r="G68" i="7"/>
  <c r="I68" i="7"/>
  <c r="K68" i="7"/>
  <c r="M68" i="7"/>
  <c r="O68" i="7"/>
  <c r="Q68" i="7"/>
  <c r="S68" i="7"/>
  <c r="U68" i="7"/>
  <c r="W68" i="7"/>
  <c r="Y68" i="7"/>
  <c r="AA68" i="7"/>
  <c r="AC68" i="7"/>
  <c r="C69" i="7"/>
  <c r="E69" i="7"/>
  <c r="G69" i="7"/>
  <c r="I69" i="7"/>
  <c r="K69" i="7"/>
  <c r="M69" i="7"/>
  <c r="O69" i="7"/>
  <c r="Q69" i="7"/>
  <c r="S69" i="7"/>
  <c r="U69" i="7"/>
  <c r="W69" i="7"/>
  <c r="Y69" i="7"/>
  <c r="AA69" i="7"/>
  <c r="AC69" i="7"/>
  <c r="C70" i="7"/>
  <c r="E70" i="7"/>
  <c r="G70" i="7"/>
  <c r="I70" i="7"/>
  <c r="K70" i="7"/>
  <c r="M70" i="7"/>
  <c r="O70" i="7"/>
  <c r="Q70" i="7"/>
  <c r="S70" i="7"/>
  <c r="U70" i="7"/>
  <c r="W70" i="7"/>
  <c r="Y70" i="7"/>
  <c r="AA70" i="7"/>
  <c r="AC70" i="7"/>
  <c r="C71" i="7"/>
  <c r="E71" i="7"/>
  <c r="G71" i="7"/>
  <c r="I71" i="7"/>
  <c r="K71" i="7"/>
  <c r="M71" i="7"/>
  <c r="O71" i="7"/>
  <c r="Q71" i="7"/>
  <c r="S71" i="7"/>
  <c r="U71" i="7"/>
  <c r="W71" i="7"/>
  <c r="Y71" i="7"/>
  <c r="AA71" i="7"/>
  <c r="AC71" i="7"/>
  <c r="C72" i="7"/>
  <c r="E72" i="7"/>
  <c r="G72" i="7"/>
  <c r="I72" i="7"/>
  <c r="K72" i="7"/>
  <c r="M72" i="7"/>
  <c r="O72" i="7"/>
  <c r="Q72" i="7"/>
  <c r="S72" i="7"/>
  <c r="U72" i="7"/>
  <c r="W72" i="7"/>
  <c r="Y72" i="7"/>
  <c r="AA72" i="7"/>
  <c r="AC72" i="7"/>
  <c r="C73" i="7"/>
  <c r="E73" i="7"/>
  <c r="G73" i="7"/>
  <c r="I73" i="7"/>
  <c r="K73" i="7"/>
  <c r="M73" i="7"/>
  <c r="O73" i="7"/>
  <c r="Q73" i="7"/>
  <c r="S73" i="7"/>
  <c r="U73" i="7"/>
  <c r="W73" i="7"/>
  <c r="Y73" i="7"/>
  <c r="AA73" i="7"/>
  <c r="AC73" i="7"/>
  <c r="C74" i="7"/>
  <c r="E74" i="7"/>
  <c r="G74" i="7"/>
  <c r="I74" i="7"/>
  <c r="K74" i="7"/>
  <c r="M74" i="7"/>
  <c r="O74" i="7"/>
  <c r="Q74" i="7"/>
  <c r="S74" i="7"/>
  <c r="U74" i="7"/>
  <c r="W74" i="7"/>
  <c r="Y74" i="7"/>
  <c r="AA74" i="7"/>
  <c r="AC74" i="7"/>
  <c r="C75" i="7"/>
  <c r="E75" i="7"/>
  <c r="G75" i="7"/>
  <c r="I75" i="7"/>
  <c r="K75" i="7"/>
  <c r="M75" i="7"/>
  <c r="O75" i="7"/>
  <c r="Q75" i="7"/>
  <c r="S75" i="7"/>
  <c r="U75" i="7"/>
  <c r="W75" i="7"/>
  <c r="Y75" i="7"/>
  <c r="AA75" i="7"/>
  <c r="AC75" i="7"/>
  <c r="C76" i="7"/>
  <c r="E76" i="7"/>
  <c r="G76" i="7"/>
  <c r="I76" i="7"/>
  <c r="K76" i="7"/>
  <c r="M76" i="7"/>
  <c r="O76" i="7"/>
  <c r="Q76" i="7"/>
  <c r="S76" i="7"/>
  <c r="U76" i="7"/>
  <c r="W76" i="7"/>
  <c r="Y76" i="7"/>
  <c r="AA76" i="7"/>
  <c r="AC76" i="7"/>
  <c r="C77" i="7"/>
  <c r="E77" i="7"/>
  <c r="G77" i="7"/>
  <c r="I77" i="7"/>
  <c r="K77" i="7"/>
  <c r="M77" i="7"/>
  <c r="O77" i="7"/>
  <c r="Q77" i="7"/>
  <c r="S77" i="7"/>
  <c r="U77" i="7"/>
  <c r="W77" i="7"/>
  <c r="Y77" i="7"/>
  <c r="AA77" i="7"/>
  <c r="AC77" i="7"/>
  <c r="C78" i="7"/>
  <c r="E78" i="7"/>
  <c r="G78" i="7"/>
  <c r="I78" i="7"/>
  <c r="K78" i="7"/>
  <c r="M78" i="7"/>
  <c r="O78" i="7"/>
  <c r="Q78" i="7"/>
  <c r="S78" i="7"/>
  <c r="U78" i="7"/>
  <c r="W78" i="7"/>
  <c r="Y78" i="7"/>
  <c r="AA78" i="7"/>
  <c r="AC78" i="7"/>
  <c r="C79" i="7"/>
  <c r="E79" i="7"/>
  <c r="G79" i="7"/>
  <c r="I79" i="7"/>
  <c r="K79" i="7"/>
  <c r="M79" i="7"/>
  <c r="O79" i="7"/>
  <c r="Q79" i="7"/>
  <c r="S79" i="7"/>
  <c r="U79" i="7"/>
  <c r="W79" i="7"/>
  <c r="Y79" i="7"/>
  <c r="AA79" i="7"/>
  <c r="AC79" i="7"/>
  <c r="AD79" i="7"/>
  <c r="AH79" i="7"/>
  <c r="C80" i="7"/>
  <c r="E80" i="7"/>
  <c r="G80" i="7"/>
  <c r="I80" i="7"/>
  <c r="K80" i="7"/>
  <c r="M80" i="7"/>
  <c r="O80" i="7"/>
  <c r="Q80" i="7"/>
  <c r="S80" i="7"/>
  <c r="U80" i="7"/>
  <c r="W80" i="7"/>
  <c r="Y80" i="7"/>
  <c r="AA80" i="7"/>
  <c r="AC80" i="7"/>
  <c r="C81" i="7"/>
  <c r="E81" i="7"/>
  <c r="G81" i="7"/>
  <c r="I81" i="7"/>
  <c r="K81" i="7"/>
  <c r="M81" i="7"/>
  <c r="O81" i="7"/>
  <c r="Q81" i="7"/>
  <c r="S81" i="7"/>
  <c r="U81" i="7"/>
  <c r="W81" i="7"/>
  <c r="Y81" i="7"/>
  <c r="AA81" i="7"/>
  <c r="AC81" i="7"/>
  <c r="C82" i="7"/>
  <c r="E82" i="7"/>
  <c r="G82" i="7"/>
  <c r="I82" i="7"/>
  <c r="K82" i="7"/>
  <c r="M82" i="7"/>
  <c r="O82" i="7"/>
  <c r="Q82" i="7"/>
  <c r="S82" i="7"/>
  <c r="U82" i="7"/>
  <c r="W82" i="7"/>
  <c r="Y82" i="7"/>
  <c r="AA82" i="7"/>
  <c r="AC82" i="7"/>
  <c r="C83" i="7"/>
  <c r="E83" i="7"/>
  <c r="G83" i="7"/>
  <c r="I83" i="7"/>
  <c r="K83" i="7"/>
  <c r="M83" i="7"/>
  <c r="O83" i="7"/>
  <c r="Q83" i="7"/>
  <c r="S83" i="7"/>
  <c r="U83" i="7"/>
  <c r="W83" i="7"/>
  <c r="Y83" i="7"/>
  <c r="AA83" i="7"/>
  <c r="AC83" i="7"/>
  <c r="C84" i="7"/>
  <c r="E84" i="7"/>
  <c r="G84" i="7"/>
  <c r="I84" i="7"/>
  <c r="K84" i="7"/>
  <c r="M84" i="7"/>
  <c r="O84" i="7"/>
  <c r="Q84" i="7"/>
  <c r="S84" i="7"/>
  <c r="U84" i="7"/>
  <c r="W84" i="7"/>
  <c r="Y84" i="7"/>
  <c r="AA84" i="7"/>
  <c r="AC84" i="7"/>
  <c r="C85" i="7"/>
  <c r="E85" i="7"/>
  <c r="G85" i="7"/>
  <c r="I85" i="7"/>
  <c r="K85" i="7"/>
  <c r="M85" i="7"/>
  <c r="O85" i="7"/>
  <c r="Q85" i="7"/>
  <c r="S85" i="7"/>
  <c r="U85" i="7"/>
  <c r="W85" i="7"/>
  <c r="Y85" i="7"/>
  <c r="AA85" i="7"/>
  <c r="AC85" i="7"/>
  <c r="C86" i="7"/>
  <c r="E86" i="7"/>
  <c r="G86" i="7"/>
  <c r="I86" i="7"/>
  <c r="K86" i="7"/>
  <c r="M86" i="7"/>
  <c r="O86" i="7"/>
  <c r="Q86" i="7"/>
  <c r="S86" i="7"/>
  <c r="U86" i="7"/>
  <c r="W86" i="7"/>
  <c r="Y86" i="7"/>
  <c r="AA86" i="7"/>
  <c r="AC86" i="7"/>
  <c r="C87" i="7"/>
  <c r="E87" i="7"/>
  <c r="G87" i="7"/>
  <c r="I87" i="7"/>
  <c r="K87" i="7"/>
  <c r="M87" i="7"/>
  <c r="O87" i="7"/>
  <c r="Q87" i="7"/>
  <c r="S87" i="7"/>
  <c r="U87" i="7"/>
  <c r="W87" i="7"/>
  <c r="Y87" i="7"/>
  <c r="AA87" i="7"/>
  <c r="AC87" i="7"/>
  <c r="C88" i="7"/>
  <c r="E88" i="7"/>
  <c r="G88" i="7"/>
  <c r="I88" i="7"/>
  <c r="K88" i="7"/>
  <c r="M88" i="7"/>
  <c r="O88" i="7"/>
  <c r="Q88" i="7"/>
  <c r="S88" i="7"/>
  <c r="U88" i="7"/>
  <c r="W88" i="7"/>
  <c r="Y88" i="7"/>
  <c r="AA88" i="7"/>
  <c r="AC88" i="7"/>
  <c r="C89" i="7"/>
  <c r="E89" i="7"/>
  <c r="G89" i="7"/>
  <c r="I89" i="7"/>
  <c r="K89" i="7"/>
  <c r="M89" i="7"/>
  <c r="O89" i="7"/>
  <c r="Q89" i="7"/>
  <c r="S89" i="7"/>
  <c r="U89" i="7"/>
  <c r="W89" i="7"/>
  <c r="Y89" i="7"/>
  <c r="AA89" i="7"/>
  <c r="AC89" i="7"/>
  <c r="C90" i="7"/>
  <c r="E90" i="7"/>
  <c r="G90" i="7"/>
  <c r="I90" i="7"/>
  <c r="K90" i="7"/>
  <c r="M90" i="7"/>
  <c r="O90" i="7"/>
  <c r="Q90" i="7"/>
  <c r="S90" i="7"/>
  <c r="U90" i="7"/>
  <c r="W90" i="7"/>
  <c r="Y90" i="7"/>
  <c r="AA90" i="7"/>
  <c r="AC90" i="7"/>
  <c r="C91" i="7"/>
  <c r="E91" i="7"/>
  <c r="G91" i="7"/>
  <c r="I91" i="7"/>
  <c r="K91" i="7"/>
  <c r="M91" i="7"/>
  <c r="O91" i="7"/>
  <c r="Q91" i="7"/>
  <c r="S91" i="7"/>
  <c r="U91" i="7"/>
  <c r="W91" i="7"/>
  <c r="Y91" i="7"/>
  <c r="AA91" i="7"/>
  <c r="AC91" i="7"/>
  <c r="C92" i="7"/>
  <c r="E92" i="7"/>
  <c r="G92" i="7"/>
  <c r="I92" i="7"/>
  <c r="K92" i="7"/>
  <c r="M92" i="7"/>
  <c r="O92" i="7"/>
  <c r="Q92" i="7"/>
  <c r="S92" i="7"/>
  <c r="U92" i="7"/>
  <c r="W92" i="7"/>
  <c r="Y92" i="7"/>
  <c r="AA92" i="7"/>
  <c r="AC92" i="7"/>
  <c r="C93" i="7"/>
  <c r="E93" i="7"/>
  <c r="G93" i="7"/>
  <c r="I93" i="7"/>
  <c r="K93" i="7"/>
  <c r="M93" i="7"/>
  <c r="O93" i="7"/>
  <c r="Q93" i="7"/>
  <c r="S93" i="7"/>
  <c r="U93" i="7"/>
  <c r="W93" i="7"/>
  <c r="Y93" i="7"/>
  <c r="AA93" i="7"/>
  <c r="AC93" i="7"/>
  <c r="C94" i="7"/>
  <c r="E94" i="7"/>
  <c r="G94" i="7"/>
  <c r="I94" i="7"/>
  <c r="K94" i="7"/>
  <c r="M94" i="7"/>
  <c r="O94" i="7"/>
  <c r="Q94" i="7"/>
  <c r="S94" i="7"/>
  <c r="U94" i="7"/>
  <c r="W94" i="7"/>
  <c r="Y94" i="7"/>
  <c r="AA94" i="7"/>
  <c r="AC94" i="7"/>
  <c r="C95" i="7"/>
  <c r="E95" i="7"/>
  <c r="G95" i="7"/>
  <c r="I95" i="7"/>
  <c r="K95" i="7"/>
  <c r="M95" i="7"/>
  <c r="O95" i="7"/>
  <c r="Q95" i="7"/>
  <c r="S95" i="7"/>
  <c r="U95" i="7"/>
  <c r="W95" i="7"/>
  <c r="Y95" i="7"/>
  <c r="AA95" i="7"/>
  <c r="AC95" i="7"/>
  <c r="C96" i="7"/>
  <c r="E96" i="7"/>
  <c r="G96" i="7"/>
  <c r="I96" i="7"/>
  <c r="K96" i="7"/>
  <c r="M96" i="7"/>
  <c r="O96" i="7"/>
  <c r="Q96" i="7"/>
  <c r="S96" i="7"/>
  <c r="U96" i="7"/>
  <c r="W96" i="7"/>
  <c r="Y96" i="7"/>
  <c r="AA96" i="7"/>
  <c r="AC96" i="7"/>
  <c r="C97" i="7"/>
  <c r="E97" i="7"/>
  <c r="G97" i="7"/>
  <c r="I97" i="7"/>
  <c r="K97" i="7"/>
  <c r="M97" i="7"/>
  <c r="O97" i="7"/>
  <c r="Q97" i="7"/>
  <c r="S97" i="7"/>
  <c r="U97" i="7"/>
  <c r="W97" i="7"/>
  <c r="Y97" i="7"/>
  <c r="AA97" i="7"/>
  <c r="AC97" i="7"/>
  <c r="C98" i="7"/>
  <c r="E98" i="7"/>
  <c r="G98" i="7"/>
  <c r="I98" i="7"/>
  <c r="K98" i="7"/>
  <c r="M98" i="7"/>
  <c r="O98" i="7"/>
  <c r="Q98" i="7"/>
  <c r="S98" i="7"/>
  <c r="U98" i="7"/>
  <c r="W98" i="7"/>
  <c r="Y98" i="7"/>
  <c r="AA98" i="7"/>
  <c r="AC98" i="7"/>
  <c r="C99" i="7"/>
  <c r="E99" i="7"/>
  <c r="G99" i="7"/>
  <c r="I99" i="7"/>
  <c r="K99" i="7"/>
  <c r="M99" i="7"/>
  <c r="O99" i="7"/>
  <c r="Q99" i="7"/>
  <c r="S99" i="7"/>
  <c r="U99" i="7"/>
  <c r="W99" i="7"/>
  <c r="Y99" i="7"/>
  <c r="AA99" i="7"/>
  <c r="AC99" i="7"/>
  <c r="C100" i="7"/>
  <c r="E100" i="7"/>
  <c r="G100" i="7"/>
  <c r="I100" i="7"/>
  <c r="K100" i="7"/>
  <c r="M100" i="7"/>
  <c r="O100" i="7"/>
  <c r="Q100" i="7"/>
  <c r="S100" i="7"/>
  <c r="U100" i="7"/>
  <c r="W100" i="7"/>
  <c r="Y100" i="7"/>
  <c r="AA100" i="7"/>
  <c r="AC100" i="7"/>
  <c r="C101" i="7"/>
  <c r="E101" i="7"/>
  <c r="G101" i="7"/>
  <c r="I101" i="7"/>
  <c r="K101" i="7"/>
  <c r="M101" i="7"/>
  <c r="O101" i="7"/>
  <c r="Q101" i="7"/>
  <c r="S101" i="7"/>
  <c r="U101" i="7"/>
  <c r="W101" i="7"/>
  <c r="Y101" i="7"/>
  <c r="AA101" i="7"/>
  <c r="AC101" i="7"/>
  <c r="C102" i="7"/>
  <c r="E102" i="7"/>
  <c r="G102" i="7"/>
  <c r="I102" i="7"/>
  <c r="K102" i="7"/>
  <c r="M102" i="7"/>
  <c r="O102" i="7"/>
  <c r="Q102" i="7"/>
  <c r="S102" i="7"/>
  <c r="U102" i="7"/>
  <c r="W102" i="7"/>
  <c r="Y102" i="7"/>
  <c r="AA102" i="7"/>
  <c r="AC102" i="7"/>
  <c r="C103" i="7"/>
  <c r="E103" i="7"/>
  <c r="G103" i="7"/>
  <c r="I103" i="7"/>
  <c r="K103" i="7"/>
  <c r="M103" i="7"/>
  <c r="O103" i="7"/>
  <c r="Q103" i="7"/>
  <c r="S103" i="7"/>
  <c r="U103" i="7"/>
  <c r="W103" i="7"/>
  <c r="Y103" i="7"/>
  <c r="AA103" i="7"/>
  <c r="AC103" i="7"/>
  <c r="C104" i="7"/>
  <c r="E104" i="7"/>
  <c r="G104" i="7"/>
  <c r="I104" i="7"/>
  <c r="K104" i="7"/>
  <c r="M104" i="7"/>
  <c r="O104" i="7"/>
  <c r="Q104" i="7"/>
  <c r="S104" i="7"/>
  <c r="U104" i="7"/>
  <c r="W104" i="7"/>
  <c r="Y104" i="7"/>
  <c r="AA104" i="7"/>
  <c r="AC104" i="7"/>
  <c r="C105" i="7"/>
  <c r="E105" i="7"/>
  <c r="G105" i="7"/>
  <c r="I105" i="7"/>
  <c r="K105" i="7"/>
  <c r="M105" i="7"/>
  <c r="O105" i="7"/>
  <c r="Q105" i="7"/>
  <c r="S105" i="7"/>
  <c r="U105" i="7"/>
  <c r="W105" i="7"/>
  <c r="Y105" i="7"/>
  <c r="AA105" i="7"/>
  <c r="AC105" i="7"/>
  <c r="C106" i="7"/>
  <c r="E106" i="7"/>
  <c r="G106" i="7"/>
  <c r="I106" i="7"/>
  <c r="K106" i="7"/>
  <c r="M106" i="7"/>
  <c r="O106" i="7"/>
  <c r="Q106" i="7"/>
  <c r="S106" i="7"/>
  <c r="U106" i="7"/>
  <c r="W106" i="7"/>
  <c r="Y106" i="7"/>
  <c r="AA106" i="7"/>
  <c r="AC106" i="7"/>
  <c r="C107" i="7"/>
  <c r="E107" i="7"/>
  <c r="G107" i="7"/>
  <c r="I107" i="7"/>
  <c r="K107" i="7"/>
  <c r="M107" i="7"/>
  <c r="O107" i="7"/>
  <c r="Q107" i="7"/>
  <c r="S107" i="7"/>
  <c r="U107" i="7"/>
  <c r="W107" i="7"/>
  <c r="Y107" i="7"/>
  <c r="AA107" i="7"/>
  <c r="AC107" i="7"/>
  <c r="C108" i="7"/>
  <c r="E108" i="7"/>
  <c r="G108" i="7"/>
  <c r="I108" i="7"/>
  <c r="K108" i="7"/>
  <c r="M108" i="7"/>
  <c r="O108" i="7"/>
  <c r="Q108" i="7"/>
  <c r="S108" i="7"/>
  <c r="U108" i="7"/>
  <c r="W108" i="7"/>
  <c r="Y108" i="7"/>
  <c r="AA108" i="7"/>
  <c r="AC108" i="7"/>
  <c r="C109" i="7"/>
  <c r="E109" i="7"/>
  <c r="G109" i="7"/>
  <c r="I109" i="7"/>
  <c r="K109" i="7"/>
  <c r="M109" i="7"/>
  <c r="O109" i="7"/>
  <c r="Q109" i="7"/>
  <c r="S109" i="7"/>
  <c r="U109" i="7"/>
  <c r="W109" i="7"/>
  <c r="Y109" i="7"/>
  <c r="AA109" i="7"/>
  <c r="AC109" i="7"/>
  <c r="C110" i="7"/>
  <c r="E110" i="7"/>
  <c r="G110" i="7"/>
  <c r="I110" i="7"/>
  <c r="K110" i="7"/>
  <c r="M110" i="7"/>
  <c r="O110" i="7"/>
  <c r="Q110" i="7"/>
  <c r="S110" i="7"/>
  <c r="U110" i="7"/>
  <c r="W110" i="7"/>
  <c r="Y110" i="7"/>
  <c r="AA110" i="7"/>
  <c r="AC110" i="7"/>
  <c r="C111" i="7"/>
  <c r="E111" i="7"/>
  <c r="G111" i="7"/>
  <c r="I111" i="7"/>
  <c r="K111" i="7"/>
  <c r="M111" i="7"/>
  <c r="O111" i="7"/>
  <c r="Q111" i="7"/>
  <c r="S111" i="7"/>
  <c r="U111" i="7"/>
  <c r="W111" i="7"/>
  <c r="Y111" i="7"/>
  <c r="AA111" i="7"/>
  <c r="AC111" i="7"/>
  <c r="C112" i="7"/>
  <c r="E112" i="7"/>
  <c r="G112" i="7"/>
  <c r="I112" i="7"/>
  <c r="K112" i="7"/>
  <c r="M112" i="7"/>
  <c r="O112" i="7"/>
  <c r="Q112" i="7"/>
  <c r="S112" i="7"/>
  <c r="U112" i="7"/>
  <c r="W112" i="7"/>
  <c r="Y112" i="7"/>
  <c r="AA112" i="7"/>
  <c r="AC112" i="7"/>
  <c r="C113" i="7"/>
  <c r="E113" i="7"/>
  <c r="G113" i="7"/>
  <c r="I113" i="7"/>
  <c r="K113" i="7"/>
  <c r="M113" i="7"/>
  <c r="O113" i="7"/>
  <c r="Q113" i="7"/>
  <c r="S113" i="7"/>
  <c r="U113" i="7"/>
  <c r="W113" i="7"/>
  <c r="Y113" i="7"/>
  <c r="AA113" i="7"/>
  <c r="AC113" i="7"/>
  <c r="C114" i="7"/>
  <c r="E114" i="7"/>
  <c r="G114" i="7"/>
  <c r="I114" i="7"/>
  <c r="K114" i="7"/>
  <c r="M114" i="7"/>
  <c r="O114" i="7"/>
  <c r="S114" i="7"/>
  <c r="U114" i="7"/>
  <c r="W114" i="7"/>
  <c r="Y114" i="7"/>
  <c r="AA114" i="7"/>
  <c r="AC114" i="7"/>
  <c r="AD114" i="7"/>
  <c r="AH114" i="7"/>
  <c r="C115" i="7"/>
  <c r="E115" i="7"/>
  <c r="G115" i="7"/>
  <c r="I115" i="7"/>
  <c r="K115" i="7"/>
  <c r="M115" i="7"/>
  <c r="O115" i="7"/>
  <c r="S115" i="7"/>
  <c r="U115" i="7"/>
  <c r="W115" i="7"/>
  <c r="Y115" i="7"/>
  <c r="AA115" i="7"/>
  <c r="AC115" i="7"/>
  <c r="C116" i="7"/>
  <c r="E116" i="7"/>
  <c r="G116" i="7"/>
  <c r="I116" i="7"/>
  <c r="K116" i="7"/>
  <c r="M116" i="7"/>
  <c r="O116" i="7"/>
  <c r="S116" i="7"/>
  <c r="U116" i="7"/>
  <c r="W116" i="7"/>
  <c r="Y116" i="7"/>
  <c r="AA116" i="7"/>
  <c r="AC116" i="7"/>
  <c r="C117" i="7"/>
  <c r="E117" i="7"/>
  <c r="G117" i="7"/>
  <c r="I117" i="7"/>
  <c r="K117" i="7"/>
  <c r="M117" i="7"/>
  <c r="O117" i="7"/>
  <c r="S117" i="7"/>
  <c r="U117" i="7"/>
  <c r="W117" i="7"/>
  <c r="Y117" i="7"/>
  <c r="AA117" i="7"/>
  <c r="AC117" i="7"/>
  <c r="C118" i="7"/>
  <c r="E118" i="7"/>
  <c r="G118" i="7"/>
  <c r="I118" i="7"/>
  <c r="K118" i="7"/>
  <c r="M118" i="7"/>
  <c r="O118" i="7"/>
  <c r="S118" i="7"/>
  <c r="U118" i="7"/>
  <c r="W118" i="7"/>
  <c r="Y118" i="7"/>
  <c r="AA118" i="7"/>
  <c r="AC118" i="7"/>
  <c r="C119" i="7"/>
  <c r="E119" i="7"/>
  <c r="G119" i="7"/>
  <c r="I119" i="7"/>
  <c r="K119" i="7"/>
  <c r="M119" i="7"/>
  <c r="O119" i="7"/>
  <c r="S119" i="7"/>
  <c r="U119" i="7"/>
  <c r="W119" i="7"/>
  <c r="Y119" i="7"/>
  <c r="AA119" i="7"/>
  <c r="AC119" i="7"/>
  <c r="C120" i="7"/>
  <c r="E120" i="7"/>
  <c r="G120" i="7"/>
  <c r="I120" i="7"/>
  <c r="K120" i="7"/>
  <c r="M120" i="7"/>
  <c r="O120" i="7"/>
  <c r="S120" i="7"/>
  <c r="U120" i="7"/>
  <c r="W120" i="7"/>
  <c r="Y120" i="7"/>
  <c r="AA120" i="7"/>
  <c r="AC120" i="7"/>
  <c r="C121" i="7"/>
  <c r="E121" i="7"/>
  <c r="G121" i="7"/>
  <c r="I121" i="7"/>
  <c r="K121" i="7"/>
  <c r="M121" i="7"/>
  <c r="O121" i="7"/>
  <c r="S121" i="7"/>
  <c r="U121" i="7"/>
  <c r="W121" i="7"/>
  <c r="Y121" i="7"/>
  <c r="AA121" i="7"/>
  <c r="AC121" i="7"/>
  <c r="C122" i="7"/>
  <c r="E122" i="7"/>
  <c r="G122" i="7"/>
  <c r="I122" i="7"/>
  <c r="K122" i="7"/>
  <c r="M122" i="7"/>
  <c r="O122" i="7"/>
  <c r="S122" i="7"/>
  <c r="U122" i="7"/>
  <c r="W122" i="7"/>
  <c r="Y122" i="7"/>
  <c r="AA122" i="7"/>
  <c r="AC122" i="7"/>
  <c r="C123" i="7"/>
  <c r="E123" i="7"/>
  <c r="G123" i="7"/>
  <c r="I123" i="7"/>
  <c r="K123" i="7"/>
  <c r="M123" i="7"/>
  <c r="O123" i="7"/>
  <c r="S123" i="7"/>
  <c r="U123" i="7"/>
  <c r="W123" i="7"/>
  <c r="Y123" i="7"/>
  <c r="AA123" i="7"/>
  <c r="AC123" i="7"/>
  <c r="C124" i="7"/>
  <c r="E124" i="7"/>
  <c r="G124" i="7"/>
  <c r="I124" i="7"/>
  <c r="K124" i="7"/>
  <c r="M124" i="7"/>
  <c r="O124" i="7"/>
  <c r="S124" i="7"/>
  <c r="U124" i="7"/>
  <c r="W124" i="7"/>
  <c r="Y124" i="7"/>
  <c r="AA124" i="7"/>
  <c r="AC124" i="7"/>
  <c r="C125" i="7"/>
  <c r="E125" i="7"/>
  <c r="G125" i="7"/>
  <c r="I125" i="7"/>
  <c r="K125" i="7"/>
  <c r="M125" i="7"/>
  <c r="O125" i="7"/>
  <c r="S125" i="7"/>
  <c r="U125" i="7"/>
  <c r="W125" i="7"/>
  <c r="Y125" i="7"/>
  <c r="AA125" i="7"/>
  <c r="AC125" i="7"/>
  <c r="C126" i="7"/>
  <c r="E126" i="7"/>
  <c r="G126" i="7"/>
  <c r="I126" i="7"/>
  <c r="K126" i="7"/>
  <c r="M126" i="7"/>
  <c r="O126" i="7"/>
  <c r="S126" i="7"/>
  <c r="U126" i="7"/>
  <c r="W126" i="7"/>
  <c r="Y126" i="7"/>
  <c r="AA126" i="7"/>
  <c r="AC126" i="7"/>
  <c r="C127" i="7"/>
  <c r="E127" i="7"/>
  <c r="G127" i="7"/>
  <c r="I127" i="7"/>
  <c r="K127" i="7"/>
  <c r="M127" i="7"/>
  <c r="O127" i="7"/>
  <c r="S127" i="7"/>
  <c r="U127" i="7"/>
  <c r="W127" i="7"/>
  <c r="Y127" i="7"/>
  <c r="AA127" i="7"/>
  <c r="AC127" i="7"/>
  <c r="C128" i="7"/>
  <c r="E128" i="7"/>
  <c r="G128" i="7"/>
  <c r="I128" i="7"/>
  <c r="K128" i="7"/>
  <c r="M128" i="7"/>
  <c r="O128" i="7"/>
  <c r="S128" i="7"/>
  <c r="U128" i="7"/>
  <c r="W128" i="7"/>
  <c r="Y128" i="7"/>
  <c r="AA128" i="7"/>
  <c r="AC128" i="7"/>
  <c r="C129" i="7"/>
  <c r="E129" i="7"/>
  <c r="G129" i="7"/>
  <c r="I129" i="7"/>
  <c r="K129" i="7"/>
  <c r="M129" i="7"/>
  <c r="O129" i="7"/>
  <c r="S129" i="7"/>
  <c r="U129" i="7"/>
  <c r="W129" i="7"/>
  <c r="Y129" i="7"/>
  <c r="AA129" i="7"/>
  <c r="AC129" i="7"/>
  <c r="C130" i="7"/>
  <c r="E130" i="7"/>
  <c r="G130" i="7"/>
  <c r="I130" i="7"/>
  <c r="K130" i="7"/>
  <c r="M130" i="7"/>
  <c r="O130" i="7"/>
  <c r="S130" i="7"/>
  <c r="U130" i="7"/>
  <c r="W130" i="7"/>
  <c r="Y130" i="7"/>
  <c r="AA130" i="7"/>
  <c r="AC130" i="7"/>
  <c r="C131" i="7"/>
  <c r="E131" i="7"/>
  <c r="G131" i="7"/>
  <c r="I131" i="7"/>
  <c r="K131" i="7"/>
  <c r="M131" i="7"/>
  <c r="O131" i="7"/>
  <c r="S131" i="7"/>
  <c r="U131" i="7"/>
  <c r="W131" i="7"/>
  <c r="Y131" i="7"/>
  <c r="AA131" i="7"/>
  <c r="AC131" i="7"/>
  <c r="C132" i="7"/>
  <c r="E132" i="7"/>
  <c r="G132" i="7"/>
  <c r="I132" i="7"/>
  <c r="K132" i="7"/>
  <c r="M132" i="7"/>
  <c r="O132" i="7"/>
  <c r="S132" i="7"/>
  <c r="U132" i="7"/>
  <c r="W132" i="7"/>
  <c r="Y132" i="7"/>
  <c r="AA132" i="7"/>
  <c r="AC132" i="7"/>
  <c r="C133" i="7"/>
  <c r="E133" i="7"/>
  <c r="G133" i="7"/>
  <c r="I133" i="7"/>
  <c r="K133" i="7"/>
  <c r="M133" i="7"/>
  <c r="O133" i="7"/>
  <c r="S133" i="7"/>
  <c r="U133" i="7"/>
  <c r="W133" i="7"/>
  <c r="Y133" i="7"/>
  <c r="AA133" i="7"/>
  <c r="AC133" i="7"/>
  <c r="C134" i="7"/>
  <c r="E134" i="7"/>
  <c r="G134" i="7"/>
  <c r="I134" i="7"/>
  <c r="K134" i="7"/>
  <c r="M134" i="7"/>
  <c r="O134" i="7"/>
  <c r="S134" i="7"/>
  <c r="U134" i="7"/>
  <c r="W134" i="7"/>
  <c r="Y134" i="7"/>
  <c r="AA134" i="7"/>
  <c r="AC134" i="7"/>
  <c r="C135" i="7"/>
  <c r="E135" i="7"/>
  <c r="G135" i="7"/>
  <c r="I135" i="7"/>
  <c r="K135" i="7"/>
  <c r="M135" i="7"/>
  <c r="O135" i="7"/>
  <c r="S135" i="7"/>
  <c r="U135" i="7"/>
  <c r="W135" i="7"/>
  <c r="Y135" i="7"/>
  <c r="AA135" i="7"/>
  <c r="AC135" i="7"/>
  <c r="C136" i="7"/>
  <c r="E136" i="7"/>
  <c r="G136" i="7"/>
  <c r="I136" i="7"/>
  <c r="K136" i="7"/>
  <c r="M136" i="7"/>
  <c r="O136" i="7"/>
  <c r="S136" i="7"/>
  <c r="U136" i="7"/>
  <c r="W136" i="7"/>
  <c r="Y136" i="7"/>
  <c r="AA136" i="7"/>
  <c r="AC136" i="7"/>
  <c r="C137" i="7"/>
  <c r="E137" i="7"/>
  <c r="G137" i="7"/>
  <c r="I137" i="7"/>
  <c r="K137" i="7"/>
  <c r="M137" i="7"/>
  <c r="O137" i="7"/>
  <c r="S137" i="7"/>
  <c r="U137" i="7"/>
  <c r="W137" i="7"/>
  <c r="Y137" i="7"/>
  <c r="AA137" i="7"/>
  <c r="AC137" i="7"/>
  <c r="C138" i="7"/>
  <c r="E138" i="7"/>
  <c r="G138" i="7"/>
  <c r="I138" i="7"/>
  <c r="K138" i="7"/>
  <c r="M138" i="7"/>
  <c r="O138" i="7"/>
  <c r="S138" i="7"/>
  <c r="U138" i="7"/>
  <c r="W138" i="7"/>
  <c r="Y138" i="7"/>
  <c r="AA138" i="7"/>
  <c r="AC138" i="7"/>
  <c r="C139" i="7"/>
  <c r="E139" i="7"/>
  <c r="G139" i="7"/>
  <c r="I139" i="7"/>
  <c r="K139" i="7"/>
  <c r="M139" i="7"/>
  <c r="O139" i="7"/>
  <c r="S139" i="7"/>
  <c r="U139" i="7"/>
  <c r="W139" i="7"/>
  <c r="Y139" i="7"/>
  <c r="AA139" i="7"/>
  <c r="AC139" i="7"/>
  <c r="C140" i="7"/>
  <c r="E140" i="7"/>
  <c r="G140" i="7"/>
  <c r="I140" i="7"/>
  <c r="K140" i="7"/>
  <c r="M140" i="7"/>
  <c r="O140" i="7"/>
  <c r="S140" i="7"/>
  <c r="U140" i="7"/>
  <c r="W140" i="7"/>
  <c r="Y140" i="7"/>
  <c r="AA140" i="7"/>
  <c r="AC140" i="7"/>
  <c r="C141" i="7"/>
  <c r="E141" i="7"/>
  <c r="G141" i="7"/>
  <c r="I141" i="7"/>
  <c r="K141" i="7"/>
  <c r="M141" i="7"/>
  <c r="O141" i="7"/>
  <c r="S141" i="7"/>
  <c r="U141" i="7"/>
  <c r="W141" i="7"/>
  <c r="Y141" i="7"/>
  <c r="AA141" i="7"/>
  <c r="AC141" i="7"/>
  <c r="C142" i="7"/>
  <c r="E142" i="7"/>
  <c r="G142" i="7"/>
  <c r="I142" i="7"/>
  <c r="K142" i="7"/>
  <c r="M142" i="7"/>
  <c r="O142" i="7"/>
  <c r="S142" i="7"/>
  <c r="U142" i="7"/>
  <c r="W142" i="7"/>
  <c r="Y142" i="7"/>
  <c r="AA142" i="7"/>
  <c r="AC142" i="7"/>
  <c r="C143" i="7"/>
  <c r="E143" i="7"/>
  <c r="G143" i="7"/>
  <c r="I143" i="7"/>
  <c r="K143" i="7"/>
  <c r="M143" i="7"/>
  <c r="O143" i="7"/>
  <c r="S143" i="7"/>
  <c r="U143" i="7"/>
  <c r="W143" i="7"/>
  <c r="Y143" i="7"/>
  <c r="AA143" i="7"/>
  <c r="AC143" i="7"/>
  <c r="C144" i="7"/>
  <c r="E144" i="7"/>
  <c r="G144" i="7"/>
  <c r="I144" i="7"/>
  <c r="K144" i="7"/>
  <c r="M144" i="7"/>
  <c r="O144" i="7"/>
  <c r="S144" i="7"/>
  <c r="U144" i="7"/>
  <c r="W144" i="7"/>
  <c r="Y144" i="7"/>
  <c r="AA144" i="7"/>
  <c r="AC144" i="7"/>
  <c r="C145" i="7"/>
  <c r="E145" i="7"/>
  <c r="G145" i="7"/>
  <c r="I145" i="7"/>
  <c r="K145" i="7"/>
  <c r="M145" i="7"/>
  <c r="O145" i="7"/>
  <c r="S145" i="7"/>
  <c r="U145" i="7"/>
  <c r="W145" i="7"/>
  <c r="Y145" i="7"/>
  <c r="AA145" i="7"/>
  <c r="AC145" i="7"/>
  <c r="C146" i="7"/>
  <c r="E146" i="7"/>
  <c r="G146" i="7"/>
  <c r="I146" i="7"/>
  <c r="K146" i="7"/>
  <c r="M146" i="7"/>
  <c r="O146" i="7"/>
  <c r="S146" i="7"/>
  <c r="U146" i="7"/>
  <c r="W146" i="7"/>
  <c r="Y146" i="7"/>
  <c r="AA146" i="7"/>
  <c r="AC146" i="7"/>
  <c r="C147" i="7"/>
  <c r="E147" i="7"/>
  <c r="G147" i="7"/>
  <c r="I147" i="7"/>
  <c r="K147" i="7"/>
  <c r="M147" i="7"/>
  <c r="O147" i="7"/>
  <c r="S147" i="7"/>
  <c r="U147" i="7"/>
  <c r="W147" i="7"/>
  <c r="Y147" i="7"/>
  <c r="AA147" i="7"/>
  <c r="AC147" i="7"/>
  <c r="C148" i="7"/>
  <c r="E148" i="7"/>
  <c r="G148" i="7"/>
  <c r="I148" i="7"/>
  <c r="K148" i="7"/>
  <c r="M148" i="7"/>
  <c r="O148" i="7"/>
  <c r="S148" i="7"/>
  <c r="U148" i="7"/>
  <c r="W148" i="7"/>
  <c r="Y148" i="7"/>
  <c r="AA148" i="7"/>
  <c r="AC148" i="7"/>
  <c r="C149" i="7"/>
  <c r="E149" i="7"/>
  <c r="G149" i="7"/>
  <c r="I149" i="7"/>
  <c r="K149" i="7"/>
  <c r="M149" i="7"/>
  <c r="O149" i="7"/>
  <c r="S149" i="7"/>
  <c r="U149" i="7"/>
  <c r="W149" i="7"/>
  <c r="Y149" i="7"/>
  <c r="AA149" i="7"/>
  <c r="AC149" i="7"/>
  <c r="AD149" i="7"/>
  <c r="AH149" i="7"/>
  <c r="C150" i="7"/>
  <c r="E150" i="7"/>
  <c r="G150" i="7"/>
  <c r="I150" i="7"/>
  <c r="K150" i="7"/>
  <c r="O150" i="7"/>
  <c r="Q150" i="7"/>
  <c r="S150" i="7"/>
  <c r="U150" i="7"/>
  <c r="W150" i="7"/>
  <c r="Y150" i="7"/>
  <c r="AA150" i="7"/>
  <c r="AC150" i="7"/>
  <c r="C151" i="7"/>
  <c r="E151" i="7"/>
  <c r="G151" i="7"/>
  <c r="I151" i="7"/>
  <c r="K151" i="7"/>
  <c r="O151" i="7"/>
  <c r="Q151" i="7"/>
  <c r="S151" i="7"/>
  <c r="U151" i="7"/>
  <c r="W151" i="7"/>
  <c r="Y151" i="7"/>
  <c r="AA151" i="7"/>
  <c r="AC151" i="7"/>
  <c r="C152" i="7"/>
  <c r="E152" i="7"/>
  <c r="G152" i="7"/>
  <c r="I152" i="7"/>
  <c r="K152" i="7"/>
  <c r="O152" i="7"/>
  <c r="Q152" i="7"/>
  <c r="S152" i="7"/>
  <c r="U152" i="7"/>
  <c r="W152" i="7"/>
  <c r="Y152" i="7"/>
  <c r="AA152" i="7"/>
  <c r="AC152" i="7"/>
  <c r="C153" i="7"/>
  <c r="E153" i="7"/>
  <c r="G153" i="7"/>
  <c r="I153" i="7"/>
  <c r="K153" i="7"/>
  <c r="O153" i="7"/>
  <c r="Q153" i="7"/>
  <c r="S153" i="7"/>
  <c r="U153" i="7"/>
  <c r="W153" i="7"/>
  <c r="Y153" i="7"/>
  <c r="AA153" i="7"/>
  <c r="AC153" i="7"/>
  <c r="C154" i="7"/>
  <c r="E154" i="7"/>
  <c r="G154" i="7"/>
  <c r="I154" i="7"/>
  <c r="K154" i="7"/>
  <c r="O154" i="7"/>
  <c r="Q154" i="7"/>
  <c r="S154" i="7"/>
  <c r="U154" i="7"/>
  <c r="W154" i="7"/>
  <c r="Y154" i="7"/>
  <c r="AA154" i="7"/>
  <c r="AC154" i="7"/>
  <c r="C155" i="7"/>
  <c r="E155" i="7"/>
  <c r="G155" i="7"/>
  <c r="I155" i="7"/>
  <c r="K155" i="7"/>
  <c r="O155" i="7"/>
  <c r="Q155" i="7"/>
  <c r="S155" i="7"/>
  <c r="U155" i="7"/>
  <c r="W155" i="7"/>
  <c r="Y155" i="7"/>
  <c r="AA155" i="7"/>
  <c r="AC155" i="7"/>
  <c r="C156" i="7"/>
  <c r="E156" i="7"/>
  <c r="G156" i="7"/>
  <c r="I156" i="7"/>
  <c r="K156" i="7"/>
  <c r="O156" i="7"/>
  <c r="Q156" i="7"/>
  <c r="S156" i="7"/>
  <c r="U156" i="7"/>
  <c r="W156" i="7"/>
  <c r="Y156" i="7"/>
  <c r="AA156" i="7"/>
  <c r="AC156" i="7"/>
  <c r="C157" i="7"/>
  <c r="E157" i="7"/>
  <c r="G157" i="7"/>
  <c r="I157" i="7"/>
  <c r="K157" i="7"/>
  <c r="O157" i="7"/>
  <c r="Q157" i="7"/>
  <c r="S157" i="7"/>
  <c r="U157" i="7"/>
  <c r="W157" i="7"/>
  <c r="Y157" i="7"/>
  <c r="AA157" i="7"/>
  <c r="AC157" i="7"/>
  <c r="C158" i="7"/>
  <c r="E158" i="7"/>
  <c r="G158" i="7"/>
  <c r="I158" i="7"/>
  <c r="K158" i="7"/>
  <c r="O158" i="7"/>
  <c r="Q158" i="7"/>
  <c r="S158" i="7"/>
  <c r="U158" i="7"/>
  <c r="W158" i="7"/>
  <c r="Y158" i="7"/>
  <c r="AA158" i="7"/>
  <c r="AC158" i="7"/>
  <c r="C159" i="7"/>
  <c r="E159" i="7"/>
  <c r="G159" i="7"/>
  <c r="I159" i="7"/>
  <c r="K159" i="7"/>
  <c r="O159" i="7"/>
  <c r="Q159" i="7"/>
  <c r="S159" i="7"/>
  <c r="U159" i="7"/>
  <c r="W159" i="7"/>
  <c r="Y159" i="7"/>
  <c r="AA159" i="7"/>
  <c r="AC159" i="7"/>
  <c r="C160" i="7"/>
  <c r="E160" i="7"/>
  <c r="G160" i="7"/>
  <c r="I160" i="7"/>
  <c r="K160" i="7"/>
  <c r="O160" i="7"/>
  <c r="Q160" i="7"/>
  <c r="S160" i="7"/>
  <c r="U160" i="7"/>
  <c r="W160" i="7"/>
  <c r="Y160" i="7"/>
  <c r="AA160" i="7"/>
  <c r="AC160" i="7"/>
  <c r="C161" i="7"/>
  <c r="E161" i="7"/>
  <c r="G161" i="7"/>
  <c r="I161" i="7"/>
  <c r="K161" i="7"/>
  <c r="O161" i="7"/>
  <c r="Q161" i="7"/>
  <c r="S161" i="7"/>
  <c r="U161" i="7"/>
  <c r="W161" i="7"/>
  <c r="Y161" i="7"/>
  <c r="AA161" i="7"/>
  <c r="AC161" i="7"/>
  <c r="C162" i="7"/>
  <c r="E162" i="7"/>
  <c r="G162" i="7"/>
  <c r="I162" i="7"/>
  <c r="K162" i="7"/>
  <c r="O162" i="7"/>
  <c r="Q162" i="7"/>
  <c r="S162" i="7"/>
  <c r="U162" i="7"/>
  <c r="W162" i="7"/>
  <c r="Y162" i="7"/>
  <c r="AA162" i="7"/>
  <c r="AC162" i="7"/>
  <c r="C163" i="7"/>
  <c r="E163" i="7"/>
  <c r="G163" i="7"/>
  <c r="I163" i="7"/>
  <c r="K163" i="7"/>
  <c r="O163" i="7"/>
  <c r="Q163" i="7"/>
  <c r="S163" i="7"/>
  <c r="U163" i="7"/>
  <c r="W163" i="7"/>
  <c r="Y163" i="7"/>
  <c r="AA163" i="7"/>
  <c r="AC163" i="7"/>
  <c r="C164" i="7"/>
  <c r="E164" i="7"/>
  <c r="G164" i="7"/>
  <c r="I164" i="7"/>
  <c r="K164" i="7"/>
  <c r="O164" i="7"/>
  <c r="Q164" i="7"/>
  <c r="S164" i="7"/>
  <c r="U164" i="7"/>
  <c r="W164" i="7"/>
  <c r="Y164" i="7"/>
  <c r="AA164" i="7"/>
  <c r="AC164" i="7"/>
  <c r="C165" i="7"/>
  <c r="E165" i="7"/>
  <c r="G165" i="7"/>
  <c r="I165" i="7"/>
  <c r="K165" i="7"/>
  <c r="O165" i="7"/>
  <c r="Q165" i="7"/>
  <c r="S165" i="7"/>
  <c r="U165" i="7"/>
  <c r="W165" i="7"/>
  <c r="Y165" i="7"/>
  <c r="AA165" i="7"/>
  <c r="AC165" i="7"/>
  <c r="C166" i="7"/>
  <c r="E166" i="7"/>
  <c r="G166" i="7"/>
  <c r="I166" i="7"/>
  <c r="K166" i="7"/>
  <c r="O166" i="7"/>
  <c r="Q166" i="7"/>
  <c r="S166" i="7"/>
  <c r="U166" i="7"/>
  <c r="W166" i="7"/>
  <c r="Y166" i="7"/>
  <c r="AA166" i="7"/>
  <c r="AC166" i="7"/>
  <c r="C167" i="7"/>
  <c r="E167" i="7"/>
  <c r="G167" i="7"/>
  <c r="I167" i="7"/>
  <c r="K167" i="7"/>
  <c r="O167" i="7"/>
  <c r="Q167" i="7"/>
  <c r="S167" i="7"/>
  <c r="U167" i="7"/>
  <c r="W167" i="7"/>
  <c r="Y167" i="7"/>
  <c r="AA167" i="7"/>
  <c r="AC167" i="7"/>
  <c r="C168" i="7"/>
  <c r="E168" i="7"/>
  <c r="G168" i="7"/>
  <c r="I168" i="7"/>
  <c r="K168" i="7"/>
  <c r="O168" i="7"/>
  <c r="Q168" i="7"/>
  <c r="S168" i="7"/>
  <c r="U168" i="7"/>
  <c r="W168" i="7"/>
  <c r="Y168" i="7"/>
  <c r="AA168" i="7"/>
  <c r="AC168" i="7"/>
  <c r="C169" i="7"/>
  <c r="E169" i="7"/>
  <c r="G169" i="7"/>
  <c r="I169" i="7"/>
  <c r="K169" i="7"/>
  <c r="O169" i="7"/>
  <c r="Q169" i="7"/>
  <c r="S169" i="7"/>
  <c r="U169" i="7"/>
  <c r="W169" i="7"/>
  <c r="Y169" i="7"/>
  <c r="AA169" i="7"/>
  <c r="AC169" i="7"/>
  <c r="C170" i="7"/>
  <c r="E170" i="7"/>
  <c r="G170" i="7"/>
  <c r="I170" i="7"/>
  <c r="K170" i="7"/>
  <c r="O170" i="7"/>
  <c r="Q170" i="7"/>
  <c r="S170" i="7"/>
  <c r="U170" i="7"/>
  <c r="W170" i="7"/>
  <c r="Y170" i="7"/>
  <c r="AA170" i="7"/>
  <c r="AC170" i="7"/>
  <c r="C171" i="7"/>
  <c r="E171" i="7"/>
  <c r="G171" i="7"/>
  <c r="I171" i="7"/>
  <c r="K171" i="7"/>
  <c r="O171" i="7"/>
  <c r="Q171" i="7"/>
  <c r="S171" i="7"/>
  <c r="U171" i="7"/>
  <c r="W171" i="7"/>
  <c r="Y171" i="7"/>
  <c r="AA171" i="7"/>
  <c r="AC171" i="7"/>
  <c r="C172" i="7"/>
  <c r="E172" i="7"/>
  <c r="G172" i="7"/>
  <c r="I172" i="7"/>
  <c r="K172" i="7"/>
  <c r="O172" i="7"/>
  <c r="Q172" i="7"/>
  <c r="S172" i="7"/>
  <c r="U172" i="7"/>
  <c r="W172" i="7"/>
  <c r="Y172" i="7"/>
  <c r="AA172" i="7"/>
  <c r="AC172" i="7"/>
  <c r="C173" i="7"/>
  <c r="E173" i="7"/>
  <c r="G173" i="7"/>
  <c r="I173" i="7"/>
  <c r="K173" i="7"/>
  <c r="O173" i="7"/>
  <c r="Q173" i="7"/>
  <c r="S173" i="7"/>
  <c r="U173" i="7"/>
  <c r="W173" i="7"/>
  <c r="Y173" i="7"/>
  <c r="AA173" i="7"/>
  <c r="AC173" i="7"/>
  <c r="C174" i="7"/>
  <c r="E174" i="7"/>
  <c r="G174" i="7"/>
  <c r="I174" i="7"/>
  <c r="K174" i="7"/>
  <c r="O174" i="7"/>
  <c r="Q174" i="7"/>
  <c r="S174" i="7"/>
  <c r="U174" i="7"/>
  <c r="W174" i="7"/>
  <c r="Y174" i="7"/>
  <c r="AA174" i="7"/>
  <c r="AC174" i="7"/>
  <c r="C175" i="7"/>
  <c r="E175" i="7"/>
  <c r="G175" i="7"/>
  <c r="I175" i="7"/>
  <c r="K175" i="7"/>
  <c r="O175" i="7"/>
  <c r="Q175" i="7"/>
  <c r="S175" i="7"/>
  <c r="U175" i="7"/>
  <c r="W175" i="7"/>
  <c r="Y175" i="7"/>
  <c r="AA175" i="7"/>
  <c r="AC175" i="7"/>
  <c r="C176" i="7"/>
  <c r="E176" i="7"/>
  <c r="G176" i="7"/>
  <c r="I176" i="7"/>
  <c r="K176" i="7"/>
  <c r="O176" i="7"/>
  <c r="Q176" i="7"/>
  <c r="S176" i="7"/>
  <c r="U176" i="7"/>
  <c r="W176" i="7"/>
  <c r="Y176" i="7"/>
  <c r="AA176" i="7"/>
  <c r="AC176" i="7"/>
  <c r="C177" i="7"/>
  <c r="E177" i="7"/>
  <c r="G177" i="7"/>
  <c r="I177" i="7"/>
  <c r="K177" i="7"/>
  <c r="O177" i="7"/>
  <c r="Q177" i="7"/>
  <c r="S177" i="7"/>
  <c r="U177" i="7"/>
  <c r="W177" i="7"/>
  <c r="Y177" i="7"/>
  <c r="AA177" i="7"/>
  <c r="AC177" i="7"/>
  <c r="C178" i="7"/>
  <c r="E178" i="7"/>
  <c r="G178" i="7"/>
  <c r="I178" i="7"/>
  <c r="K178" i="7"/>
  <c r="O178" i="7"/>
  <c r="Q178" i="7"/>
  <c r="S178" i="7"/>
  <c r="U178" i="7"/>
  <c r="W178" i="7"/>
  <c r="Y178" i="7"/>
  <c r="AA178" i="7"/>
  <c r="AC178" i="7"/>
  <c r="C179" i="7"/>
  <c r="E179" i="7"/>
  <c r="G179" i="7"/>
  <c r="I179" i="7"/>
  <c r="K179" i="7"/>
  <c r="O179" i="7"/>
  <c r="Q179" i="7"/>
  <c r="S179" i="7"/>
  <c r="U179" i="7"/>
  <c r="W179" i="7"/>
  <c r="Y179" i="7"/>
  <c r="AA179" i="7"/>
  <c r="AC179" i="7"/>
  <c r="C180" i="7"/>
  <c r="E180" i="7"/>
  <c r="G180" i="7"/>
  <c r="I180" i="7"/>
  <c r="K180" i="7"/>
  <c r="O180" i="7"/>
  <c r="Q180" i="7"/>
  <c r="S180" i="7"/>
  <c r="U180" i="7"/>
  <c r="W180" i="7"/>
  <c r="Y180" i="7"/>
  <c r="AA180" i="7"/>
  <c r="AC180" i="7"/>
  <c r="C181" i="7"/>
  <c r="E181" i="7"/>
  <c r="G181" i="7"/>
  <c r="I181" i="7"/>
  <c r="K181" i="7"/>
  <c r="O181" i="7"/>
  <c r="Q181" i="7"/>
  <c r="S181" i="7"/>
  <c r="U181" i="7"/>
  <c r="W181" i="7"/>
  <c r="Y181" i="7"/>
  <c r="AA181" i="7"/>
  <c r="AC181" i="7"/>
  <c r="C182" i="7"/>
  <c r="E182" i="7"/>
  <c r="G182" i="7"/>
  <c r="I182" i="7"/>
  <c r="K182" i="7"/>
  <c r="O182" i="7"/>
  <c r="Q182" i="7"/>
  <c r="S182" i="7"/>
  <c r="U182" i="7"/>
  <c r="W182" i="7"/>
  <c r="Y182" i="7"/>
  <c r="AA182" i="7"/>
  <c r="AC182" i="7"/>
  <c r="C183" i="7"/>
  <c r="E183" i="7"/>
  <c r="G183" i="7"/>
  <c r="I183" i="7"/>
  <c r="K183" i="7"/>
  <c r="O183" i="7"/>
  <c r="Q183" i="7"/>
  <c r="S183" i="7"/>
  <c r="U183" i="7"/>
  <c r="W183" i="7"/>
  <c r="Y183" i="7"/>
  <c r="AA183" i="7"/>
  <c r="AC183" i="7"/>
  <c r="C184" i="7"/>
  <c r="E184" i="7"/>
  <c r="G184" i="7"/>
  <c r="I184" i="7"/>
  <c r="K184" i="7"/>
  <c r="M184" i="7"/>
  <c r="O184" i="7"/>
  <c r="Q184" i="7"/>
  <c r="S184" i="7"/>
  <c r="U184" i="7"/>
  <c r="W184" i="7"/>
  <c r="Y184" i="7"/>
  <c r="AA184" i="7"/>
  <c r="AC184" i="7"/>
  <c r="AD184" i="7"/>
  <c r="AH184" i="7"/>
  <c r="C185" i="7"/>
  <c r="E185" i="7"/>
  <c r="G185" i="7"/>
  <c r="I185" i="7"/>
  <c r="K185" i="7"/>
  <c r="M185" i="7"/>
  <c r="O185" i="7"/>
  <c r="Q185" i="7"/>
  <c r="S185" i="7"/>
  <c r="U185" i="7"/>
  <c r="W185" i="7"/>
  <c r="Y185" i="7"/>
  <c r="AA185" i="7"/>
  <c r="AC185" i="7"/>
  <c r="C186" i="7"/>
  <c r="E186" i="7"/>
  <c r="G186" i="7"/>
  <c r="I186" i="7"/>
  <c r="K186" i="7"/>
  <c r="M186" i="7"/>
  <c r="O186" i="7"/>
  <c r="Q186" i="7"/>
  <c r="S186" i="7"/>
  <c r="U186" i="7"/>
  <c r="W186" i="7"/>
  <c r="Y186" i="7"/>
  <c r="AA186" i="7"/>
  <c r="AC186" i="7"/>
  <c r="C187" i="7"/>
  <c r="E187" i="7"/>
  <c r="G187" i="7"/>
  <c r="I187" i="7"/>
  <c r="K187" i="7"/>
  <c r="M187" i="7"/>
  <c r="O187" i="7"/>
  <c r="Q187" i="7"/>
  <c r="S187" i="7"/>
  <c r="U187" i="7"/>
  <c r="W187" i="7"/>
  <c r="Y187" i="7"/>
  <c r="AA187" i="7"/>
  <c r="AC187" i="7"/>
  <c r="C188" i="7"/>
  <c r="E188" i="7"/>
  <c r="G188" i="7"/>
  <c r="I188" i="7"/>
  <c r="K188" i="7"/>
  <c r="M188" i="7"/>
  <c r="O188" i="7"/>
  <c r="Q188" i="7"/>
  <c r="S188" i="7"/>
  <c r="U188" i="7"/>
  <c r="W188" i="7"/>
  <c r="Y188" i="7"/>
  <c r="AA188" i="7"/>
  <c r="AC188" i="7"/>
  <c r="C189" i="7"/>
  <c r="E189" i="7"/>
  <c r="G189" i="7"/>
  <c r="I189" i="7"/>
  <c r="K189" i="7"/>
  <c r="M189" i="7"/>
  <c r="O189" i="7"/>
  <c r="Q189" i="7"/>
  <c r="S189" i="7"/>
  <c r="U189" i="7"/>
  <c r="W189" i="7"/>
  <c r="Y189" i="7"/>
  <c r="AA189" i="7"/>
  <c r="AC189" i="7"/>
  <c r="C190" i="7"/>
  <c r="E190" i="7"/>
  <c r="G190" i="7"/>
  <c r="I190" i="7"/>
  <c r="K190" i="7"/>
  <c r="M190" i="7"/>
  <c r="O190" i="7"/>
  <c r="Q190" i="7"/>
  <c r="S190" i="7"/>
  <c r="U190" i="7"/>
  <c r="W190" i="7"/>
  <c r="Y190" i="7"/>
  <c r="AA190" i="7"/>
  <c r="AC190" i="7"/>
  <c r="C191" i="7"/>
  <c r="E191" i="7"/>
  <c r="G191" i="7"/>
  <c r="I191" i="7"/>
  <c r="K191" i="7"/>
  <c r="M191" i="7"/>
  <c r="O191" i="7"/>
  <c r="Q191" i="7"/>
  <c r="S191" i="7"/>
  <c r="U191" i="7"/>
  <c r="W191" i="7"/>
  <c r="Y191" i="7"/>
  <c r="AA191" i="7"/>
  <c r="AC191" i="7"/>
  <c r="C192" i="7"/>
  <c r="E192" i="7"/>
  <c r="G192" i="7"/>
  <c r="I192" i="7"/>
  <c r="K192" i="7"/>
  <c r="M192" i="7"/>
  <c r="O192" i="7"/>
  <c r="Q192" i="7"/>
  <c r="S192" i="7"/>
  <c r="U192" i="7"/>
  <c r="W192" i="7"/>
  <c r="Y192" i="7"/>
  <c r="AA192" i="7"/>
  <c r="AC192" i="7"/>
  <c r="C193" i="7"/>
  <c r="E193" i="7"/>
  <c r="G193" i="7"/>
  <c r="I193" i="7"/>
  <c r="K193" i="7"/>
  <c r="M193" i="7"/>
  <c r="O193" i="7"/>
  <c r="Q193" i="7"/>
  <c r="S193" i="7"/>
  <c r="U193" i="7"/>
  <c r="W193" i="7"/>
  <c r="Y193" i="7"/>
  <c r="AA193" i="7"/>
  <c r="AC193" i="7"/>
  <c r="C194" i="7"/>
  <c r="E194" i="7"/>
  <c r="G194" i="7"/>
  <c r="I194" i="7"/>
  <c r="K194" i="7"/>
  <c r="M194" i="7"/>
  <c r="O194" i="7"/>
  <c r="Q194" i="7"/>
  <c r="S194" i="7"/>
  <c r="U194" i="7"/>
  <c r="W194" i="7"/>
  <c r="Y194" i="7"/>
  <c r="AA194" i="7"/>
  <c r="AC194" i="7"/>
  <c r="C195" i="7"/>
  <c r="E195" i="7"/>
  <c r="G195" i="7"/>
  <c r="I195" i="7"/>
  <c r="K195" i="7"/>
  <c r="M195" i="7"/>
  <c r="O195" i="7"/>
  <c r="Q195" i="7"/>
  <c r="S195" i="7"/>
  <c r="U195" i="7"/>
  <c r="W195" i="7"/>
  <c r="Y195" i="7"/>
  <c r="AA195" i="7"/>
  <c r="AC195" i="7"/>
  <c r="C196" i="7"/>
  <c r="E196" i="7"/>
  <c r="G196" i="7"/>
  <c r="I196" i="7"/>
  <c r="K196" i="7"/>
  <c r="M196" i="7"/>
  <c r="O196" i="7"/>
  <c r="Q196" i="7"/>
  <c r="S196" i="7"/>
  <c r="U196" i="7"/>
  <c r="W196" i="7"/>
  <c r="Y196" i="7"/>
  <c r="AA196" i="7"/>
  <c r="AC196" i="7"/>
  <c r="C197" i="7"/>
  <c r="E197" i="7"/>
  <c r="G197" i="7"/>
  <c r="I197" i="7"/>
  <c r="K197" i="7"/>
  <c r="M197" i="7"/>
  <c r="O197" i="7"/>
  <c r="Q197" i="7"/>
  <c r="S197" i="7"/>
  <c r="U197" i="7"/>
  <c r="W197" i="7"/>
  <c r="Y197" i="7"/>
  <c r="AA197" i="7"/>
  <c r="AC197" i="7"/>
  <c r="C198" i="7"/>
  <c r="E198" i="7"/>
  <c r="G198" i="7"/>
  <c r="I198" i="7"/>
  <c r="K198" i="7"/>
  <c r="M198" i="7"/>
  <c r="O198" i="7"/>
  <c r="Q198" i="7"/>
  <c r="S198" i="7"/>
  <c r="U198" i="7"/>
  <c r="W198" i="7"/>
  <c r="Y198" i="7"/>
  <c r="AA198" i="7"/>
  <c r="AC198" i="7"/>
  <c r="C199" i="7"/>
  <c r="E199" i="7"/>
  <c r="G199" i="7"/>
  <c r="I199" i="7"/>
  <c r="K199" i="7"/>
  <c r="M199" i="7"/>
  <c r="O199" i="7"/>
  <c r="Q199" i="7"/>
  <c r="S199" i="7"/>
  <c r="U199" i="7"/>
  <c r="W199" i="7"/>
  <c r="Y199" i="7"/>
  <c r="AA199" i="7"/>
  <c r="AC199" i="7"/>
  <c r="C200" i="7"/>
  <c r="E200" i="7"/>
  <c r="G200" i="7"/>
  <c r="I200" i="7"/>
  <c r="K200" i="7"/>
  <c r="M200" i="7"/>
  <c r="O200" i="7"/>
  <c r="Q200" i="7"/>
  <c r="S200" i="7"/>
  <c r="U200" i="7"/>
  <c r="W200" i="7"/>
  <c r="Y200" i="7"/>
  <c r="AA200" i="7"/>
  <c r="AC200" i="7"/>
  <c r="C201" i="7"/>
  <c r="E201" i="7"/>
  <c r="G201" i="7"/>
  <c r="I201" i="7"/>
  <c r="K201" i="7"/>
  <c r="M201" i="7"/>
  <c r="O201" i="7"/>
  <c r="Q201" i="7"/>
  <c r="S201" i="7"/>
  <c r="U201" i="7"/>
  <c r="W201" i="7"/>
  <c r="Y201" i="7"/>
  <c r="AA201" i="7"/>
  <c r="AC201" i="7"/>
  <c r="C202" i="7"/>
  <c r="E202" i="7"/>
  <c r="G202" i="7"/>
  <c r="I202" i="7"/>
  <c r="K202" i="7"/>
  <c r="M202" i="7"/>
  <c r="O202" i="7"/>
  <c r="Q202" i="7"/>
  <c r="S202" i="7"/>
  <c r="U202" i="7"/>
  <c r="W202" i="7"/>
  <c r="Y202" i="7"/>
  <c r="AA202" i="7"/>
  <c r="AC202" i="7"/>
  <c r="C203" i="7"/>
  <c r="E203" i="7"/>
  <c r="G203" i="7"/>
  <c r="I203" i="7"/>
  <c r="K203" i="7"/>
  <c r="M203" i="7"/>
  <c r="O203" i="7"/>
  <c r="Q203" i="7"/>
  <c r="S203" i="7"/>
  <c r="U203" i="7"/>
  <c r="W203" i="7"/>
  <c r="Y203" i="7"/>
  <c r="AA203" i="7"/>
  <c r="AC203" i="7"/>
  <c r="C204" i="7"/>
  <c r="E204" i="7"/>
  <c r="G204" i="7"/>
  <c r="I204" i="7"/>
  <c r="K204" i="7"/>
  <c r="M204" i="7"/>
  <c r="O204" i="7"/>
  <c r="Q204" i="7"/>
  <c r="S204" i="7"/>
  <c r="U204" i="7"/>
  <c r="W204" i="7"/>
  <c r="Y204" i="7"/>
  <c r="AA204" i="7"/>
  <c r="AC204" i="7"/>
  <c r="C205" i="7"/>
  <c r="E205" i="7"/>
  <c r="G205" i="7"/>
  <c r="I205" i="7"/>
  <c r="K205" i="7"/>
  <c r="M205" i="7"/>
  <c r="O205" i="7"/>
  <c r="Q205" i="7"/>
  <c r="S205" i="7"/>
  <c r="U205" i="7"/>
  <c r="W205" i="7"/>
  <c r="Y205" i="7"/>
  <c r="AA205" i="7"/>
  <c r="AC205" i="7"/>
  <c r="C206" i="7"/>
  <c r="E206" i="7"/>
  <c r="G206" i="7"/>
  <c r="I206" i="7"/>
  <c r="K206" i="7"/>
  <c r="M206" i="7"/>
  <c r="O206" i="7"/>
  <c r="Q206" i="7"/>
  <c r="S206" i="7"/>
  <c r="U206" i="7"/>
  <c r="W206" i="7"/>
  <c r="Y206" i="7"/>
  <c r="AA206" i="7"/>
  <c r="AC206" i="7"/>
  <c r="C207" i="7"/>
  <c r="E207" i="7"/>
  <c r="G207" i="7"/>
  <c r="I207" i="7"/>
  <c r="K207" i="7"/>
  <c r="M207" i="7"/>
  <c r="O207" i="7"/>
  <c r="Q207" i="7"/>
  <c r="S207" i="7"/>
  <c r="U207" i="7"/>
  <c r="W207" i="7"/>
  <c r="Y207" i="7"/>
  <c r="AA207" i="7"/>
  <c r="AC207" i="7"/>
  <c r="C208" i="7"/>
  <c r="E208" i="7"/>
  <c r="G208" i="7"/>
  <c r="I208" i="7"/>
  <c r="K208" i="7"/>
  <c r="M208" i="7"/>
  <c r="O208" i="7"/>
  <c r="Q208" i="7"/>
  <c r="S208" i="7"/>
  <c r="U208" i="7"/>
  <c r="W208" i="7"/>
  <c r="Y208" i="7"/>
  <c r="AA208" i="7"/>
  <c r="AC208" i="7"/>
  <c r="C209" i="7"/>
  <c r="E209" i="7"/>
  <c r="G209" i="7"/>
  <c r="I209" i="7"/>
  <c r="K209" i="7"/>
  <c r="M209" i="7"/>
  <c r="O209" i="7"/>
  <c r="Q209" i="7"/>
  <c r="S209" i="7"/>
  <c r="U209" i="7"/>
  <c r="W209" i="7"/>
  <c r="Y209" i="7"/>
  <c r="AA209" i="7"/>
  <c r="AC209" i="7"/>
  <c r="C210" i="7"/>
  <c r="E210" i="7"/>
  <c r="G210" i="7"/>
  <c r="I210" i="7"/>
  <c r="K210" i="7"/>
  <c r="M210" i="7"/>
  <c r="O210" i="7"/>
  <c r="Q210" i="7"/>
  <c r="S210" i="7"/>
  <c r="U210" i="7"/>
  <c r="W210" i="7"/>
  <c r="Y210" i="7"/>
  <c r="AA210" i="7"/>
  <c r="AC210" i="7"/>
  <c r="C211" i="7"/>
  <c r="E211" i="7"/>
  <c r="G211" i="7"/>
  <c r="I211" i="7"/>
  <c r="K211" i="7"/>
  <c r="M211" i="7"/>
  <c r="O211" i="7"/>
  <c r="Q211" i="7"/>
  <c r="S211" i="7"/>
  <c r="U211" i="7"/>
  <c r="W211" i="7"/>
  <c r="Y211" i="7"/>
  <c r="AA211" i="7"/>
  <c r="AC211" i="7"/>
  <c r="C212" i="7"/>
  <c r="E212" i="7"/>
  <c r="G212" i="7"/>
  <c r="I212" i="7"/>
  <c r="K212" i="7"/>
  <c r="M212" i="7"/>
  <c r="O212" i="7"/>
  <c r="Q212" i="7"/>
  <c r="S212" i="7"/>
  <c r="U212" i="7"/>
  <c r="W212" i="7"/>
  <c r="Y212" i="7"/>
  <c r="AA212" i="7"/>
  <c r="AC212" i="7"/>
  <c r="C213" i="7"/>
  <c r="E213" i="7"/>
  <c r="G213" i="7"/>
  <c r="I213" i="7"/>
  <c r="K213" i="7"/>
  <c r="M213" i="7"/>
  <c r="O213" i="7"/>
  <c r="Q213" i="7"/>
  <c r="S213" i="7"/>
  <c r="U213" i="7"/>
  <c r="W213" i="7"/>
  <c r="Y213" i="7"/>
  <c r="AA213" i="7"/>
  <c r="AC213" i="7"/>
  <c r="C214" i="7"/>
  <c r="E214" i="7"/>
  <c r="G214" i="7"/>
  <c r="I214" i="7"/>
  <c r="K214" i="7"/>
  <c r="M214" i="7"/>
  <c r="O214" i="7"/>
  <c r="Q214" i="7"/>
  <c r="S214" i="7"/>
  <c r="U214" i="7"/>
  <c r="W214" i="7"/>
  <c r="Y214" i="7"/>
  <c r="AA214" i="7"/>
  <c r="AC214" i="7"/>
  <c r="C215" i="7"/>
  <c r="E215" i="7"/>
  <c r="G215" i="7"/>
  <c r="I215" i="7"/>
  <c r="K215" i="7"/>
  <c r="M215" i="7"/>
  <c r="O215" i="7"/>
  <c r="Q215" i="7"/>
  <c r="S215" i="7"/>
  <c r="U215" i="7"/>
  <c r="W215" i="7"/>
  <c r="Y215" i="7"/>
  <c r="AA215" i="7"/>
  <c r="AC215" i="7"/>
  <c r="C216" i="7"/>
  <c r="E216" i="7"/>
  <c r="G216" i="7"/>
  <c r="I216" i="7"/>
  <c r="K216" i="7"/>
  <c r="M216" i="7"/>
  <c r="O216" i="7"/>
  <c r="Q216" i="7"/>
  <c r="S216" i="7"/>
  <c r="U216" i="7"/>
  <c r="W216" i="7"/>
  <c r="Y216" i="7"/>
  <c r="AA216" i="7"/>
  <c r="AC216" i="7"/>
  <c r="C217" i="7"/>
  <c r="E217" i="7"/>
  <c r="G217" i="7"/>
  <c r="I217" i="7"/>
  <c r="K217" i="7"/>
  <c r="M217" i="7"/>
  <c r="O217" i="7"/>
  <c r="Q217" i="7"/>
  <c r="S217" i="7"/>
  <c r="U217" i="7"/>
  <c r="W217" i="7"/>
  <c r="Y217" i="7"/>
  <c r="AA217" i="7"/>
  <c r="AC217" i="7"/>
  <c r="C218" i="7"/>
  <c r="E218" i="7"/>
  <c r="G218" i="7"/>
  <c r="I218" i="7"/>
  <c r="K218" i="7"/>
  <c r="M218" i="7"/>
  <c r="O218" i="7"/>
  <c r="Q218" i="7"/>
  <c r="S218" i="7"/>
  <c r="U218" i="7"/>
  <c r="W218" i="7"/>
  <c r="Y218" i="7"/>
  <c r="AA218" i="7"/>
  <c r="AC218" i="7"/>
  <c r="C219" i="7"/>
  <c r="E219" i="7"/>
  <c r="G219" i="7"/>
  <c r="I219" i="7"/>
  <c r="K219" i="7"/>
  <c r="M219" i="7"/>
  <c r="O219" i="7"/>
  <c r="Q219" i="7"/>
  <c r="S219" i="7"/>
  <c r="U219" i="7"/>
  <c r="W219" i="7"/>
  <c r="Y219" i="7"/>
  <c r="AA219" i="7"/>
  <c r="AC219" i="7"/>
  <c r="AD219" i="7"/>
  <c r="AH219" i="7"/>
  <c r="C220" i="7"/>
  <c r="E220" i="7"/>
  <c r="G220" i="7"/>
  <c r="I220" i="7"/>
  <c r="K220" i="7"/>
  <c r="M220" i="7"/>
  <c r="O220" i="7"/>
  <c r="Q220" i="7"/>
  <c r="S220" i="7"/>
  <c r="U220" i="7"/>
  <c r="W220" i="7"/>
  <c r="Y220" i="7"/>
  <c r="AA220" i="7"/>
  <c r="AC220" i="7"/>
  <c r="C221" i="7"/>
  <c r="E221" i="7"/>
  <c r="G221" i="7"/>
  <c r="I221" i="7"/>
  <c r="K221" i="7"/>
  <c r="M221" i="7"/>
  <c r="O221" i="7"/>
  <c r="Q221" i="7"/>
  <c r="S221" i="7"/>
  <c r="U221" i="7"/>
  <c r="W221" i="7"/>
  <c r="Y221" i="7"/>
  <c r="AA221" i="7"/>
  <c r="AC221" i="7"/>
  <c r="C222" i="7"/>
  <c r="E222" i="7"/>
  <c r="G222" i="7"/>
  <c r="I222" i="7"/>
  <c r="K222" i="7"/>
  <c r="M222" i="7"/>
  <c r="O222" i="7"/>
  <c r="Q222" i="7"/>
  <c r="S222" i="7"/>
  <c r="U222" i="7"/>
  <c r="W222" i="7"/>
  <c r="Y222" i="7"/>
  <c r="AA222" i="7"/>
  <c r="AC222" i="7"/>
  <c r="C223" i="7"/>
  <c r="E223" i="7"/>
  <c r="G223" i="7"/>
  <c r="I223" i="7"/>
  <c r="K223" i="7"/>
  <c r="M223" i="7"/>
  <c r="O223" i="7"/>
  <c r="Q223" i="7"/>
  <c r="S223" i="7"/>
  <c r="U223" i="7"/>
  <c r="W223" i="7"/>
  <c r="Y223" i="7"/>
  <c r="AA223" i="7"/>
  <c r="AC223" i="7"/>
  <c r="C224" i="7"/>
  <c r="E224" i="7"/>
  <c r="G224" i="7"/>
  <c r="I224" i="7"/>
  <c r="K224" i="7"/>
  <c r="M224" i="7"/>
  <c r="O224" i="7"/>
  <c r="Q224" i="7"/>
  <c r="S224" i="7"/>
  <c r="U224" i="7"/>
  <c r="W224" i="7"/>
  <c r="Y224" i="7"/>
  <c r="AA224" i="7"/>
  <c r="AC224" i="7"/>
  <c r="C225" i="7"/>
  <c r="E225" i="7"/>
  <c r="G225" i="7"/>
  <c r="I225" i="7"/>
  <c r="K225" i="7"/>
  <c r="M225" i="7"/>
  <c r="O225" i="7"/>
  <c r="Q225" i="7"/>
  <c r="S225" i="7"/>
  <c r="U225" i="7"/>
  <c r="W225" i="7"/>
  <c r="Y225" i="7"/>
  <c r="AA225" i="7"/>
  <c r="AC225" i="7"/>
  <c r="C226" i="7"/>
  <c r="E226" i="7"/>
  <c r="G226" i="7"/>
  <c r="I226" i="7"/>
  <c r="K226" i="7"/>
  <c r="M226" i="7"/>
  <c r="O226" i="7"/>
  <c r="Q226" i="7"/>
  <c r="S226" i="7"/>
  <c r="U226" i="7"/>
  <c r="W226" i="7"/>
  <c r="Y226" i="7"/>
  <c r="AA226" i="7"/>
  <c r="AC226" i="7"/>
  <c r="C227" i="7"/>
  <c r="E227" i="7"/>
  <c r="G227" i="7"/>
  <c r="I227" i="7"/>
  <c r="K227" i="7"/>
  <c r="M227" i="7"/>
  <c r="O227" i="7"/>
  <c r="Q227" i="7"/>
  <c r="S227" i="7"/>
  <c r="U227" i="7"/>
  <c r="W227" i="7"/>
  <c r="Y227" i="7"/>
  <c r="AA227" i="7"/>
  <c r="AC227" i="7"/>
  <c r="C228" i="7"/>
  <c r="E228" i="7"/>
  <c r="G228" i="7"/>
  <c r="I228" i="7"/>
  <c r="K228" i="7"/>
  <c r="M228" i="7"/>
  <c r="O228" i="7"/>
  <c r="Q228" i="7"/>
  <c r="S228" i="7"/>
  <c r="U228" i="7"/>
  <c r="W228" i="7"/>
  <c r="Y228" i="7"/>
  <c r="AA228" i="7"/>
  <c r="AC228" i="7"/>
  <c r="C229" i="7"/>
  <c r="E229" i="7"/>
  <c r="G229" i="7"/>
  <c r="I229" i="7"/>
  <c r="K229" i="7"/>
  <c r="M229" i="7"/>
  <c r="O229" i="7"/>
  <c r="Q229" i="7"/>
  <c r="S229" i="7"/>
  <c r="U229" i="7"/>
  <c r="W229" i="7"/>
  <c r="Y229" i="7"/>
  <c r="AA229" i="7"/>
  <c r="AC229" i="7"/>
  <c r="C230" i="7"/>
  <c r="E230" i="7"/>
  <c r="G230" i="7"/>
  <c r="I230" i="7"/>
  <c r="K230" i="7"/>
  <c r="M230" i="7"/>
  <c r="O230" i="7"/>
  <c r="Q230" i="7"/>
  <c r="S230" i="7"/>
  <c r="U230" i="7"/>
  <c r="W230" i="7"/>
  <c r="Y230" i="7"/>
  <c r="AA230" i="7"/>
  <c r="AC230" i="7"/>
  <c r="C231" i="7"/>
  <c r="E231" i="7"/>
  <c r="G231" i="7"/>
  <c r="I231" i="7"/>
  <c r="K231" i="7"/>
  <c r="M231" i="7"/>
  <c r="O231" i="7"/>
  <c r="Q231" i="7"/>
  <c r="S231" i="7"/>
  <c r="U231" i="7"/>
  <c r="W231" i="7"/>
  <c r="Y231" i="7"/>
  <c r="AA231" i="7"/>
  <c r="AC231" i="7"/>
  <c r="C232" i="7"/>
  <c r="E232" i="7"/>
  <c r="G232" i="7"/>
  <c r="I232" i="7"/>
  <c r="K232" i="7"/>
  <c r="M232" i="7"/>
  <c r="O232" i="7"/>
  <c r="Q232" i="7"/>
  <c r="S232" i="7"/>
  <c r="U232" i="7"/>
  <c r="W232" i="7"/>
  <c r="Y232" i="7"/>
  <c r="AA232" i="7"/>
  <c r="AC232" i="7"/>
  <c r="C233" i="7"/>
  <c r="E233" i="7"/>
  <c r="G233" i="7"/>
  <c r="I233" i="7"/>
  <c r="K233" i="7"/>
  <c r="M233" i="7"/>
  <c r="O233" i="7"/>
  <c r="Q233" i="7"/>
  <c r="S233" i="7"/>
  <c r="U233" i="7"/>
  <c r="W233" i="7"/>
  <c r="Y233" i="7"/>
  <c r="AA233" i="7"/>
  <c r="AC233" i="7"/>
  <c r="C234" i="7"/>
  <c r="E234" i="7"/>
  <c r="G234" i="7"/>
  <c r="I234" i="7"/>
  <c r="K234" i="7"/>
  <c r="M234" i="7"/>
  <c r="O234" i="7"/>
  <c r="Q234" i="7"/>
  <c r="S234" i="7"/>
  <c r="U234" i="7"/>
  <c r="W234" i="7"/>
  <c r="Y234" i="7"/>
  <c r="AA234" i="7"/>
  <c r="AC234" i="7"/>
  <c r="C235" i="7"/>
  <c r="E235" i="7"/>
  <c r="G235" i="7"/>
  <c r="I235" i="7"/>
  <c r="K235" i="7"/>
  <c r="M235" i="7"/>
  <c r="O235" i="7"/>
  <c r="Q235" i="7"/>
  <c r="S235" i="7"/>
  <c r="U235" i="7"/>
  <c r="W235" i="7"/>
  <c r="Y235" i="7"/>
  <c r="AA235" i="7"/>
  <c r="AC235" i="7"/>
  <c r="C236" i="7"/>
  <c r="E236" i="7"/>
  <c r="G236" i="7"/>
  <c r="I236" i="7"/>
  <c r="K236" i="7"/>
  <c r="M236" i="7"/>
  <c r="O236" i="7"/>
  <c r="Q236" i="7"/>
  <c r="S236" i="7"/>
  <c r="U236" i="7"/>
  <c r="W236" i="7"/>
  <c r="Y236" i="7"/>
  <c r="AA236" i="7"/>
  <c r="AC236" i="7"/>
  <c r="C237" i="7"/>
  <c r="E237" i="7"/>
  <c r="G237" i="7"/>
  <c r="I237" i="7"/>
  <c r="K237" i="7"/>
  <c r="M237" i="7"/>
  <c r="O237" i="7"/>
  <c r="Q237" i="7"/>
  <c r="S237" i="7"/>
  <c r="U237" i="7"/>
  <c r="W237" i="7"/>
  <c r="Y237" i="7"/>
  <c r="AA237" i="7"/>
  <c r="AC237" i="7"/>
  <c r="C238" i="7"/>
  <c r="E238" i="7"/>
  <c r="G238" i="7"/>
  <c r="I238" i="7"/>
  <c r="K238" i="7"/>
  <c r="M238" i="7"/>
  <c r="O238" i="7"/>
  <c r="Q238" i="7"/>
  <c r="S238" i="7"/>
  <c r="U238" i="7"/>
  <c r="W238" i="7"/>
  <c r="Y238" i="7"/>
  <c r="AA238" i="7"/>
  <c r="AC238" i="7"/>
  <c r="C239" i="7"/>
  <c r="E239" i="7"/>
  <c r="G239" i="7"/>
  <c r="I239" i="7"/>
  <c r="K239" i="7"/>
  <c r="M239" i="7"/>
  <c r="O239" i="7"/>
  <c r="Q239" i="7"/>
  <c r="S239" i="7"/>
  <c r="U239" i="7"/>
  <c r="W239" i="7"/>
  <c r="Y239" i="7"/>
  <c r="AA239" i="7"/>
  <c r="AC239" i="7"/>
  <c r="C240" i="7"/>
  <c r="E240" i="7"/>
  <c r="G240" i="7"/>
  <c r="I240" i="7"/>
  <c r="K240" i="7"/>
  <c r="M240" i="7"/>
  <c r="O240" i="7"/>
  <c r="Q240" i="7"/>
  <c r="S240" i="7"/>
  <c r="U240" i="7"/>
  <c r="W240" i="7"/>
  <c r="Y240" i="7"/>
  <c r="AA240" i="7"/>
  <c r="AC240" i="7"/>
  <c r="C241" i="7"/>
  <c r="E241" i="7"/>
  <c r="G241" i="7"/>
  <c r="I241" i="7"/>
  <c r="K241" i="7"/>
  <c r="M241" i="7"/>
  <c r="O241" i="7"/>
  <c r="Q241" i="7"/>
  <c r="S241" i="7"/>
  <c r="U241" i="7"/>
  <c r="W241" i="7"/>
  <c r="Y241" i="7"/>
  <c r="AA241" i="7"/>
  <c r="AC241" i="7"/>
  <c r="C242" i="7"/>
  <c r="E242" i="7"/>
  <c r="G242" i="7"/>
  <c r="I242" i="7"/>
  <c r="K242" i="7"/>
  <c r="M242" i="7"/>
  <c r="O242" i="7"/>
  <c r="Q242" i="7"/>
  <c r="S242" i="7"/>
  <c r="U242" i="7"/>
  <c r="W242" i="7"/>
  <c r="Y242" i="7"/>
  <c r="AA242" i="7"/>
  <c r="AC242" i="7"/>
  <c r="C243" i="7"/>
  <c r="E243" i="7"/>
  <c r="G243" i="7"/>
  <c r="I243" i="7"/>
  <c r="K243" i="7"/>
  <c r="M243" i="7"/>
  <c r="O243" i="7"/>
  <c r="Q243" i="7"/>
  <c r="S243" i="7"/>
  <c r="U243" i="7"/>
  <c r="W243" i="7"/>
  <c r="Y243" i="7"/>
  <c r="AA243" i="7"/>
  <c r="AC243" i="7"/>
  <c r="C244" i="7"/>
  <c r="E244" i="7"/>
  <c r="G244" i="7"/>
  <c r="I244" i="7"/>
  <c r="K244" i="7"/>
  <c r="M244" i="7"/>
  <c r="O244" i="7"/>
  <c r="Q244" i="7"/>
  <c r="S244" i="7"/>
  <c r="U244" i="7"/>
  <c r="W244" i="7"/>
  <c r="Y244" i="7"/>
  <c r="AA244" i="7"/>
  <c r="AC244" i="7"/>
  <c r="C245" i="7"/>
  <c r="E245" i="7"/>
  <c r="G245" i="7"/>
  <c r="I245" i="7"/>
  <c r="K245" i="7"/>
  <c r="M245" i="7"/>
  <c r="O245" i="7"/>
  <c r="Q245" i="7"/>
  <c r="S245" i="7"/>
  <c r="U245" i="7"/>
  <c r="W245" i="7"/>
  <c r="Y245" i="7"/>
  <c r="AA245" i="7"/>
  <c r="AC245" i="7"/>
  <c r="C246" i="7"/>
  <c r="E246" i="7"/>
  <c r="G246" i="7"/>
  <c r="I246" i="7"/>
  <c r="K246" i="7"/>
  <c r="M246" i="7"/>
  <c r="O246" i="7"/>
  <c r="Q246" i="7"/>
  <c r="S246" i="7"/>
  <c r="U246" i="7"/>
  <c r="W246" i="7"/>
  <c r="Y246" i="7"/>
  <c r="AA246" i="7"/>
  <c r="AC246" i="7"/>
  <c r="C247" i="7"/>
  <c r="E247" i="7"/>
  <c r="G247" i="7"/>
  <c r="I247" i="7"/>
  <c r="K247" i="7"/>
  <c r="M247" i="7"/>
  <c r="O247" i="7"/>
  <c r="Q247" i="7"/>
  <c r="S247" i="7"/>
  <c r="U247" i="7"/>
  <c r="W247" i="7"/>
  <c r="Y247" i="7"/>
  <c r="AA247" i="7"/>
  <c r="AC247" i="7"/>
  <c r="C248" i="7"/>
  <c r="E248" i="7"/>
  <c r="G248" i="7"/>
  <c r="I248" i="7"/>
  <c r="K248" i="7"/>
  <c r="M248" i="7"/>
  <c r="O248" i="7"/>
  <c r="Q248" i="7"/>
  <c r="S248" i="7"/>
  <c r="U248" i="7"/>
  <c r="W248" i="7"/>
  <c r="Y248" i="7"/>
  <c r="AA248" i="7"/>
  <c r="AC248" i="7"/>
  <c r="C249" i="7"/>
  <c r="E249" i="7"/>
  <c r="G249" i="7"/>
  <c r="I249" i="7"/>
  <c r="K249" i="7"/>
  <c r="M249" i="7"/>
  <c r="O249" i="7"/>
  <c r="Q249" i="7"/>
  <c r="S249" i="7"/>
  <c r="U249" i="7"/>
  <c r="W249" i="7"/>
  <c r="Y249" i="7"/>
  <c r="AA249" i="7"/>
  <c r="AC249" i="7"/>
  <c r="C250" i="7"/>
  <c r="E250" i="7"/>
  <c r="G250" i="7"/>
  <c r="I250" i="7"/>
  <c r="K250" i="7"/>
  <c r="M250" i="7"/>
  <c r="O250" i="7"/>
  <c r="Q250" i="7"/>
  <c r="S250" i="7"/>
  <c r="U250" i="7"/>
  <c r="W250" i="7"/>
  <c r="Y250" i="7"/>
  <c r="AA250" i="7"/>
  <c r="AC250" i="7"/>
  <c r="C251" i="7"/>
  <c r="E251" i="7"/>
  <c r="G251" i="7"/>
  <c r="I251" i="7"/>
  <c r="K251" i="7"/>
  <c r="M251" i="7"/>
  <c r="O251" i="7"/>
  <c r="Q251" i="7"/>
  <c r="S251" i="7"/>
  <c r="U251" i="7"/>
  <c r="W251" i="7"/>
  <c r="Y251" i="7"/>
  <c r="AA251" i="7"/>
  <c r="AC251" i="7"/>
  <c r="C252" i="7"/>
  <c r="E252" i="7"/>
  <c r="G252" i="7"/>
  <c r="I252" i="7"/>
  <c r="K252" i="7"/>
  <c r="M252" i="7"/>
  <c r="O252" i="7"/>
  <c r="Q252" i="7"/>
  <c r="S252" i="7"/>
  <c r="U252" i="7"/>
  <c r="W252" i="7"/>
  <c r="Y252" i="7"/>
  <c r="AA252" i="7"/>
  <c r="AC252" i="7"/>
  <c r="C253" i="7"/>
  <c r="E253" i="7"/>
  <c r="G253" i="7"/>
  <c r="I253" i="7"/>
  <c r="K253" i="7"/>
  <c r="M253" i="7"/>
  <c r="O253" i="7"/>
  <c r="Q253" i="7"/>
  <c r="S253" i="7"/>
  <c r="U253" i="7"/>
  <c r="W253" i="7"/>
  <c r="Y253" i="7"/>
  <c r="AA253" i="7"/>
  <c r="AC253" i="7"/>
  <c r="C44" i="27"/>
  <c r="E44" i="27"/>
  <c r="G44" i="27"/>
  <c r="I44" i="27"/>
  <c r="K44" i="27"/>
  <c r="M44" i="27"/>
  <c r="O44" i="27"/>
  <c r="Q44" i="27"/>
  <c r="S44" i="27"/>
  <c r="U44" i="27"/>
  <c r="W44" i="27"/>
  <c r="Y44" i="27"/>
  <c r="AA44" i="27"/>
  <c r="AC44" i="27"/>
  <c r="AD44" i="27"/>
  <c r="C45" i="27"/>
  <c r="E45" i="27"/>
  <c r="G45" i="27"/>
  <c r="I45" i="27"/>
  <c r="K45" i="27"/>
  <c r="M45" i="27"/>
  <c r="O45" i="27"/>
  <c r="Q45" i="27"/>
  <c r="S45" i="27"/>
  <c r="U45" i="27"/>
  <c r="W45" i="27"/>
  <c r="Y45" i="27"/>
  <c r="AA45" i="27"/>
  <c r="AC45" i="27"/>
  <c r="C46" i="27"/>
  <c r="E46" i="27"/>
  <c r="G46" i="27"/>
  <c r="I46" i="27"/>
  <c r="K46" i="27"/>
  <c r="M46" i="27"/>
  <c r="O46" i="27"/>
  <c r="Q46" i="27"/>
  <c r="S46" i="27"/>
  <c r="U46" i="27"/>
  <c r="W46" i="27"/>
  <c r="Y46" i="27"/>
  <c r="AA46" i="27"/>
  <c r="AC46" i="27"/>
  <c r="C47" i="27"/>
  <c r="E47" i="27"/>
  <c r="G47" i="27"/>
  <c r="I47" i="27"/>
  <c r="K47" i="27"/>
  <c r="M47" i="27"/>
  <c r="O47" i="27"/>
  <c r="Q47" i="27"/>
  <c r="S47" i="27"/>
  <c r="U47" i="27"/>
  <c r="W47" i="27"/>
  <c r="Y47" i="27"/>
  <c r="AA47" i="27"/>
  <c r="AC47" i="27"/>
  <c r="C48" i="27"/>
  <c r="E48" i="27"/>
  <c r="G48" i="27"/>
  <c r="I48" i="27"/>
  <c r="K48" i="27"/>
  <c r="M48" i="27"/>
  <c r="O48" i="27"/>
  <c r="Q48" i="27"/>
  <c r="S48" i="27"/>
  <c r="U48" i="27"/>
  <c r="W48" i="27"/>
  <c r="Y48" i="27"/>
  <c r="AA48" i="27"/>
  <c r="AC48" i="27"/>
  <c r="C49" i="27"/>
  <c r="E49" i="27"/>
  <c r="G49" i="27"/>
  <c r="I49" i="27"/>
  <c r="K49" i="27"/>
  <c r="M49" i="27"/>
  <c r="O49" i="27"/>
  <c r="Q49" i="27"/>
  <c r="S49" i="27"/>
  <c r="U49" i="27"/>
  <c r="W49" i="27"/>
  <c r="Y49" i="27"/>
  <c r="AA49" i="27"/>
  <c r="AC49" i="27"/>
  <c r="C50" i="27"/>
  <c r="E50" i="27"/>
  <c r="G50" i="27"/>
  <c r="I50" i="27"/>
  <c r="K50" i="27"/>
  <c r="M50" i="27"/>
  <c r="O50" i="27"/>
  <c r="Q50" i="27"/>
  <c r="S50" i="27"/>
  <c r="U50" i="27"/>
  <c r="W50" i="27"/>
  <c r="Y50" i="27"/>
  <c r="AA50" i="27"/>
  <c r="AC50" i="27"/>
  <c r="C51" i="27"/>
  <c r="E51" i="27"/>
  <c r="G51" i="27"/>
  <c r="I51" i="27"/>
  <c r="K51" i="27"/>
  <c r="M51" i="27"/>
  <c r="O51" i="27"/>
  <c r="Q51" i="27"/>
  <c r="S51" i="27"/>
  <c r="U51" i="27"/>
  <c r="W51" i="27"/>
  <c r="Y51" i="27"/>
  <c r="AA51" i="27"/>
  <c r="AC51" i="27"/>
  <c r="C52" i="27"/>
  <c r="E52" i="27"/>
  <c r="G52" i="27"/>
  <c r="I52" i="27"/>
  <c r="K52" i="27"/>
  <c r="M52" i="27"/>
  <c r="O52" i="27"/>
  <c r="Q52" i="27"/>
  <c r="S52" i="27"/>
  <c r="U52" i="27"/>
  <c r="W52" i="27"/>
  <c r="Y52" i="27"/>
  <c r="AA52" i="27"/>
  <c r="AC52" i="27"/>
  <c r="C53" i="27"/>
  <c r="E53" i="27"/>
  <c r="G53" i="27"/>
  <c r="I53" i="27"/>
  <c r="K53" i="27"/>
  <c r="M53" i="27"/>
  <c r="O53" i="27"/>
  <c r="Q53" i="27"/>
  <c r="S53" i="27"/>
  <c r="U53" i="27"/>
  <c r="W53" i="27"/>
  <c r="Y53" i="27"/>
  <c r="AA53" i="27"/>
  <c r="AC53" i="27"/>
  <c r="C54" i="27"/>
  <c r="E54" i="27"/>
  <c r="G54" i="27"/>
  <c r="I54" i="27"/>
  <c r="K54" i="27"/>
  <c r="M54" i="27"/>
  <c r="O54" i="27"/>
  <c r="Q54" i="27"/>
  <c r="S54" i="27"/>
  <c r="U54" i="27"/>
  <c r="W54" i="27"/>
  <c r="Y54" i="27"/>
  <c r="AA54" i="27"/>
  <c r="AC54" i="27"/>
  <c r="C55" i="27"/>
  <c r="E55" i="27"/>
  <c r="G55" i="27"/>
  <c r="I55" i="27"/>
  <c r="K55" i="27"/>
  <c r="M55" i="27"/>
  <c r="O55" i="27"/>
  <c r="Q55" i="27"/>
  <c r="S55" i="27"/>
  <c r="U55" i="27"/>
  <c r="W55" i="27"/>
  <c r="Y55" i="27"/>
  <c r="AA55" i="27"/>
  <c r="AC55" i="27"/>
  <c r="C56" i="27"/>
  <c r="E56" i="27"/>
  <c r="G56" i="27"/>
  <c r="I56" i="27"/>
  <c r="K56" i="27"/>
  <c r="M56" i="27"/>
  <c r="O56" i="27"/>
  <c r="Q56" i="27"/>
  <c r="S56" i="27"/>
  <c r="U56" i="27"/>
  <c r="W56" i="27"/>
  <c r="Y56" i="27"/>
  <c r="AA56" i="27"/>
  <c r="AC56" i="27"/>
  <c r="C57" i="27"/>
  <c r="E57" i="27"/>
  <c r="G57" i="27"/>
  <c r="I57" i="27"/>
  <c r="K57" i="27"/>
  <c r="M57" i="27"/>
  <c r="O57" i="27"/>
  <c r="Q57" i="27"/>
  <c r="S57" i="27"/>
  <c r="U57" i="27"/>
  <c r="W57" i="27"/>
  <c r="Y57" i="27"/>
  <c r="AA57" i="27"/>
  <c r="AC57" i="27"/>
  <c r="C58" i="27"/>
  <c r="E58" i="27"/>
  <c r="G58" i="27"/>
  <c r="I58" i="27"/>
  <c r="K58" i="27"/>
  <c r="M58" i="27"/>
  <c r="O58" i="27"/>
  <c r="Q58" i="27"/>
  <c r="S58" i="27"/>
  <c r="U58" i="27"/>
  <c r="W58" i="27"/>
  <c r="Y58" i="27"/>
  <c r="AA58" i="27"/>
  <c r="AC58" i="27"/>
  <c r="C59" i="27"/>
  <c r="E59" i="27"/>
  <c r="G59" i="27"/>
  <c r="I59" i="27"/>
  <c r="K59" i="27"/>
  <c r="M59" i="27"/>
  <c r="O59" i="27"/>
  <c r="Q59" i="27"/>
  <c r="S59" i="27"/>
  <c r="U59" i="27"/>
  <c r="W59" i="27"/>
  <c r="Y59" i="27"/>
  <c r="AA59" i="27"/>
  <c r="AC59" i="27"/>
  <c r="C60" i="27"/>
  <c r="E60" i="27"/>
  <c r="G60" i="27"/>
  <c r="I60" i="27"/>
  <c r="K60" i="27"/>
  <c r="M60" i="27"/>
  <c r="O60" i="27"/>
  <c r="Q60" i="27"/>
  <c r="S60" i="27"/>
  <c r="U60" i="27"/>
  <c r="W60" i="27"/>
  <c r="Y60" i="27"/>
  <c r="AA60" i="27"/>
  <c r="AC60" i="27"/>
  <c r="C61" i="27"/>
  <c r="E61" i="27"/>
  <c r="G61" i="27"/>
  <c r="I61" i="27"/>
  <c r="K61" i="27"/>
  <c r="M61" i="27"/>
  <c r="O61" i="27"/>
  <c r="Q61" i="27"/>
  <c r="S61" i="27"/>
  <c r="U61" i="27"/>
  <c r="W61" i="27"/>
  <c r="Y61" i="27"/>
  <c r="AA61" i="27"/>
  <c r="AC61" i="27"/>
  <c r="C62" i="27"/>
  <c r="E62" i="27"/>
  <c r="G62" i="27"/>
  <c r="I62" i="27"/>
  <c r="K62" i="27"/>
  <c r="M62" i="27"/>
  <c r="O62" i="27"/>
  <c r="Q62" i="27"/>
  <c r="S62" i="27"/>
  <c r="U62" i="27"/>
  <c r="W62" i="27"/>
  <c r="Y62" i="27"/>
  <c r="AA62" i="27"/>
  <c r="AC62" i="27"/>
  <c r="C63" i="27"/>
  <c r="E63" i="27"/>
  <c r="G63" i="27"/>
  <c r="I63" i="27"/>
  <c r="K63" i="27"/>
  <c r="M63" i="27"/>
  <c r="O63" i="27"/>
  <c r="Q63" i="27"/>
  <c r="S63" i="27"/>
  <c r="U63" i="27"/>
  <c r="W63" i="27"/>
  <c r="Y63" i="27"/>
  <c r="AA63" i="27"/>
  <c r="AC63" i="27"/>
  <c r="C64" i="27"/>
  <c r="E64" i="27"/>
  <c r="G64" i="27"/>
  <c r="I64" i="27"/>
  <c r="K64" i="27"/>
  <c r="M64" i="27"/>
  <c r="O64" i="27"/>
  <c r="Q64" i="27"/>
  <c r="S64" i="27"/>
  <c r="U64" i="27"/>
  <c r="W64" i="27"/>
  <c r="Y64" i="27"/>
  <c r="AA64" i="27"/>
  <c r="AC64" i="27"/>
  <c r="C65" i="27"/>
  <c r="E65" i="27"/>
  <c r="G65" i="27"/>
  <c r="I65" i="27"/>
  <c r="K65" i="27"/>
  <c r="M65" i="27"/>
  <c r="O65" i="27"/>
  <c r="Q65" i="27"/>
  <c r="S65" i="27"/>
  <c r="U65" i="27"/>
  <c r="W65" i="27"/>
  <c r="Y65" i="27"/>
  <c r="AA65" i="27"/>
  <c r="AC65" i="27"/>
  <c r="C66" i="27"/>
  <c r="E66" i="27"/>
  <c r="G66" i="27"/>
  <c r="I66" i="27"/>
  <c r="K66" i="27"/>
  <c r="M66" i="27"/>
  <c r="O66" i="27"/>
  <c r="Q66" i="27"/>
  <c r="S66" i="27"/>
  <c r="U66" i="27"/>
  <c r="W66" i="27"/>
  <c r="Y66" i="27"/>
  <c r="AA66" i="27"/>
  <c r="AC66" i="27"/>
  <c r="C67" i="27"/>
  <c r="E67" i="27"/>
  <c r="G67" i="27"/>
  <c r="I67" i="27"/>
  <c r="K67" i="27"/>
  <c r="M67" i="27"/>
  <c r="O67" i="27"/>
  <c r="Q67" i="27"/>
  <c r="S67" i="27"/>
  <c r="U67" i="27"/>
  <c r="W67" i="27"/>
  <c r="Y67" i="27"/>
  <c r="AA67" i="27"/>
  <c r="AC67" i="27"/>
  <c r="C68" i="27"/>
  <c r="E68" i="27"/>
  <c r="G68" i="27"/>
  <c r="I68" i="27"/>
  <c r="K68" i="27"/>
  <c r="M68" i="27"/>
  <c r="O68" i="27"/>
  <c r="Q68" i="27"/>
  <c r="S68" i="27"/>
  <c r="U68" i="27"/>
  <c r="W68" i="27"/>
  <c r="Y68" i="27"/>
  <c r="AA68" i="27"/>
  <c r="AC68" i="27"/>
  <c r="C69" i="27"/>
  <c r="E69" i="27"/>
  <c r="G69" i="27"/>
  <c r="I69" i="27"/>
  <c r="K69" i="27"/>
  <c r="M69" i="27"/>
  <c r="O69" i="27"/>
  <c r="Q69" i="27"/>
  <c r="S69" i="27"/>
  <c r="U69" i="27"/>
  <c r="W69" i="27"/>
  <c r="Y69" i="27"/>
  <c r="AA69" i="27"/>
  <c r="AC69" i="27"/>
  <c r="C70" i="27"/>
  <c r="E70" i="27"/>
  <c r="G70" i="27"/>
  <c r="I70" i="27"/>
  <c r="K70" i="27"/>
  <c r="M70" i="27"/>
  <c r="O70" i="27"/>
  <c r="Q70" i="27"/>
  <c r="S70" i="27"/>
  <c r="U70" i="27"/>
  <c r="W70" i="27"/>
  <c r="Y70" i="27"/>
  <c r="AA70" i="27"/>
  <c r="AC70" i="27"/>
  <c r="C71" i="27"/>
  <c r="E71" i="27"/>
  <c r="G71" i="27"/>
  <c r="I71" i="27"/>
  <c r="K71" i="27"/>
  <c r="M71" i="27"/>
  <c r="O71" i="27"/>
  <c r="Q71" i="27"/>
  <c r="S71" i="27"/>
  <c r="U71" i="27"/>
  <c r="W71" i="27"/>
  <c r="Y71" i="27"/>
  <c r="AA71" i="27"/>
  <c r="AC71" i="27"/>
  <c r="C72" i="27"/>
  <c r="E72" i="27"/>
  <c r="G72" i="27"/>
  <c r="I72" i="27"/>
  <c r="K72" i="27"/>
  <c r="M72" i="27"/>
  <c r="O72" i="27"/>
  <c r="Q72" i="27"/>
  <c r="S72" i="27"/>
  <c r="U72" i="27"/>
  <c r="W72" i="27"/>
  <c r="Y72" i="27"/>
  <c r="AA72" i="27"/>
  <c r="AC72" i="27"/>
  <c r="C73" i="27"/>
  <c r="E73" i="27"/>
  <c r="G73" i="27"/>
  <c r="I73" i="27"/>
  <c r="K73" i="27"/>
  <c r="M73" i="27"/>
  <c r="O73" i="27"/>
  <c r="Q73" i="27"/>
  <c r="S73" i="27"/>
  <c r="U73" i="27"/>
  <c r="W73" i="27"/>
  <c r="Y73" i="27"/>
  <c r="AA73" i="27"/>
  <c r="AC73" i="27"/>
  <c r="C74" i="27"/>
  <c r="E74" i="27"/>
  <c r="G74" i="27"/>
  <c r="I74" i="27"/>
  <c r="K74" i="27"/>
  <c r="M74" i="27"/>
  <c r="O74" i="27"/>
  <c r="Q74" i="27"/>
  <c r="S74" i="27"/>
  <c r="U74" i="27"/>
  <c r="W74" i="27"/>
  <c r="Y74" i="27"/>
  <c r="AA74" i="27"/>
  <c r="AC74" i="27"/>
  <c r="C75" i="27"/>
  <c r="E75" i="27"/>
  <c r="G75" i="27"/>
  <c r="I75" i="27"/>
  <c r="K75" i="27"/>
  <c r="M75" i="27"/>
  <c r="O75" i="27"/>
  <c r="Q75" i="27"/>
  <c r="S75" i="27"/>
  <c r="U75" i="27"/>
  <c r="W75" i="27"/>
  <c r="Y75" i="27"/>
  <c r="AA75" i="27"/>
  <c r="AC75" i="27"/>
  <c r="C76" i="27"/>
  <c r="E76" i="27"/>
  <c r="G76" i="27"/>
  <c r="I76" i="27"/>
  <c r="K76" i="27"/>
  <c r="M76" i="27"/>
  <c r="O76" i="27"/>
  <c r="Q76" i="27"/>
  <c r="S76" i="27"/>
  <c r="U76" i="27"/>
  <c r="W76" i="27"/>
  <c r="Y76" i="27"/>
  <c r="AA76" i="27"/>
  <c r="AC76" i="27"/>
  <c r="C77" i="27"/>
  <c r="E77" i="27"/>
  <c r="G77" i="27"/>
  <c r="I77" i="27"/>
  <c r="K77" i="27"/>
  <c r="M77" i="27"/>
  <c r="O77" i="27"/>
  <c r="Q77" i="27"/>
  <c r="S77" i="27"/>
  <c r="U77" i="27"/>
  <c r="W77" i="27"/>
  <c r="Y77" i="27"/>
  <c r="AA77" i="27"/>
  <c r="AC77" i="27"/>
  <c r="C78" i="27"/>
  <c r="E78" i="27"/>
  <c r="G78" i="27"/>
  <c r="I78" i="27"/>
  <c r="K78" i="27"/>
  <c r="M78" i="27"/>
  <c r="O78" i="27"/>
  <c r="Q78" i="27"/>
  <c r="S78" i="27"/>
  <c r="U78" i="27"/>
  <c r="W78" i="27"/>
  <c r="Y78" i="27"/>
  <c r="AA78" i="27"/>
  <c r="AC78" i="27"/>
  <c r="C79" i="27"/>
  <c r="E79" i="27"/>
  <c r="G79" i="27"/>
  <c r="I79" i="27"/>
  <c r="K79" i="27"/>
  <c r="M79" i="27"/>
  <c r="O79" i="27"/>
  <c r="Q79" i="27"/>
  <c r="S79" i="27"/>
  <c r="U79" i="27"/>
  <c r="W79" i="27"/>
  <c r="Y79" i="27"/>
  <c r="AA79" i="27"/>
  <c r="AC79" i="27"/>
  <c r="AD79" i="27"/>
  <c r="AH79" i="27"/>
  <c r="C80" i="27"/>
  <c r="E80" i="27"/>
  <c r="G80" i="27"/>
  <c r="I80" i="27"/>
  <c r="K80" i="27"/>
  <c r="M80" i="27"/>
  <c r="O80" i="27"/>
  <c r="Q80" i="27"/>
  <c r="S80" i="27"/>
  <c r="U80" i="27"/>
  <c r="W80" i="27"/>
  <c r="Y80" i="27"/>
  <c r="AA80" i="27"/>
  <c r="AC80" i="27"/>
  <c r="C81" i="27"/>
  <c r="E81" i="27"/>
  <c r="G81" i="27"/>
  <c r="I81" i="27"/>
  <c r="K81" i="27"/>
  <c r="M81" i="27"/>
  <c r="O81" i="27"/>
  <c r="Q81" i="27"/>
  <c r="S81" i="27"/>
  <c r="U81" i="27"/>
  <c r="W81" i="27"/>
  <c r="Y81" i="27"/>
  <c r="AA81" i="27"/>
  <c r="AC81" i="27"/>
  <c r="C82" i="27"/>
  <c r="E82" i="27"/>
  <c r="G82" i="27"/>
  <c r="I82" i="27"/>
  <c r="K82" i="27"/>
  <c r="M82" i="27"/>
  <c r="O82" i="27"/>
  <c r="Q82" i="27"/>
  <c r="S82" i="27"/>
  <c r="U82" i="27"/>
  <c r="W82" i="27"/>
  <c r="Y82" i="27"/>
  <c r="AA82" i="27"/>
  <c r="AC82" i="27"/>
  <c r="C83" i="27"/>
  <c r="E83" i="27"/>
  <c r="G83" i="27"/>
  <c r="I83" i="27"/>
  <c r="K83" i="27"/>
  <c r="M83" i="27"/>
  <c r="O83" i="27"/>
  <c r="Q83" i="27"/>
  <c r="S83" i="27"/>
  <c r="U83" i="27"/>
  <c r="W83" i="27"/>
  <c r="Y83" i="27"/>
  <c r="AA83" i="27"/>
  <c r="AC83" i="27"/>
  <c r="C84" i="27"/>
  <c r="E84" i="27"/>
  <c r="G84" i="27"/>
  <c r="I84" i="27"/>
  <c r="K84" i="27"/>
  <c r="M84" i="27"/>
  <c r="O84" i="27"/>
  <c r="Q84" i="27"/>
  <c r="S84" i="27"/>
  <c r="U84" i="27"/>
  <c r="W84" i="27"/>
  <c r="Y84" i="27"/>
  <c r="AA84" i="27"/>
  <c r="AC84" i="27"/>
  <c r="C85" i="27"/>
  <c r="E85" i="27"/>
  <c r="G85" i="27"/>
  <c r="I85" i="27"/>
  <c r="K85" i="27"/>
  <c r="M85" i="27"/>
  <c r="O85" i="27"/>
  <c r="Q85" i="27"/>
  <c r="S85" i="27"/>
  <c r="U85" i="27"/>
  <c r="W85" i="27"/>
  <c r="Y85" i="27"/>
  <c r="AA85" i="27"/>
  <c r="AC85" i="27"/>
  <c r="C86" i="27"/>
  <c r="E86" i="27"/>
  <c r="G86" i="27"/>
  <c r="I86" i="27"/>
  <c r="K86" i="27"/>
  <c r="M86" i="27"/>
  <c r="O86" i="27"/>
  <c r="Q86" i="27"/>
  <c r="S86" i="27"/>
  <c r="U86" i="27"/>
  <c r="W86" i="27"/>
  <c r="Y86" i="27"/>
  <c r="AA86" i="27"/>
  <c r="AC86" i="27"/>
  <c r="C87" i="27"/>
  <c r="E87" i="27"/>
  <c r="G87" i="27"/>
  <c r="I87" i="27"/>
  <c r="K87" i="27"/>
  <c r="M87" i="27"/>
  <c r="O87" i="27"/>
  <c r="Q87" i="27"/>
  <c r="S87" i="27"/>
  <c r="U87" i="27"/>
  <c r="W87" i="27"/>
  <c r="Y87" i="27"/>
  <c r="AA87" i="27"/>
  <c r="AC87" i="27"/>
  <c r="C88" i="27"/>
  <c r="E88" i="27"/>
  <c r="G88" i="27"/>
  <c r="I88" i="27"/>
  <c r="K88" i="27"/>
  <c r="M88" i="27"/>
  <c r="O88" i="27"/>
  <c r="Q88" i="27"/>
  <c r="S88" i="27"/>
  <c r="U88" i="27"/>
  <c r="W88" i="27"/>
  <c r="Y88" i="27"/>
  <c r="AA88" i="27"/>
  <c r="AC88" i="27"/>
  <c r="C89" i="27"/>
  <c r="E89" i="27"/>
  <c r="G89" i="27"/>
  <c r="I89" i="27"/>
  <c r="K89" i="27"/>
  <c r="M89" i="27"/>
  <c r="O89" i="27"/>
  <c r="Q89" i="27"/>
  <c r="S89" i="27"/>
  <c r="U89" i="27"/>
  <c r="W89" i="27"/>
  <c r="Y89" i="27"/>
  <c r="AA89" i="27"/>
  <c r="AC89" i="27"/>
  <c r="C90" i="27"/>
  <c r="E90" i="27"/>
  <c r="G90" i="27"/>
  <c r="I90" i="27"/>
  <c r="K90" i="27"/>
  <c r="M90" i="27"/>
  <c r="O90" i="27"/>
  <c r="Q90" i="27"/>
  <c r="S90" i="27"/>
  <c r="U90" i="27"/>
  <c r="W90" i="27"/>
  <c r="Y90" i="27"/>
  <c r="AA90" i="27"/>
  <c r="AC90" i="27"/>
  <c r="C91" i="27"/>
  <c r="E91" i="27"/>
  <c r="G91" i="27"/>
  <c r="I91" i="27"/>
  <c r="K91" i="27"/>
  <c r="M91" i="27"/>
  <c r="O91" i="27"/>
  <c r="Q91" i="27"/>
  <c r="S91" i="27"/>
  <c r="U91" i="27"/>
  <c r="W91" i="27"/>
  <c r="Y91" i="27"/>
  <c r="AA91" i="27"/>
  <c r="AC91" i="27"/>
  <c r="C92" i="27"/>
  <c r="E92" i="27"/>
  <c r="G92" i="27"/>
  <c r="I92" i="27"/>
  <c r="K92" i="27"/>
  <c r="M92" i="27"/>
  <c r="O92" i="27"/>
  <c r="Q92" i="27"/>
  <c r="S92" i="27"/>
  <c r="U92" i="27"/>
  <c r="W92" i="27"/>
  <c r="Y92" i="27"/>
  <c r="AA92" i="27"/>
  <c r="AC92" i="27"/>
  <c r="C93" i="27"/>
  <c r="E93" i="27"/>
  <c r="G93" i="27"/>
  <c r="I93" i="27"/>
  <c r="K93" i="27"/>
  <c r="M93" i="27"/>
  <c r="O93" i="27"/>
  <c r="Q93" i="27"/>
  <c r="S93" i="27"/>
  <c r="U93" i="27"/>
  <c r="W93" i="27"/>
  <c r="Y93" i="27"/>
  <c r="AA93" i="27"/>
  <c r="AC93" i="27"/>
  <c r="C94" i="27"/>
  <c r="E94" i="27"/>
  <c r="G94" i="27"/>
  <c r="I94" i="27"/>
  <c r="K94" i="27"/>
  <c r="M94" i="27"/>
  <c r="O94" i="27"/>
  <c r="Q94" i="27"/>
  <c r="S94" i="27"/>
  <c r="U94" i="27"/>
  <c r="W94" i="27"/>
  <c r="Y94" i="27"/>
  <c r="AA94" i="27"/>
  <c r="AC94" i="27"/>
  <c r="C95" i="27"/>
  <c r="E95" i="27"/>
  <c r="G95" i="27"/>
  <c r="I95" i="27"/>
  <c r="K95" i="27"/>
  <c r="M95" i="27"/>
  <c r="O95" i="27"/>
  <c r="Q95" i="27"/>
  <c r="S95" i="27"/>
  <c r="U95" i="27"/>
  <c r="W95" i="27"/>
  <c r="Y95" i="27"/>
  <c r="AA95" i="27"/>
  <c r="AC95" i="27"/>
  <c r="C96" i="27"/>
  <c r="E96" i="27"/>
  <c r="G96" i="27"/>
  <c r="I96" i="27"/>
  <c r="K96" i="27"/>
  <c r="M96" i="27"/>
  <c r="O96" i="27"/>
  <c r="Q96" i="27"/>
  <c r="S96" i="27"/>
  <c r="U96" i="27"/>
  <c r="W96" i="27"/>
  <c r="Y96" i="27"/>
  <c r="AA96" i="27"/>
  <c r="AC96" i="27"/>
  <c r="C97" i="27"/>
  <c r="E97" i="27"/>
  <c r="G97" i="27"/>
  <c r="I97" i="27"/>
  <c r="K97" i="27"/>
  <c r="M97" i="27"/>
  <c r="O97" i="27"/>
  <c r="Q97" i="27"/>
  <c r="S97" i="27"/>
  <c r="U97" i="27"/>
  <c r="W97" i="27"/>
  <c r="Y97" i="27"/>
  <c r="AA97" i="27"/>
  <c r="AC97" i="27"/>
  <c r="C98" i="27"/>
  <c r="E98" i="27"/>
  <c r="G98" i="27"/>
  <c r="I98" i="27"/>
  <c r="K98" i="27"/>
  <c r="M98" i="27"/>
  <c r="O98" i="27"/>
  <c r="Q98" i="27"/>
  <c r="S98" i="27"/>
  <c r="U98" i="27"/>
  <c r="W98" i="27"/>
  <c r="Y98" i="27"/>
  <c r="AA98" i="27"/>
  <c r="AC98" i="27"/>
  <c r="C99" i="27"/>
  <c r="E99" i="27"/>
  <c r="G99" i="27"/>
  <c r="I99" i="27"/>
  <c r="K99" i="27"/>
  <c r="M99" i="27"/>
  <c r="O99" i="27"/>
  <c r="Q99" i="27"/>
  <c r="S99" i="27"/>
  <c r="U99" i="27"/>
  <c r="W99" i="27"/>
  <c r="Y99" i="27"/>
  <c r="AA99" i="27"/>
  <c r="AC99" i="27"/>
  <c r="C100" i="27"/>
  <c r="E100" i="27"/>
  <c r="G100" i="27"/>
  <c r="I100" i="27"/>
  <c r="K100" i="27"/>
  <c r="M100" i="27"/>
  <c r="O100" i="27"/>
  <c r="Q100" i="27"/>
  <c r="S100" i="27"/>
  <c r="U100" i="27"/>
  <c r="W100" i="27"/>
  <c r="Y100" i="27"/>
  <c r="AA100" i="27"/>
  <c r="AC100" i="27"/>
  <c r="C101" i="27"/>
  <c r="E101" i="27"/>
  <c r="G101" i="27"/>
  <c r="I101" i="27"/>
  <c r="K101" i="27"/>
  <c r="M101" i="27"/>
  <c r="O101" i="27"/>
  <c r="Q101" i="27"/>
  <c r="S101" i="27"/>
  <c r="U101" i="27"/>
  <c r="W101" i="27"/>
  <c r="Y101" i="27"/>
  <c r="AA101" i="27"/>
  <c r="AC101" i="27"/>
  <c r="C102" i="27"/>
  <c r="E102" i="27"/>
  <c r="G102" i="27"/>
  <c r="I102" i="27"/>
  <c r="K102" i="27"/>
  <c r="M102" i="27"/>
  <c r="O102" i="27"/>
  <c r="Q102" i="27"/>
  <c r="S102" i="27"/>
  <c r="U102" i="27"/>
  <c r="W102" i="27"/>
  <c r="Y102" i="27"/>
  <c r="AA102" i="27"/>
  <c r="AC102" i="27"/>
  <c r="C103" i="27"/>
  <c r="E103" i="27"/>
  <c r="G103" i="27"/>
  <c r="I103" i="27"/>
  <c r="K103" i="27"/>
  <c r="M103" i="27"/>
  <c r="O103" i="27"/>
  <c r="Q103" i="27"/>
  <c r="S103" i="27"/>
  <c r="U103" i="27"/>
  <c r="W103" i="27"/>
  <c r="Y103" i="27"/>
  <c r="AA103" i="27"/>
  <c r="AC103" i="27"/>
  <c r="C104" i="27"/>
  <c r="E104" i="27"/>
  <c r="G104" i="27"/>
  <c r="I104" i="27"/>
  <c r="K104" i="27"/>
  <c r="M104" i="27"/>
  <c r="O104" i="27"/>
  <c r="Q104" i="27"/>
  <c r="S104" i="27"/>
  <c r="U104" i="27"/>
  <c r="W104" i="27"/>
  <c r="Y104" i="27"/>
  <c r="AA104" i="27"/>
  <c r="AC104" i="27"/>
  <c r="C105" i="27"/>
  <c r="E105" i="27"/>
  <c r="G105" i="27"/>
  <c r="I105" i="27"/>
  <c r="K105" i="27"/>
  <c r="M105" i="27"/>
  <c r="O105" i="27"/>
  <c r="Q105" i="27"/>
  <c r="S105" i="27"/>
  <c r="U105" i="27"/>
  <c r="W105" i="27"/>
  <c r="Y105" i="27"/>
  <c r="AA105" i="27"/>
  <c r="AC105" i="27"/>
  <c r="C106" i="27"/>
  <c r="E106" i="27"/>
  <c r="G106" i="27"/>
  <c r="I106" i="27"/>
  <c r="K106" i="27"/>
  <c r="M106" i="27"/>
  <c r="O106" i="27"/>
  <c r="Q106" i="27"/>
  <c r="S106" i="27"/>
  <c r="U106" i="27"/>
  <c r="W106" i="27"/>
  <c r="Y106" i="27"/>
  <c r="AA106" i="27"/>
  <c r="AC106" i="27"/>
  <c r="C107" i="27"/>
  <c r="E107" i="27"/>
  <c r="G107" i="27"/>
  <c r="I107" i="27"/>
  <c r="K107" i="27"/>
  <c r="M107" i="27"/>
  <c r="O107" i="27"/>
  <c r="Q107" i="27"/>
  <c r="S107" i="27"/>
  <c r="U107" i="27"/>
  <c r="W107" i="27"/>
  <c r="Y107" i="27"/>
  <c r="AA107" i="27"/>
  <c r="AC107" i="27"/>
  <c r="C108" i="27"/>
  <c r="E108" i="27"/>
  <c r="G108" i="27"/>
  <c r="I108" i="27"/>
  <c r="K108" i="27"/>
  <c r="M108" i="27"/>
  <c r="O108" i="27"/>
  <c r="Q108" i="27"/>
  <c r="S108" i="27"/>
  <c r="U108" i="27"/>
  <c r="W108" i="27"/>
  <c r="Y108" i="27"/>
  <c r="AA108" i="27"/>
  <c r="AC108" i="27"/>
  <c r="C109" i="27"/>
  <c r="E109" i="27"/>
  <c r="G109" i="27"/>
  <c r="I109" i="27"/>
  <c r="K109" i="27"/>
  <c r="M109" i="27"/>
  <c r="O109" i="27"/>
  <c r="Q109" i="27"/>
  <c r="S109" i="27"/>
  <c r="U109" i="27"/>
  <c r="W109" i="27"/>
  <c r="Y109" i="27"/>
  <c r="AA109" i="27"/>
  <c r="AC109" i="27"/>
  <c r="C110" i="27"/>
  <c r="E110" i="27"/>
  <c r="G110" i="27"/>
  <c r="I110" i="27"/>
  <c r="K110" i="27"/>
  <c r="M110" i="27"/>
  <c r="O110" i="27"/>
  <c r="Q110" i="27"/>
  <c r="S110" i="27"/>
  <c r="U110" i="27"/>
  <c r="W110" i="27"/>
  <c r="Y110" i="27"/>
  <c r="AA110" i="27"/>
  <c r="AC110" i="27"/>
  <c r="C111" i="27"/>
  <c r="E111" i="27"/>
  <c r="G111" i="27"/>
  <c r="I111" i="27"/>
  <c r="K111" i="27"/>
  <c r="M111" i="27"/>
  <c r="O111" i="27"/>
  <c r="Q111" i="27"/>
  <c r="S111" i="27"/>
  <c r="U111" i="27"/>
  <c r="W111" i="27"/>
  <c r="Y111" i="27"/>
  <c r="AA111" i="27"/>
  <c r="AC111" i="27"/>
  <c r="C112" i="27"/>
  <c r="E112" i="27"/>
  <c r="G112" i="27"/>
  <c r="I112" i="27"/>
  <c r="K112" i="27"/>
  <c r="M112" i="27"/>
  <c r="O112" i="27"/>
  <c r="Q112" i="27"/>
  <c r="S112" i="27"/>
  <c r="U112" i="27"/>
  <c r="W112" i="27"/>
  <c r="Y112" i="27"/>
  <c r="AA112" i="27"/>
  <c r="AC112" i="27"/>
  <c r="C113" i="27"/>
  <c r="E113" i="27"/>
  <c r="G113" i="27"/>
  <c r="I113" i="27"/>
  <c r="K113" i="27"/>
  <c r="M113" i="27"/>
  <c r="O113" i="27"/>
  <c r="Q113" i="27"/>
  <c r="S113" i="27"/>
  <c r="U113" i="27"/>
  <c r="W113" i="27"/>
  <c r="Y113" i="27"/>
  <c r="AA113" i="27"/>
  <c r="AC113" i="27"/>
  <c r="C114" i="27"/>
  <c r="E114" i="27"/>
  <c r="G114" i="27"/>
  <c r="I114" i="27"/>
  <c r="K114" i="27"/>
  <c r="M114" i="27"/>
  <c r="O114" i="27"/>
  <c r="S114" i="27"/>
  <c r="U114" i="27"/>
  <c r="W114" i="27"/>
  <c r="Y114" i="27"/>
  <c r="AA114" i="27"/>
  <c r="AC114" i="27"/>
  <c r="AD114" i="27"/>
  <c r="AH114" i="27"/>
  <c r="C115" i="27"/>
  <c r="E115" i="27"/>
  <c r="G115" i="27"/>
  <c r="I115" i="27"/>
  <c r="K115" i="27"/>
  <c r="M115" i="27"/>
  <c r="O115" i="27"/>
  <c r="S115" i="27"/>
  <c r="U115" i="27"/>
  <c r="W115" i="27"/>
  <c r="Y115" i="27"/>
  <c r="AA115" i="27"/>
  <c r="AC115" i="27"/>
  <c r="C116" i="27"/>
  <c r="E116" i="27"/>
  <c r="G116" i="27"/>
  <c r="I116" i="27"/>
  <c r="K116" i="27"/>
  <c r="M116" i="27"/>
  <c r="O116" i="27"/>
  <c r="S116" i="27"/>
  <c r="U116" i="27"/>
  <c r="W116" i="27"/>
  <c r="Y116" i="27"/>
  <c r="AA116" i="27"/>
  <c r="AC116" i="27"/>
  <c r="C117" i="27"/>
  <c r="E117" i="27"/>
  <c r="G117" i="27"/>
  <c r="I117" i="27"/>
  <c r="K117" i="27"/>
  <c r="M117" i="27"/>
  <c r="O117" i="27"/>
  <c r="S117" i="27"/>
  <c r="U117" i="27"/>
  <c r="W117" i="27"/>
  <c r="Y117" i="27"/>
  <c r="AA117" i="27"/>
  <c r="AC117" i="27"/>
  <c r="C118" i="27"/>
  <c r="E118" i="27"/>
  <c r="G118" i="27"/>
  <c r="I118" i="27"/>
  <c r="K118" i="27"/>
  <c r="M118" i="27"/>
  <c r="O118" i="27"/>
  <c r="S118" i="27"/>
  <c r="U118" i="27"/>
  <c r="W118" i="27"/>
  <c r="Y118" i="27"/>
  <c r="AA118" i="27"/>
  <c r="AC118" i="27"/>
  <c r="C119" i="27"/>
  <c r="E119" i="27"/>
  <c r="G119" i="27"/>
  <c r="I119" i="27"/>
  <c r="K119" i="27"/>
  <c r="M119" i="27"/>
  <c r="O119" i="27"/>
  <c r="S119" i="27"/>
  <c r="U119" i="27"/>
  <c r="W119" i="27"/>
  <c r="Y119" i="27"/>
  <c r="AA119" i="27"/>
  <c r="AC119" i="27"/>
  <c r="C120" i="27"/>
  <c r="E120" i="27"/>
  <c r="G120" i="27"/>
  <c r="I120" i="27"/>
  <c r="K120" i="27"/>
  <c r="M120" i="27"/>
  <c r="O120" i="27"/>
  <c r="S120" i="27"/>
  <c r="U120" i="27"/>
  <c r="W120" i="27"/>
  <c r="Y120" i="27"/>
  <c r="AA120" i="27"/>
  <c r="AC120" i="27"/>
  <c r="C121" i="27"/>
  <c r="E121" i="27"/>
  <c r="G121" i="27"/>
  <c r="I121" i="27"/>
  <c r="K121" i="27"/>
  <c r="M121" i="27"/>
  <c r="O121" i="27"/>
  <c r="S121" i="27"/>
  <c r="U121" i="27"/>
  <c r="W121" i="27"/>
  <c r="Y121" i="27"/>
  <c r="AA121" i="27"/>
  <c r="AC121" i="27"/>
  <c r="C122" i="27"/>
  <c r="E122" i="27"/>
  <c r="G122" i="27"/>
  <c r="I122" i="27"/>
  <c r="K122" i="27"/>
  <c r="M122" i="27"/>
  <c r="O122" i="27"/>
  <c r="S122" i="27"/>
  <c r="U122" i="27"/>
  <c r="W122" i="27"/>
  <c r="Y122" i="27"/>
  <c r="AA122" i="27"/>
  <c r="AC122" i="27"/>
  <c r="C123" i="27"/>
  <c r="E123" i="27"/>
  <c r="G123" i="27"/>
  <c r="I123" i="27"/>
  <c r="K123" i="27"/>
  <c r="M123" i="27"/>
  <c r="O123" i="27"/>
  <c r="S123" i="27"/>
  <c r="U123" i="27"/>
  <c r="W123" i="27"/>
  <c r="Y123" i="27"/>
  <c r="AA123" i="27"/>
  <c r="AC123" i="27"/>
  <c r="C124" i="27"/>
  <c r="E124" i="27"/>
  <c r="G124" i="27"/>
  <c r="I124" i="27"/>
  <c r="K124" i="27"/>
  <c r="M124" i="27"/>
  <c r="O124" i="27"/>
  <c r="S124" i="27"/>
  <c r="U124" i="27"/>
  <c r="W124" i="27"/>
  <c r="Y124" i="27"/>
  <c r="AA124" i="27"/>
  <c r="AC124" i="27"/>
  <c r="C125" i="27"/>
  <c r="E125" i="27"/>
  <c r="G125" i="27"/>
  <c r="I125" i="27"/>
  <c r="K125" i="27"/>
  <c r="M125" i="27"/>
  <c r="O125" i="27"/>
  <c r="S125" i="27"/>
  <c r="U125" i="27"/>
  <c r="W125" i="27"/>
  <c r="Y125" i="27"/>
  <c r="AA125" i="27"/>
  <c r="AC125" i="27"/>
  <c r="C126" i="27"/>
  <c r="E126" i="27"/>
  <c r="G126" i="27"/>
  <c r="I126" i="27"/>
  <c r="K126" i="27"/>
  <c r="M126" i="27"/>
  <c r="O126" i="27"/>
  <c r="S126" i="27"/>
  <c r="U126" i="27"/>
  <c r="W126" i="27"/>
  <c r="Y126" i="27"/>
  <c r="AA126" i="27"/>
  <c r="AC126" i="27"/>
  <c r="C127" i="27"/>
  <c r="E127" i="27"/>
  <c r="G127" i="27"/>
  <c r="I127" i="27"/>
  <c r="K127" i="27"/>
  <c r="M127" i="27"/>
  <c r="O127" i="27"/>
  <c r="S127" i="27"/>
  <c r="U127" i="27"/>
  <c r="W127" i="27"/>
  <c r="Y127" i="27"/>
  <c r="AA127" i="27"/>
  <c r="AC127" i="27"/>
  <c r="C128" i="27"/>
  <c r="E128" i="27"/>
  <c r="G128" i="27"/>
  <c r="I128" i="27"/>
  <c r="K128" i="27"/>
  <c r="M128" i="27"/>
  <c r="O128" i="27"/>
  <c r="S128" i="27"/>
  <c r="U128" i="27"/>
  <c r="W128" i="27"/>
  <c r="Y128" i="27"/>
  <c r="AA128" i="27"/>
  <c r="AC128" i="27"/>
  <c r="C129" i="27"/>
  <c r="E129" i="27"/>
  <c r="G129" i="27"/>
  <c r="I129" i="27"/>
  <c r="K129" i="27"/>
  <c r="M129" i="27"/>
  <c r="O129" i="27"/>
  <c r="S129" i="27"/>
  <c r="U129" i="27"/>
  <c r="W129" i="27"/>
  <c r="Y129" i="27"/>
  <c r="AA129" i="27"/>
  <c r="AC129" i="27"/>
  <c r="C130" i="27"/>
  <c r="E130" i="27"/>
  <c r="G130" i="27"/>
  <c r="I130" i="27"/>
  <c r="K130" i="27"/>
  <c r="M130" i="27"/>
  <c r="O130" i="27"/>
  <c r="S130" i="27"/>
  <c r="U130" i="27"/>
  <c r="W130" i="27"/>
  <c r="Y130" i="27"/>
  <c r="AA130" i="27"/>
  <c r="AC130" i="27"/>
  <c r="C131" i="27"/>
  <c r="E131" i="27"/>
  <c r="G131" i="27"/>
  <c r="I131" i="27"/>
  <c r="K131" i="27"/>
  <c r="M131" i="27"/>
  <c r="O131" i="27"/>
  <c r="S131" i="27"/>
  <c r="U131" i="27"/>
  <c r="W131" i="27"/>
  <c r="Y131" i="27"/>
  <c r="AA131" i="27"/>
  <c r="AC131" i="27"/>
  <c r="C132" i="27"/>
  <c r="E132" i="27"/>
  <c r="G132" i="27"/>
  <c r="I132" i="27"/>
  <c r="K132" i="27"/>
  <c r="M132" i="27"/>
  <c r="O132" i="27"/>
  <c r="S132" i="27"/>
  <c r="U132" i="27"/>
  <c r="W132" i="27"/>
  <c r="Y132" i="27"/>
  <c r="AA132" i="27"/>
  <c r="AC132" i="27"/>
  <c r="C133" i="27"/>
  <c r="E133" i="27"/>
  <c r="G133" i="27"/>
  <c r="I133" i="27"/>
  <c r="K133" i="27"/>
  <c r="M133" i="27"/>
  <c r="O133" i="27"/>
  <c r="S133" i="27"/>
  <c r="U133" i="27"/>
  <c r="W133" i="27"/>
  <c r="Y133" i="27"/>
  <c r="AA133" i="27"/>
  <c r="AC133" i="27"/>
  <c r="C134" i="27"/>
  <c r="E134" i="27"/>
  <c r="G134" i="27"/>
  <c r="I134" i="27"/>
  <c r="K134" i="27"/>
  <c r="M134" i="27"/>
  <c r="O134" i="27"/>
  <c r="S134" i="27"/>
  <c r="U134" i="27"/>
  <c r="W134" i="27"/>
  <c r="Y134" i="27"/>
  <c r="AA134" i="27"/>
  <c r="AC134" i="27"/>
  <c r="C135" i="27"/>
  <c r="E135" i="27"/>
  <c r="G135" i="27"/>
  <c r="I135" i="27"/>
  <c r="K135" i="27"/>
  <c r="M135" i="27"/>
  <c r="O135" i="27"/>
  <c r="S135" i="27"/>
  <c r="U135" i="27"/>
  <c r="W135" i="27"/>
  <c r="Y135" i="27"/>
  <c r="AA135" i="27"/>
  <c r="AC135" i="27"/>
  <c r="C136" i="27"/>
  <c r="E136" i="27"/>
  <c r="G136" i="27"/>
  <c r="I136" i="27"/>
  <c r="K136" i="27"/>
  <c r="M136" i="27"/>
  <c r="O136" i="27"/>
  <c r="S136" i="27"/>
  <c r="U136" i="27"/>
  <c r="W136" i="27"/>
  <c r="Y136" i="27"/>
  <c r="AA136" i="27"/>
  <c r="AC136" i="27"/>
  <c r="C137" i="27"/>
  <c r="E137" i="27"/>
  <c r="G137" i="27"/>
  <c r="I137" i="27"/>
  <c r="K137" i="27"/>
  <c r="M137" i="27"/>
  <c r="O137" i="27"/>
  <c r="S137" i="27"/>
  <c r="U137" i="27"/>
  <c r="W137" i="27"/>
  <c r="Y137" i="27"/>
  <c r="AA137" i="27"/>
  <c r="AC137" i="27"/>
  <c r="C138" i="27"/>
  <c r="E138" i="27"/>
  <c r="G138" i="27"/>
  <c r="I138" i="27"/>
  <c r="K138" i="27"/>
  <c r="M138" i="27"/>
  <c r="O138" i="27"/>
  <c r="S138" i="27"/>
  <c r="U138" i="27"/>
  <c r="W138" i="27"/>
  <c r="Y138" i="27"/>
  <c r="AA138" i="27"/>
  <c r="AC138" i="27"/>
  <c r="C139" i="27"/>
  <c r="E139" i="27"/>
  <c r="G139" i="27"/>
  <c r="I139" i="27"/>
  <c r="K139" i="27"/>
  <c r="M139" i="27"/>
  <c r="O139" i="27"/>
  <c r="S139" i="27"/>
  <c r="U139" i="27"/>
  <c r="W139" i="27"/>
  <c r="Y139" i="27"/>
  <c r="AA139" i="27"/>
  <c r="AC139" i="27"/>
  <c r="C140" i="27"/>
  <c r="E140" i="27"/>
  <c r="G140" i="27"/>
  <c r="I140" i="27"/>
  <c r="K140" i="27"/>
  <c r="M140" i="27"/>
  <c r="O140" i="27"/>
  <c r="S140" i="27"/>
  <c r="U140" i="27"/>
  <c r="W140" i="27"/>
  <c r="Y140" i="27"/>
  <c r="AA140" i="27"/>
  <c r="AC140" i="27"/>
  <c r="C141" i="27"/>
  <c r="E141" i="27"/>
  <c r="G141" i="27"/>
  <c r="I141" i="27"/>
  <c r="K141" i="27"/>
  <c r="M141" i="27"/>
  <c r="O141" i="27"/>
  <c r="S141" i="27"/>
  <c r="U141" i="27"/>
  <c r="W141" i="27"/>
  <c r="Y141" i="27"/>
  <c r="AA141" i="27"/>
  <c r="AC141" i="27"/>
  <c r="C142" i="27"/>
  <c r="E142" i="27"/>
  <c r="G142" i="27"/>
  <c r="I142" i="27"/>
  <c r="K142" i="27"/>
  <c r="M142" i="27"/>
  <c r="O142" i="27"/>
  <c r="S142" i="27"/>
  <c r="U142" i="27"/>
  <c r="W142" i="27"/>
  <c r="Y142" i="27"/>
  <c r="AA142" i="27"/>
  <c r="AC142" i="27"/>
  <c r="C143" i="27"/>
  <c r="E143" i="27"/>
  <c r="G143" i="27"/>
  <c r="I143" i="27"/>
  <c r="K143" i="27"/>
  <c r="M143" i="27"/>
  <c r="O143" i="27"/>
  <c r="S143" i="27"/>
  <c r="U143" i="27"/>
  <c r="W143" i="27"/>
  <c r="Y143" i="27"/>
  <c r="AA143" i="27"/>
  <c r="AC143" i="27"/>
  <c r="C144" i="27"/>
  <c r="E144" i="27"/>
  <c r="G144" i="27"/>
  <c r="I144" i="27"/>
  <c r="K144" i="27"/>
  <c r="M144" i="27"/>
  <c r="O144" i="27"/>
  <c r="S144" i="27"/>
  <c r="U144" i="27"/>
  <c r="W144" i="27"/>
  <c r="Y144" i="27"/>
  <c r="AA144" i="27"/>
  <c r="AC144" i="27"/>
  <c r="C145" i="27"/>
  <c r="E145" i="27"/>
  <c r="G145" i="27"/>
  <c r="I145" i="27"/>
  <c r="K145" i="27"/>
  <c r="M145" i="27"/>
  <c r="O145" i="27"/>
  <c r="S145" i="27"/>
  <c r="U145" i="27"/>
  <c r="W145" i="27"/>
  <c r="Y145" i="27"/>
  <c r="AA145" i="27"/>
  <c r="AC145" i="27"/>
  <c r="C146" i="27"/>
  <c r="E146" i="27"/>
  <c r="G146" i="27"/>
  <c r="I146" i="27"/>
  <c r="K146" i="27"/>
  <c r="M146" i="27"/>
  <c r="O146" i="27"/>
  <c r="S146" i="27"/>
  <c r="U146" i="27"/>
  <c r="W146" i="27"/>
  <c r="Y146" i="27"/>
  <c r="AA146" i="27"/>
  <c r="AC146" i="27"/>
  <c r="C147" i="27"/>
  <c r="E147" i="27"/>
  <c r="G147" i="27"/>
  <c r="I147" i="27"/>
  <c r="K147" i="27"/>
  <c r="M147" i="27"/>
  <c r="O147" i="27"/>
  <c r="S147" i="27"/>
  <c r="U147" i="27"/>
  <c r="W147" i="27"/>
  <c r="Y147" i="27"/>
  <c r="AA147" i="27"/>
  <c r="AC147" i="27"/>
  <c r="C148" i="27"/>
  <c r="E148" i="27"/>
  <c r="G148" i="27"/>
  <c r="I148" i="27"/>
  <c r="K148" i="27"/>
  <c r="M148" i="27"/>
  <c r="O148" i="27"/>
  <c r="S148" i="27"/>
  <c r="U148" i="27"/>
  <c r="W148" i="27"/>
  <c r="Y148" i="27"/>
  <c r="AA148" i="27"/>
  <c r="AC148" i="27"/>
  <c r="C149" i="27"/>
  <c r="E149" i="27"/>
  <c r="G149" i="27"/>
  <c r="I149" i="27"/>
  <c r="K149" i="27"/>
  <c r="M149" i="27"/>
  <c r="O149" i="27"/>
  <c r="S149" i="27"/>
  <c r="U149" i="27"/>
  <c r="W149" i="27"/>
  <c r="Y149" i="27"/>
  <c r="AA149" i="27"/>
  <c r="AC149" i="27"/>
  <c r="AD149" i="27"/>
  <c r="AH149" i="27"/>
  <c r="C150" i="27"/>
  <c r="E150" i="27"/>
  <c r="G150" i="27"/>
  <c r="I150" i="27"/>
  <c r="K150" i="27"/>
  <c r="O150" i="27"/>
  <c r="Q150" i="27"/>
  <c r="S150" i="27"/>
  <c r="U150" i="27"/>
  <c r="W150" i="27"/>
  <c r="Y150" i="27"/>
  <c r="AA150" i="27"/>
  <c r="AC150" i="27"/>
  <c r="C151" i="27"/>
  <c r="E151" i="27"/>
  <c r="G151" i="27"/>
  <c r="I151" i="27"/>
  <c r="K151" i="27"/>
  <c r="O151" i="27"/>
  <c r="Q151" i="27"/>
  <c r="S151" i="27"/>
  <c r="U151" i="27"/>
  <c r="W151" i="27"/>
  <c r="Y151" i="27"/>
  <c r="AA151" i="27"/>
  <c r="AC151" i="27"/>
  <c r="C152" i="27"/>
  <c r="E152" i="27"/>
  <c r="G152" i="27"/>
  <c r="I152" i="27"/>
  <c r="K152" i="27"/>
  <c r="O152" i="27"/>
  <c r="Q152" i="27"/>
  <c r="S152" i="27"/>
  <c r="U152" i="27"/>
  <c r="W152" i="27"/>
  <c r="Y152" i="27"/>
  <c r="AA152" i="27"/>
  <c r="AC152" i="27"/>
  <c r="C153" i="27"/>
  <c r="E153" i="27"/>
  <c r="G153" i="27"/>
  <c r="I153" i="27"/>
  <c r="K153" i="27"/>
  <c r="O153" i="27"/>
  <c r="Q153" i="27"/>
  <c r="S153" i="27"/>
  <c r="U153" i="27"/>
  <c r="W153" i="27"/>
  <c r="Y153" i="27"/>
  <c r="AA153" i="27"/>
  <c r="AC153" i="27"/>
  <c r="C154" i="27"/>
  <c r="E154" i="27"/>
  <c r="G154" i="27"/>
  <c r="I154" i="27"/>
  <c r="K154" i="27"/>
  <c r="O154" i="27"/>
  <c r="Q154" i="27"/>
  <c r="S154" i="27"/>
  <c r="U154" i="27"/>
  <c r="W154" i="27"/>
  <c r="Y154" i="27"/>
  <c r="AA154" i="27"/>
  <c r="AC154" i="27"/>
  <c r="C155" i="27"/>
  <c r="E155" i="27"/>
  <c r="G155" i="27"/>
  <c r="I155" i="27"/>
  <c r="K155" i="27"/>
  <c r="O155" i="27"/>
  <c r="Q155" i="27"/>
  <c r="S155" i="27"/>
  <c r="U155" i="27"/>
  <c r="W155" i="27"/>
  <c r="Y155" i="27"/>
  <c r="AA155" i="27"/>
  <c r="AC155" i="27"/>
  <c r="C156" i="27"/>
  <c r="E156" i="27"/>
  <c r="G156" i="27"/>
  <c r="I156" i="27"/>
  <c r="K156" i="27"/>
  <c r="O156" i="27"/>
  <c r="Q156" i="27"/>
  <c r="S156" i="27"/>
  <c r="U156" i="27"/>
  <c r="W156" i="27"/>
  <c r="Y156" i="27"/>
  <c r="AA156" i="27"/>
  <c r="AC156" i="27"/>
  <c r="C157" i="27"/>
  <c r="E157" i="27"/>
  <c r="G157" i="27"/>
  <c r="I157" i="27"/>
  <c r="K157" i="27"/>
  <c r="O157" i="27"/>
  <c r="Q157" i="27"/>
  <c r="S157" i="27"/>
  <c r="U157" i="27"/>
  <c r="W157" i="27"/>
  <c r="Y157" i="27"/>
  <c r="AA157" i="27"/>
  <c r="AC157" i="27"/>
  <c r="C158" i="27"/>
  <c r="E158" i="27"/>
  <c r="G158" i="27"/>
  <c r="I158" i="27"/>
  <c r="K158" i="27"/>
  <c r="O158" i="27"/>
  <c r="Q158" i="27"/>
  <c r="S158" i="27"/>
  <c r="U158" i="27"/>
  <c r="W158" i="27"/>
  <c r="Y158" i="27"/>
  <c r="AA158" i="27"/>
  <c r="AC158" i="27"/>
  <c r="C159" i="27"/>
  <c r="E159" i="27"/>
  <c r="G159" i="27"/>
  <c r="I159" i="27"/>
  <c r="K159" i="27"/>
  <c r="O159" i="27"/>
  <c r="Q159" i="27"/>
  <c r="S159" i="27"/>
  <c r="U159" i="27"/>
  <c r="W159" i="27"/>
  <c r="Y159" i="27"/>
  <c r="AA159" i="27"/>
  <c r="AC159" i="27"/>
  <c r="C160" i="27"/>
  <c r="E160" i="27"/>
  <c r="G160" i="27"/>
  <c r="I160" i="27"/>
  <c r="K160" i="27"/>
  <c r="O160" i="27"/>
  <c r="Q160" i="27"/>
  <c r="S160" i="27"/>
  <c r="U160" i="27"/>
  <c r="W160" i="27"/>
  <c r="Y160" i="27"/>
  <c r="AA160" i="27"/>
  <c r="AC160" i="27"/>
  <c r="C161" i="27"/>
  <c r="E161" i="27"/>
  <c r="G161" i="27"/>
  <c r="I161" i="27"/>
  <c r="K161" i="27"/>
  <c r="O161" i="27"/>
  <c r="Q161" i="27"/>
  <c r="S161" i="27"/>
  <c r="U161" i="27"/>
  <c r="W161" i="27"/>
  <c r="Y161" i="27"/>
  <c r="AA161" i="27"/>
  <c r="AC161" i="27"/>
  <c r="C162" i="27"/>
  <c r="E162" i="27"/>
  <c r="G162" i="27"/>
  <c r="I162" i="27"/>
  <c r="K162" i="27"/>
  <c r="O162" i="27"/>
  <c r="Q162" i="27"/>
  <c r="S162" i="27"/>
  <c r="U162" i="27"/>
  <c r="W162" i="27"/>
  <c r="Y162" i="27"/>
  <c r="AA162" i="27"/>
  <c r="AC162" i="27"/>
  <c r="C163" i="27"/>
  <c r="E163" i="27"/>
  <c r="G163" i="27"/>
  <c r="I163" i="27"/>
  <c r="K163" i="27"/>
  <c r="O163" i="27"/>
  <c r="Q163" i="27"/>
  <c r="S163" i="27"/>
  <c r="U163" i="27"/>
  <c r="W163" i="27"/>
  <c r="Y163" i="27"/>
  <c r="AA163" i="27"/>
  <c r="AC163" i="27"/>
  <c r="C164" i="27"/>
  <c r="E164" i="27"/>
  <c r="G164" i="27"/>
  <c r="I164" i="27"/>
  <c r="K164" i="27"/>
  <c r="O164" i="27"/>
  <c r="Q164" i="27"/>
  <c r="S164" i="27"/>
  <c r="U164" i="27"/>
  <c r="W164" i="27"/>
  <c r="Y164" i="27"/>
  <c r="AA164" i="27"/>
  <c r="AC164" i="27"/>
  <c r="C165" i="27"/>
  <c r="E165" i="27"/>
  <c r="G165" i="27"/>
  <c r="I165" i="27"/>
  <c r="K165" i="27"/>
  <c r="O165" i="27"/>
  <c r="Q165" i="27"/>
  <c r="S165" i="27"/>
  <c r="U165" i="27"/>
  <c r="W165" i="27"/>
  <c r="Y165" i="27"/>
  <c r="AA165" i="27"/>
  <c r="AC165" i="27"/>
  <c r="C166" i="27"/>
  <c r="E166" i="27"/>
  <c r="G166" i="27"/>
  <c r="I166" i="27"/>
  <c r="K166" i="27"/>
  <c r="O166" i="27"/>
  <c r="Q166" i="27"/>
  <c r="S166" i="27"/>
  <c r="U166" i="27"/>
  <c r="W166" i="27"/>
  <c r="Y166" i="27"/>
  <c r="AA166" i="27"/>
  <c r="AC166" i="27"/>
  <c r="C167" i="27"/>
  <c r="E167" i="27"/>
  <c r="G167" i="27"/>
  <c r="I167" i="27"/>
  <c r="K167" i="27"/>
  <c r="O167" i="27"/>
  <c r="Q167" i="27"/>
  <c r="S167" i="27"/>
  <c r="U167" i="27"/>
  <c r="W167" i="27"/>
  <c r="Y167" i="27"/>
  <c r="AA167" i="27"/>
  <c r="AC167" i="27"/>
  <c r="C168" i="27"/>
  <c r="E168" i="27"/>
  <c r="G168" i="27"/>
  <c r="I168" i="27"/>
  <c r="K168" i="27"/>
  <c r="O168" i="27"/>
  <c r="Q168" i="27"/>
  <c r="S168" i="27"/>
  <c r="U168" i="27"/>
  <c r="W168" i="27"/>
  <c r="Y168" i="27"/>
  <c r="AA168" i="27"/>
  <c r="AC168" i="27"/>
  <c r="C169" i="27"/>
  <c r="E169" i="27"/>
  <c r="G169" i="27"/>
  <c r="I169" i="27"/>
  <c r="K169" i="27"/>
  <c r="O169" i="27"/>
  <c r="Q169" i="27"/>
  <c r="S169" i="27"/>
  <c r="U169" i="27"/>
  <c r="W169" i="27"/>
  <c r="Y169" i="27"/>
  <c r="AA169" i="27"/>
  <c r="AC169" i="27"/>
  <c r="C170" i="27"/>
  <c r="E170" i="27"/>
  <c r="G170" i="27"/>
  <c r="I170" i="27"/>
  <c r="K170" i="27"/>
  <c r="O170" i="27"/>
  <c r="Q170" i="27"/>
  <c r="S170" i="27"/>
  <c r="U170" i="27"/>
  <c r="W170" i="27"/>
  <c r="Y170" i="27"/>
  <c r="AA170" i="27"/>
  <c r="AC170" i="27"/>
  <c r="C171" i="27"/>
  <c r="E171" i="27"/>
  <c r="G171" i="27"/>
  <c r="I171" i="27"/>
  <c r="K171" i="27"/>
  <c r="O171" i="27"/>
  <c r="Q171" i="27"/>
  <c r="S171" i="27"/>
  <c r="U171" i="27"/>
  <c r="W171" i="27"/>
  <c r="Y171" i="27"/>
  <c r="AA171" i="27"/>
  <c r="AC171" i="27"/>
  <c r="C172" i="27"/>
  <c r="E172" i="27"/>
  <c r="G172" i="27"/>
  <c r="I172" i="27"/>
  <c r="K172" i="27"/>
  <c r="O172" i="27"/>
  <c r="Q172" i="27"/>
  <c r="S172" i="27"/>
  <c r="U172" i="27"/>
  <c r="W172" i="27"/>
  <c r="Y172" i="27"/>
  <c r="AA172" i="27"/>
  <c r="AC172" i="27"/>
  <c r="C173" i="27"/>
  <c r="E173" i="27"/>
  <c r="G173" i="27"/>
  <c r="I173" i="27"/>
  <c r="K173" i="27"/>
  <c r="O173" i="27"/>
  <c r="Q173" i="27"/>
  <c r="S173" i="27"/>
  <c r="U173" i="27"/>
  <c r="W173" i="27"/>
  <c r="Y173" i="27"/>
  <c r="AA173" i="27"/>
  <c r="AC173" i="27"/>
  <c r="C174" i="27"/>
  <c r="E174" i="27"/>
  <c r="G174" i="27"/>
  <c r="I174" i="27"/>
  <c r="K174" i="27"/>
  <c r="O174" i="27"/>
  <c r="Q174" i="27"/>
  <c r="S174" i="27"/>
  <c r="U174" i="27"/>
  <c r="W174" i="27"/>
  <c r="Y174" i="27"/>
  <c r="AA174" i="27"/>
  <c r="AC174" i="27"/>
  <c r="C175" i="27"/>
  <c r="E175" i="27"/>
  <c r="G175" i="27"/>
  <c r="I175" i="27"/>
  <c r="K175" i="27"/>
  <c r="O175" i="27"/>
  <c r="Q175" i="27"/>
  <c r="S175" i="27"/>
  <c r="U175" i="27"/>
  <c r="W175" i="27"/>
  <c r="Y175" i="27"/>
  <c r="AA175" i="27"/>
  <c r="AC175" i="27"/>
  <c r="C176" i="27"/>
  <c r="E176" i="27"/>
  <c r="G176" i="27"/>
  <c r="I176" i="27"/>
  <c r="K176" i="27"/>
  <c r="O176" i="27"/>
  <c r="Q176" i="27"/>
  <c r="S176" i="27"/>
  <c r="U176" i="27"/>
  <c r="W176" i="27"/>
  <c r="Y176" i="27"/>
  <c r="AA176" i="27"/>
  <c r="AC176" i="27"/>
  <c r="C177" i="27"/>
  <c r="E177" i="27"/>
  <c r="G177" i="27"/>
  <c r="I177" i="27"/>
  <c r="K177" i="27"/>
  <c r="O177" i="27"/>
  <c r="Q177" i="27"/>
  <c r="S177" i="27"/>
  <c r="U177" i="27"/>
  <c r="W177" i="27"/>
  <c r="Y177" i="27"/>
  <c r="AA177" i="27"/>
  <c r="AC177" i="27"/>
  <c r="C178" i="27"/>
  <c r="E178" i="27"/>
  <c r="G178" i="27"/>
  <c r="I178" i="27"/>
  <c r="K178" i="27"/>
  <c r="O178" i="27"/>
  <c r="Q178" i="27"/>
  <c r="S178" i="27"/>
  <c r="U178" i="27"/>
  <c r="W178" i="27"/>
  <c r="Y178" i="27"/>
  <c r="AA178" i="27"/>
  <c r="AC178" i="27"/>
  <c r="C179" i="27"/>
  <c r="E179" i="27"/>
  <c r="G179" i="27"/>
  <c r="I179" i="27"/>
  <c r="K179" i="27"/>
  <c r="O179" i="27"/>
  <c r="Q179" i="27"/>
  <c r="S179" i="27"/>
  <c r="U179" i="27"/>
  <c r="W179" i="27"/>
  <c r="Y179" i="27"/>
  <c r="AA179" i="27"/>
  <c r="AC179" i="27"/>
  <c r="C180" i="27"/>
  <c r="E180" i="27"/>
  <c r="G180" i="27"/>
  <c r="I180" i="27"/>
  <c r="K180" i="27"/>
  <c r="O180" i="27"/>
  <c r="Q180" i="27"/>
  <c r="S180" i="27"/>
  <c r="U180" i="27"/>
  <c r="W180" i="27"/>
  <c r="Y180" i="27"/>
  <c r="AA180" i="27"/>
  <c r="AC180" i="27"/>
  <c r="C181" i="27"/>
  <c r="E181" i="27"/>
  <c r="G181" i="27"/>
  <c r="I181" i="27"/>
  <c r="K181" i="27"/>
  <c r="O181" i="27"/>
  <c r="Q181" i="27"/>
  <c r="S181" i="27"/>
  <c r="U181" i="27"/>
  <c r="W181" i="27"/>
  <c r="Y181" i="27"/>
  <c r="AA181" i="27"/>
  <c r="AC181" i="27"/>
  <c r="C182" i="27"/>
  <c r="E182" i="27"/>
  <c r="G182" i="27"/>
  <c r="I182" i="27"/>
  <c r="K182" i="27"/>
  <c r="O182" i="27"/>
  <c r="Q182" i="27"/>
  <c r="S182" i="27"/>
  <c r="U182" i="27"/>
  <c r="W182" i="27"/>
  <c r="Y182" i="27"/>
  <c r="AA182" i="27"/>
  <c r="AC182" i="27"/>
  <c r="C183" i="27"/>
  <c r="E183" i="27"/>
  <c r="G183" i="27"/>
  <c r="I183" i="27"/>
  <c r="K183" i="27"/>
  <c r="O183" i="27"/>
  <c r="Q183" i="27"/>
  <c r="S183" i="27"/>
  <c r="U183" i="27"/>
  <c r="W183" i="27"/>
  <c r="Y183" i="27"/>
  <c r="AA183" i="27"/>
  <c r="AC183" i="27"/>
  <c r="C184" i="27"/>
  <c r="E184" i="27"/>
  <c r="G184" i="27"/>
  <c r="I184" i="27"/>
  <c r="K184" i="27"/>
  <c r="M184" i="27"/>
  <c r="O184" i="27"/>
  <c r="Q184" i="27"/>
  <c r="S184" i="27"/>
  <c r="U184" i="27"/>
  <c r="W184" i="27"/>
  <c r="Y184" i="27"/>
  <c r="AA184" i="27"/>
  <c r="AC184" i="27"/>
  <c r="AD184" i="27"/>
  <c r="AH184" i="27"/>
  <c r="C185" i="27"/>
  <c r="E185" i="27"/>
  <c r="G185" i="27"/>
  <c r="I185" i="27"/>
  <c r="K185" i="27"/>
  <c r="M185" i="27"/>
  <c r="O185" i="27"/>
  <c r="Q185" i="27"/>
  <c r="S185" i="27"/>
  <c r="U185" i="27"/>
  <c r="W185" i="27"/>
  <c r="Y185" i="27"/>
  <c r="AA185" i="27"/>
  <c r="AC185" i="27"/>
  <c r="C186" i="27"/>
  <c r="E186" i="27"/>
  <c r="G186" i="27"/>
  <c r="I186" i="27"/>
  <c r="K186" i="27"/>
  <c r="M186" i="27"/>
  <c r="O186" i="27"/>
  <c r="Q186" i="27"/>
  <c r="S186" i="27"/>
  <c r="U186" i="27"/>
  <c r="W186" i="27"/>
  <c r="Y186" i="27"/>
  <c r="AA186" i="27"/>
  <c r="AC186" i="27"/>
  <c r="C187" i="27"/>
  <c r="E187" i="27"/>
  <c r="G187" i="27"/>
  <c r="I187" i="27"/>
  <c r="K187" i="27"/>
  <c r="M187" i="27"/>
  <c r="O187" i="27"/>
  <c r="Q187" i="27"/>
  <c r="S187" i="27"/>
  <c r="U187" i="27"/>
  <c r="W187" i="27"/>
  <c r="Y187" i="27"/>
  <c r="AA187" i="27"/>
  <c r="AC187" i="27"/>
  <c r="C188" i="27"/>
  <c r="E188" i="27"/>
  <c r="G188" i="27"/>
  <c r="I188" i="27"/>
  <c r="K188" i="27"/>
  <c r="M188" i="27"/>
  <c r="O188" i="27"/>
  <c r="Q188" i="27"/>
  <c r="S188" i="27"/>
  <c r="U188" i="27"/>
  <c r="W188" i="27"/>
  <c r="Y188" i="27"/>
  <c r="AA188" i="27"/>
  <c r="AC188" i="27"/>
  <c r="C189" i="27"/>
  <c r="E189" i="27"/>
  <c r="G189" i="27"/>
  <c r="I189" i="27"/>
  <c r="K189" i="27"/>
  <c r="M189" i="27"/>
  <c r="O189" i="27"/>
  <c r="Q189" i="27"/>
  <c r="S189" i="27"/>
  <c r="U189" i="27"/>
  <c r="W189" i="27"/>
  <c r="Y189" i="27"/>
  <c r="AA189" i="27"/>
  <c r="AC189" i="27"/>
  <c r="C190" i="27"/>
  <c r="E190" i="27"/>
  <c r="G190" i="27"/>
  <c r="I190" i="27"/>
  <c r="K190" i="27"/>
  <c r="M190" i="27"/>
  <c r="O190" i="27"/>
  <c r="Q190" i="27"/>
  <c r="S190" i="27"/>
  <c r="U190" i="27"/>
  <c r="W190" i="27"/>
  <c r="Y190" i="27"/>
  <c r="AA190" i="27"/>
  <c r="AC190" i="27"/>
  <c r="C191" i="27"/>
  <c r="E191" i="27"/>
  <c r="G191" i="27"/>
  <c r="I191" i="27"/>
  <c r="K191" i="27"/>
  <c r="M191" i="27"/>
  <c r="O191" i="27"/>
  <c r="Q191" i="27"/>
  <c r="S191" i="27"/>
  <c r="U191" i="27"/>
  <c r="W191" i="27"/>
  <c r="Y191" i="27"/>
  <c r="AA191" i="27"/>
  <c r="AC191" i="27"/>
  <c r="C192" i="27"/>
  <c r="E192" i="27"/>
  <c r="G192" i="27"/>
  <c r="I192" i="27"/>
  <c r="K192" i="27"/>
  <c r="M192" i="27"/>
  <c r="O192" i="27"/>
  <c r="Q192" i="27"/>
  <c r="S192" i="27"/>
  <c r="U192" i="27"/>
  <c r="W192" i="27"/>
  <c r="Y192" i="27"/>
  <c r="AA192" i="27"/>
  <c r="AC192" i="27"/>
  <c r="C193" i="27"/>
  <c r="E193" i="27"/>
  <c r="G193" i="27"/>
  <c r="I193" i="27"/>
  <c r="K193" i="27"/>
  <c r="M193" i="27"/>
  <c r="O193" i="27"/>
  <c r="Q193" i="27"/>
  <c r="S193" i="27"/>
  <c r="U193" i="27"/>
  <c r="W193" i="27"/>
  <c r="Y193" i="27"/>
  <c r="AA193" i="27"/>
  <c r="AC193" i="27"/>
  <c r="C194" i="27"/>
  <c r="E194" i="27"/>
  <c r="G194" i="27"/>
  <c r="I194" i="27"/>
  <c r="K194" i="27"/>
  <c r="M194" i="27"/>
  <c r="O194" i="27"/>
  <c r="Q194" i="27"/>
  <c r="S194" i="27"/>
  <c r="U194" i="27"/>
  <c r="W194" i="27"/>
  <c r="Y194" i="27"/>
  <c r="AA194" i="27"/>
  <c r="AC194" i="27"/>
  <c r="C195" i="27"/>
  <c r="E195" i="27"/>
  <c r="G195" i="27"/>
  <c r="I195" i="27"/>
  <c r="K195" i="27"/>
  <c r="M195" i="27"/>
  <c r="O195" i="27"/>
  <c r="Q195" i="27"/>
  <c r="S195" i="27"/>
  <c r="U195" i="27"/>
  <c r="W195" i="27"/>
  <c r="Y195" i="27"/>
  <c r="AA195" i="27"/>
  <c r="AC195" i="27"/>
  <c r="C196" i="27"/>
  <c r="E196" i="27"/>
  <c r="G196" i="27"/>
  <c r="I196" i="27"/>
  <c r="K196" i="27"/>
  <c r="M196" i="27"/>
  <c r="O196" i="27"/>
  <c r="Q196" i="27"/>
  <c r="S196" i="27"/>
  <c r="U196" i="27"/>
  <c r="W196" i="27"/>
  <c r="Y196" i="27"/>
  <c r="AA196" i="27"/>
  <c r="AC196" i="27"/>
  <c r="C197" i="27"/>
  <c r="E197" i="27"/>
  <c r="G197" i="27"/>
  <c r="I197" i="27"/>
  <c r="K197" i="27"/>
  <c r="M197" i="27"/>
  <c r="O197" i="27"/>
  <c r="Q197" i="27"/>
  <c r="S197" i="27"/>
  <c r="U197" i="27"/>
  <c r="W197" i="27"/>
  <c r="Y197" i="27"/>
  <c r="AA197" i="27"/>
  <c r="AC197" i="27"/>
  <c r="C198" i="27"/>
  <c r="E198" i="27"/>
  <c r="G198" i="27"/>
  <c r="I198" i="27"/>
  <c r="K198" i="27"/>
  <c r="M198" i="27"/>
  <c r="O198" i="27"/>
  <c r="Q198" i="27"/>
  <c r="S198" i="27"/>
  <c r="U198" i="27"/>
  <c r="W198" i="27"/>
  <c r="Y198" i="27"/>
  <c r="AA198" i="27"/>
  <c r="AC198" i="27"/>
  <c r="C199" i="27"/>
  <c r="E199" i="27"/>
  <c r="G199" i="27"/>
  <c r="I199" i="27"/>
  <c r="K199" i="27"/>
  <c r="M199" i="27"/>
  <c r="O199" i="27"/>
  <c r="Q199" i="27"/>
  <c r="S199" i="27"/>
  <c r="U199" i="27"/>
  <c r="W199" i="27"/>
  <c r="Y199" i="27"/>
  <c r="AA199" i="27"/>
  <c r="AC199" i="27"/>
  <c r="C200" i="27"/>
  <c r="E200" i="27"/>
  <c r="G200" i="27"/>
  <c r="I200" i="27"/>
  <c r="K200" i="27"/>
  <c r="M200" i="27"/>
  <c r="O200" i="27"/>
  <c r="Q200" i="27"/>
  <c r="S200" i="27"/>
  <c r="U200" i="27"/>
  <c r="W200" i="27"/>
  <c r="Y200" i="27"/>
  <c r="AA200" i="27"/>
  <c r="AC200" i="27"/>
  <c r="C201" i="27"/>
  <c r="E201" i="27"/>
  <c r="G201" i="27"/>
  <c r="I201" i="27"/>
  <c r="K201" i="27"/>
  <c r="M201" i="27"/>
  <c r="O201" i="27"/>
  <c r="Q201" i="27"/>
  <c r="S201" i="27"/>
  <c r="U201" i="27"/>
  <c r="W201" i="27"/>
  <c r="Y201" i="27"/>
  <c r="AA201" i="27"/>
  <c r="AC201" i="27"/>
  <c r="C202" i="27"/>
  <c r="E202" i="27"/>
  <c r="G202" i="27"/>
  <c r="I202" i="27"/>
  <c r="K202" i="27"/>
  <c r="M202" i="27"/>
  <c r="O202" i="27"/>
  <c r="Q202" i="27"/>
  <c r="S202" i="27"/>
  <c r="U202" i="27"/>
  <c r="W202" i="27"/>
  <c r="Y202" i="27"/>
  <c r="AA202" i="27"/>
  <c r="AC202" i="27"/>
  <c r="C203" i="27"/>
  <c r="E203" i="27"/>
  <c r="G203" i="27"/>
  <c r="I203" i="27"/>
  <c r="K203" i="27"/>
  <c r="M203" i="27"/>
  <c r="O203" i="27"/>
  <c r="Q203" i="27"/>
  <c r="S203" i="27"/>
  <c r="U203" i="27"/>
  <c r="W203" i="27"/>
  <c r="Y203" i="27"/>
  <c r="AA203" i="27"/>
  <c r="AC203" i="27"/>
  <c r="C204" i="27"/>
  <c r="E204" i="27"/>
  <c r="G204" i="27"/>
  <c r="I204" i="27"/>
  <c r="K204" i="27"/>
  <c r="M204" i="27"/>
  <c r="O204" i="27"/>
  <c r="Q204" i="27"/>
  <c r="S204" i="27"/>
  <c r="U204" i="27"/>
  <c r="W204" i="27"/>
  <c r="Y204" i="27"/>
  <c r="AA204" i="27"/>
  <c r="AC204" i="27"/>
  <c r="C205" i="27"/>
  <c r="E205" i="27"/>
  <c r="G205" i="27"/>
  <c r="I205" i="27"/>
  <c r="K205" i="27"/>
  <c r="M205" i="27"/>
  <c r="O205" i="27"/>
  <c r="Q205" i="27"/>
  <c r="S205" i="27"/>
  <c r="U205" i="27"/>
  <c r="W205" i="27"/>
  <c r="Y205" i="27"/>
  <c r="AA205" i="27"/>
  <c r="AC205" i="27"/>
  <c r="C206" i="27"/>
  <c r="E206" i="27"/>
  <c r="G206" i="27"/>
  <c r="I206" i="27"/>
  <c r="K206" i="27"/>
  <c r="M206" i="27"/>
  <c r="O206" i="27"/>
  <c r="Q206" i="27"/>
  <c r="S206" i="27"/>
  <c r="U206" i="27"/>
  <c r="W206" i="27"/>
  <c r="Y206" i="27"/>
  <c r="AA206" i="27"/>
  <c r="AC206" i="27"/>
  <c r="C207" i="27"/>
  <c r="E207" i="27"/>
  <c r="G207" i="27"/>
  <c r="I207" i="27"/>
  <c r="K207" i="27"/>
  <c r="M207" i="27"/>
  <c r="O207" i="27"/>
  <c r="Q207" i="27"/>
  <c r="S207" i="27"/>
  <c r="U207" i="27"/>
  <c r="W207" i="27"/>
  <c r="Y207" i="27"/>
  <c r="AA207" i="27"/>
  <c r="AC207" i="27"/>
  <c r="C208" i="27"/>
  <c r="E208" i="27"/>
  <c r="G208" i="27"/>
  <c r="I208" i="27"/>
  <c r="K208" i="27"/>
  <c r="M208" i="27"/>
  <c r="O208" i="27"/>
  <c r="Q208" i="27"/>
  <c r="S208" i="27"/>
  <c r="U208" i="27"/>
  <c r="W208" i="27"/>
  <c r="Y208" i="27"/>
  <c r="AA208" i="27"/>
  <c r="AC208" i="27"/>
  <c r="C209" i="27"/>
  <c r="E209" i="27"/>
  <c r="G209" i="27"/>
  <c r="I209" i="27"/>
  <c r="K209" i="27"/>
  <c r="M209" i="27"/>
  <c r="O209" i="27"/>
  <c r="Q209" i="27"/>
  <c r="S209" i="27"/>
  <c r="U209" i="27"/>
  <c r="W209" i="27"/>
  <c r="Y209" i="27"/>
  <c r="AA209" i="27"/>
  <c r="AC209" i="27"/>
  <c r="C210" i="27"/>
  <c r="E210" i="27"/>
  <c r="G210" i="27"/>
  <c r="I210" i="27"/>
  <c r="K210" i="27"/>
  <c r="M210" i="27"/>
  <c r="O210" i="27"/>
  <c r="Q210" i="27"/>
  <c r="S210" i="27"/>
  <c r="U210" i="27"/>
  <c r="W210" i="27"/>
  <c r="Y210" i="27"/>
  <c r="AA210" i="27"/>
  <c r="AC210" i="27"/>
  <c r="C211" i="27"/>
  <c r="E211" i="27"/>
  <c r="G211" i="27"/>
  <c r="I211" i="27"/>
  <c r="K211" i="27"/>
  <c r="M211" i="27"/>
  <c r="O211" i="27"/>
  <c r="Q211" i="27"/>
  <c r="S211" i="27"/>
  <c r="U211" i="27"/>
  <c r="W211" i="27"/>
  <c r="Y211" i="27"/>
  <c r="AA211" i="27"/>
  <c r="AC211" i="27"/>
  <c r="C212" i="27"/>
  <c r="E212" i="27"/>
  <c r="G212" i="27"/>
  <c r="I212" i="27"/>
  <c r="K212" i="27"/>
  <c r="M212" i="27"/>
  <c r="O212" i="27"/>
  <c r="Q212" i="27"/>
  <c r="S212" i="27"/>
  <c r="U212" i="27"/>
  <c r="W212" i="27"/>
  <c r="Y212" i="27"/>
  <c r="AA212" i="27"/>
  <c r="AC212" i="27"/>
  <c r="C213" i="27"/>
  <c r="E213" i="27"/>
  <c r="G213" i="27"/>
  <c r="I213" i="27"/>
  <c r="K213" i="27"/>
  <c r="M213" i="27"/>
  <c r="O213" i="27"/>
  <c r="Q213" i="27"/>
  <c r="S213" i="27"/>
  <c r="U213" i="27"/>
  <c r="W213" i="27"/>
  <c r="Y213" i="27"/>
  <c r="AA213" i="27"/>
  <c r="AC213" i="27"/>
  <c r="C214" i="27"/>
  <c r="E214" i="27"/>
  <c r="G214" i="27"/>
  <c r="I214" i="27"/>
  <c r="K214" i="27"/>
  <c r="M214" i="27"/>
  <c r="O214" i="27"/>
  <c r="Q214" i="27"/>
  <c r="S214" i="27"/>
  <c r="U214" i="27"/>
  <c r="W214" i="27"/>
  <c r="Y214" i="27"/>
  <c r="AA214" i="27"/>
  <c r="AC214" i="27"/>
  <c r="C215" i="27"/>
  <c r="E215" i="27"/>
  <c r="G215" i="27"/>
  <c r="I215" i="27"/>
  <c r="K215" i="27"/>
  <c r="M215" i="27"/>
  <c r="O215" i="27"/>
  <c r="Q215" i="27"/>
  <c r="S215" i="27"/>
  <c r="U215" i="27"/>
  <c r="W215" i="27"/>
  <c r="Y215" i="27"/>
  <c r="AA215" i="27"/>
  <c r="AC215" i="27"/>
  <c r="C216" i="27"/>
  <c r="E216" i="27"/>
  <c r="G216" i="27"/>
  <c r="I216" i="27"/>
  <c r="K216" i="27"/>
  <c r="M216" i="27"/>
  <c r="O216" i="27"/>
  <c r="Q216" i="27"/>
  <c r="S216" i="27"/>
  <c r="U216" i="27"/>
  <c r="W216" i="27"/>
  <c r="Y216" i="27"/>
  <c r="AA216" i="27"/>
  <c r="AC216" i="27"/>
  <c r="C217" i="27"/>
  <c r="E217" i="27"/>
  <c r="G217" i="27"/>
  <c r="I217" i="27"/>
  <c r="K217" i="27"/>
  <c r="M217" i="27"/>
  <c r="O217" i="27"/>
  <c r="Q217" i="27"/>
  <c r="S217" i="27"/>
  <c r="U217" i="27"/>
  <c r="W217" i="27"/>
  <c r="Y217" i="27"/>
  <c r="AA217" i="27"/>
  <c r="AC217" i="27"/>
  <c r="C218" i="27"/>
  <c r="E218" i="27"/>
  <c r="G218" i="27"/>
  <c r="I218" i="27"/>
  <c r="K218" i="27"/>
  <c r="M218" i="27"/>
  <c r="O218" i="27"/>
  <c r="Q218" i="27"/>
  <c r="S218" i="27"/>
  <c r="U218" i="27"/>
  <c r="W218" i="27"/>
  <c r="Y218" i="27"/>
  <c r="AA218" i="27"/>
  <c r="AC218" i="27"/>
  <c r="C219" i="27"/>
  <c r="E219" i="27"/>
  <c r="G219" i="27"/>
  <c r="I219" i="27"/>
  <c r="K219" i="27"/>
  <c r="M219" i="27"/>
  <c r="O219" i="27"/>
  <c r="Q219" i="27"/>
  <c r="S219" i="27"/>
  <c r="U219" i="27"/>
  <c r="W219" i="27"/>
  <c r="Y219" i="27"/>
  <c r="AA219" i="27"/>
  <c r="AC219" i="27"/>
  <c r="AD219" i="27"/>
  <c r="AH219" i="27"/>
  <c r="C220" i="27"/>
  <c r="E220" i="27"/>
  <c r="G220" i="27"/>
  <c r="I220" i="27"/>
  <c r="K220" i="27"/>
  <c r="M220" i="27"/>
  <c r="O220" i="27"/>
  <c r="Q220" i="27"/>
  <c r="S220" i="27"/>
  <c r="U220" i="27"/>
  <c r="W220" i="27"/>
  <c r="Y220" i="27"/>
  <c r="AA220" i="27"/>
  <c r="AC220" i="27"/>
  <c r="C221" i="27"/>
  <c r="E221" i="27"/>
  <c r="G221" i="27"/>
  <c r="I221" i="27"/>
  <c r="K221" i="27"/>
  <c r="M221" i="27"/>
  <c r="O221" i="27"/>
  <c r="Q221" i="27"/>
  <c r="S221" i="27"/>
  <c r="U221" i="27"/>
  <c r="W221" i="27"/>
  <c r="Y221" i="27"/>
  <c r="AA221" i="27"/>
  <c r="AC221" i="27"/>
  <c r="C222" i="27"/>
  <c r="E222" i="27"/>
  <c r="G222" i="27"/>
  <c r="I222" i="27"/>
  <c r="K222" i="27"/>
  <c r="M222" i="27"/>
  <c r="O222" i="27"/>
  <c r="Q222" i="27"/>
  <c r="S222" i="27"/>
  <c r="U222" i="27"/>
  <c r="W222" i="27"/>
  <c r="Y222" i="27"/>
  <c r="AA222" i="27"/>
  <c r="AC222" i="27"/>
  <c r="C223" i="27"/>
  <c r="E223" i="27"/>
  <c r="G223" i="27"/>
  <c r="I223" i="27"/>
  <c r="K223" i="27"/>
  <c r="M223" i="27"/>
  <c r="O223" i="27"/>
  <c r="Q223" i="27"/>
  <c r="S223" i="27"/>
  <c r="U223" i="27"/>
  <c r="W223" i="27"/>
  <c r="Y223" i="27"/>
  <c r="AA223" i="27"/>
  <c r="AC223" i="27"/>
  <c r="C224" i="27"/>
  <c r="E224" i="27"/>
  <c r="G224" i="27"/>
  <c r="I224" i="27"/>
  <c r="K224" i="27"/>
  <c r="M224" i="27"/>
  <c r="O224" i="27"/>
  <c r="Q224" i="27"/>
  <c r="S224" i="27"/>
  <c r="U224" i="27"/>
  <c r="W224" i="27"/>
  <c r="Y224" i="27"/>
  <c r="AA224" i="27"/>
  <c r="AC224" i="27"/>
  <c r="C225" i="27"/>
  <c r="E225" i="27"/>
  <c r="G225" i="27"/>
  <c r="I225" i="27"/>
  <c r="K225" i="27"/>
  <c r="M225" i="27"/>
  <c r="O225" i="27"/>
  <c r="Q225" i="27"/>
  <c r="S225" i="27"/>
  <c r="U225" i="27"/>
  <c r="W225" i="27"/>
  <c r="Y225" i="27"/>
  <c r="AA225" i="27"/>
  <c r="AC225" i="27"/>
  <c r="C226" i="27"/>
  <c r="E226" i="27"/>
  <c r="G226" i="27"/>
  <c r="I226" i="27"/>
  <c r="K226" i="27"/>
  <c r="M226" i="27"/>
  <c r="O226" i="27"/>
  <c r="Q226" i="27"/>
  <c r="S226" i="27"/>
  <c r="U226" i="27"/>
  <c r="W226" i="27"/>
  <c r="Y226" i="27"/>
  <c r="AA226" i="27"/>
  <c r="AC226" i="27"/>
  <c r="C227" i="27"/>
  <c r="E227" i="27"/>
  <c r="G227" i="27"/>
  <c r="I227" i="27"/>
  <c r="K227" i="27"/>
  <c r="M227" i="27"/>
  <c r="O227" i="27"/>
  <c r="Q227" i="27"/>
  <c r="S227" i="27"/>
  <c r="U227" i="27"/>
  <c r="W227" i="27"/>
  <c r="Y227" i="27"/>
  <c r="AA227" i="27"/>
  <c r="AC227" i="27"/>
  <c r="C228" i="27"/>
  <c r="E228" i="27"/>
  <c r="G228" i="27"/>
  <c r="I228" i="27"/>
  <c r="K228" i="27"/>
  <c r="M228" i="27"/>
  <c r="O228" i="27"/>
  <c r="Q228" i="27"/>
  <c r="S228" i="27"/>
  <c r="U228" i="27"/>
  <c r="W228" i="27"/>
  <c r="Y228" i="27"/>
  <c r="AA228" i="27"/>
  <c r="AC228" i="27"/>
  <c r="C229" i="27"/>
  <c r="E229" i="27"/>
  <c r="G229" i="27"/>
  <c r="I229" i="27"/>
  <c r="K229" i="27"/>
  <c r="M229" i="27"/>
  <c r="O229" i="27"/>
  <c r="Q229" i="27"/>
  <c r="S229" i="27"/>
  <c r="U229" i="27"/>
  <c r="W229" i="27"/>
  <c r="Y229" i="27"/>
  <c r="AA229" i="27"/>
  <c r="AC229" i="27"/>
  <c r="C230" i="27"/>
  <c r="E230" i="27"/>
  <c r="G230" i="27"/>
  <c r="I230" i="27"/>
  <c r="K230" i="27"/>
  <c r="M230" i="27"/>
  <c r="O230" i="27"/>
  <c r="Q230" i="27"/>
  <c r="S230" i="27"/>
  <c r="U230" i="27"/>
  <c r="W230" i="27"/>
  <c r="Y230" i="27"/>
  <c r="AA230" i="27"/>
  <c r="AC230" i="27"/>
  <c r="C231" i="27"/>
  <c r="E231" i="27"/>
  <c r="G231" i="27"/>
  <c r="I231" i="27"/>
  <c r="K231" i="27"/>
  <c r="M231" i="27"/>
  <c r="O231" i="27"/>
  <c r="Q231" i="27"/>
  <c r="S231" i="27"/>
  <c r="U231" i="27"/>
  <c r="W231" i="27"/>
  <c r="Y231" i="27"/>
  <c r="AA231" i="27"/>
  <c r="AC231" i="27"/>
  <c r="C232" i="27"/>
  <c r="E232" i="27"/>
  <c r="G232" i="27"/>
  <c r="I232" i="27"/>
  <c r="K232" i="27"/>
  <c r="M232" i="27"/>
  <c r="O232" i="27"/>
  <c r="Q232" i="27"/>
  <c r="S232" i="27"/>
  <c r="U232" i="27"/>
  <c r="W232" i="27"/>
  <c r="Y232" i="27"/>
  <c r="AA232" i="27"/>
  <c r="AC232" i="27"/>
  <c r="C233" i="27"/>
  <c r="E233" i="27"/>
  <c r="G233" i="27"/>
  <c r="I233" i="27"/>
  <c r="K233" i="27"/>
  <c r="M233" i="27"/>
  <c r="O233" i="27"/>
  <c r="Q233" i="27"/>
  <c r="S233" i="27"/>
  <c r="U233" i="27"/>
  <c r="W233" i="27"/>
  <c r="Y233" i="27"/>
  <c r="AA233" i="27"/>
  <c r="AC233" i="27"/>
  <c r="C234" i="27"/>
  <c r="E234" i="27"/>
  <c r="G234" i="27"/>
  <c r="I234" i="27"/>
  <c r="K234" i="27"/>
  <c r="M234" i="27"/>
  <c r="O234" i="27"/>
  <c r="Q234" i="27"/>
  <c r="S234" i="27"/>
  <c r="U234" i="27"/>
  <c r="W234" i="27"/>
  <c r="Y234" i="27"/>
  <c r="AA234" i="27"/>
  <c r="AC234" i="27"/>
  <c r="C235" i="27"/>
  <c r="E235" i="27"/>
  <c r="G235" i="27"/>
  <c r="I235" i="27"/>
  <c r="K235" i="27"/>
  <c r="M235" i="27"/>
  <c r="O235" i="27"/>
  <c r="Q235" i="27"/>
  <c r="S235" i="27"/>
  <c r="U235" i="27"/>
  <c r="W235" i="27"/>
  <c r="Y235" i="27"/>
  <c r="AA235" i="27"/>
  <c r="AC235" i="27"/>
  <c r="C236" i="27"/>
  <c r="E236" i="27"/>
  <c r="G236" i="27"/>
  <c r="I236" i="27"/>
  <c r="K236" i="27"/>
  <c r="M236" i="27"/>
  <c r="O236" i="27"/>
  <c r="Q236" i="27"/>
  <c r="S236" i="27"/>
  <c r="U236" i="27"/>
  <c r="W236" i="27"/>
  <c r="Y236" i="27"/>
  <c r="AA236" i="27"/>
  <c r="AC236" i="27"/>
  <c r="C237" i="27"/>
  <c r="E237" i="27"/>
  <c r="G237" i="27"/>
  <c r="I237" i="27"/>
  <c r="K237" i="27"/>
  <c r="M237" i="27"/>
  <c r="O237" i="27"/>
  <c r="Q237" i="27"/>
  <c r="S237" i="27"/>
  <c r="U237" i="27"/>
  <c r="W237" i="27"/>
  <c r="Y237" i="27"/>
  <c r="AA237" i="27"/>
  <c r="AC237" i="27"/>
  <c r="C238" i="27"/>
  <c r="E238" i="27"/>
  <c r="G238" i="27"/>
  <c r="I238" i="27"/>
  <c r="K238" i="27"/>
  <c r="M238" i="27"/>
  <c r="O238" i="27"/>
  <c r="Q238" i="27"/>
  <c r="S238" i="27"/>
  <c r="U238" i="27"/>
  <c r="W238" i="27"/>
  <c r="Y238" i="27"/>
  <c r="AA238" i="27"/>
  <c r="AC238" i="27"/>
  <c r="C239" i="27"/>
  <c r="E239" i="27"/>
  <c r="G239" i="27"/>
  <c r="I239" i="27"/>
  <c r="K239" i="27"/>
  <c r="M239" i="27"/>
  <c r="O239" i="27"/>
  <c r="Q239" i="27"/>
  <c r="S239" i="27"/>
  <c r="U239" i="27"/>
  <c r="W239" i="27"/>
  <c r="Y239" i="27"/>
  <c r="AA239" i="27"/>
  <c r="AC239" i="27"/>
  <c r="C240" i="27"/>
  <c r="E240" i="27"/>
  <c r="G240" i="27"/>
  <c r="I240" i="27"/>
  <c r="K240" i="27"/>
  <c r="M240" i="27"/>
  <c r="O240" i="27"/>
  <c r="Q240" i="27"/>
  <c r="S240" i="27"/>
  <c r="U240" i="27"/>
  <c r="W240" i="27"/>
  <c r="Y240" i="27"/>
  <c r="AA240" i="27"/>
  <c r="AC240" i="27"/>
  <c r="C241" i="27"/>
  <c r="E241" i="27"/>
  <c r="G241" i="27"/>
  <c r="I241" i="27"/>
  <c r="K241" i="27"/>
  <c r="M241" i="27"/>
  <c r="O241" i="27"/>
  <c r="Q241" i="27"/>
  <c r="S241" i="27"/>
  <c r="U241" i="27"/>
  <c r="W241" i="27"/>
  <c r="Y241" i="27"/>
  <c r="AA241" i="27"/>
  <c r="AC241" i="27"/>
  <c r="C242" i="27"/>
  <c r="E242" i="27"/>
  <c r="G242" i="27"/>
  <c r="I242" i="27"/>
  <c r="K242" i="27"/>
  <c r="M242" i="27"/>
  <c r="O242" i="27"/>
  <c r="Q242" i="27"/>
  <c r="S242" i="27"/>
  <c r="U242" i="27"/>
  <c r="W242" i="27"/>
  <c r="Y242" i="27"/>
  <c r="AA242" i="27"/>
  <c r="AC242" i="27"/>
  <c r="C243" i="27"/>
  <c r="E243" i="27"/>
  <c r="G243" i="27"/>
  <c r="I243" i="27"/>
  <c r="K243" i="27"/>
  <c r="M243" i="27"/>
  <c r="O243" i="27"/>
  <c r="Q243" i="27"/>
  <c r="S243" i="27"/>
  <c r="U243" i="27"/>
  <c r="W243" i="27"/>
  <c r="Y243" i="27"/>
  <c r="AA243" i="27"/>
  <c r="AC243" i="27"/>
  <c r="C244" i="27"/>
  <c r="E244" i="27"/>
  <c r="G244" i="27"/>
  <c r="I244" i="27"/>
  <c r="K244" i="27"/>
  <c r="M244" i="27"/>
  <c r="O244" i="27"/>
  <c r="Q244" i="27"/>
  <c r="S244" i="27"/>
  <c r="U244" i="27"/>
  <c r="W244" i="27"/>
  <c r="Y244" i="27"/>
  <c r="AA244" i="27"/>
  <c r="AC244" i="27"/>
  <c r="C245" i="27"/>
  <c r="E245" i="27"/>
  <c r="G245" i="27"/>
  <c r="I245" i="27"/>
  <c r="K245" i="27"/>
  <c r="M245" i="27"/>
  <c r="O245" i="27"/>
  <c r="Q245" i="27"/>
  <c r="S245" i="27"/>
  <c r="U245" i="27"/>
  <c r="W245" i="27"/>
  <c r="Y245" i="27"/>
  <c r="AA245" i="27"/>
  <c r="AC245" i="27"/>
  <c r="C246" i="27"/>
  <c r="E246" i="27"/>
  <c r="G246" i="27"/>
  <c r="I246" i="27"/>
  <c r="K246" i="27"/>
  <c r="M246" i="27"/>
  <c r="O246" i="27"/>
  <c r="Q246" i="27"/>
  <c r="S246" i="27"/>
  <c r="U246" i="27"/>
  <c r="W246" i="27"/>
  <c r="Y246" i="27"/>
  <c r="AA246" i="27"/>
  <c r="AC246" i="27"/>
  <c r="C247" i="27"/>
  <c r="E247" i="27"/>
  <c r="G247" i="27"/>
  <c r="I247" i="27"/>
  <c r="K247" i="27"/>
  <c r="M247" i="27"/>
  <c r="O247" i="27"/>
  <c r="Q247" i="27"/>
  <c r="S247" i="27"/>
  <c r="U247" i="27"/>
  <c r="W247" i="27"/>
  <c r="Y247" i="27"/>
  <c r="AA247" i="27"/>
  <c r="AC247" i="27"/>
  <c r="C248" i="27"/>
  <c r="E248" i="27"/>
  <c r="G248" i="27"/>
  <c r="I248" i="27"/>
  <c r="K248" i="27"/>
  <c r="M248" i="27"/>
  <c r="O248" i="27"/>
  <c r="Q248" i="27"/>
  <c r="S248" i="27"/>
  <c r="U248" i="27"/>
  <c r="W248" i="27"/>
  <c r="Y248" i="27"/>
  <c r="AA248" i="27"/>
  <c r="AC248" i="27"/>
  <c r="C249" i="27"/>
  <c r="E249" i="27"/>
  <c r="G249" i="27"/>
  <c r="I249" i="27"/>
  <c r="K249" i="27"/>
  <c r="M249" i="27"/>
  <c r="O249" i="27"/>
  <c r="Q249" i="27"/>
  <c r="S249" i="27"/>
  <c r="U249" i="27"/>
  <c r="W249" i="27"/>
  <c r="Y249" i="27"/>
  <c r="AA249" i="27"/>
  <c r="AC249" i="27"/>
  <c r="C250" i="27"/>
  <c r="E250" i="27"/>
  <c r="G250" i="27"/>
  <c r="I250" i="27"/>
  <c r="K250" i="27"/>
  <c r="M250" i="27"/>
  <c r="O250" i="27"/>
  <c r="Q250" i="27"/>
  <c r="S250" i="27"/>
  <c r="U250" i="27"/>
  <c r="W250" i="27"/>
  <c r="Y250" i="27"/>
  <c r="AA250" i="27"/>
  <c r="AC250" i="27"/>
  <c r="C251" i="27"/>
  <c r="E251" i="27"/>
  <c r="G251" i="27"/>
  <c r="I251" i="27"/>
  <c r="K251" i="27"/>
  <c r="M251" i="27"/>
  <c r="O251" i="27"/>
  <c r="Q251" i="27"/>
  <c r="S251" i="27"/>
  <c r="U251" i="27"/>
  <c r="W251" i="27"/>
  <c r="Y251" i="27"/>
  <c r="AA251" i="27"/>
  <c r="AC251" i="27"/>
  <c r="C252" i="27"/>
  <c r="E252" i="27"/>
  <c r="G252" i="27"/>
  <c r="I252" i="27"/>
  <c r="K252" i="27"/>
  <c r="M252" i="27"/>
  <c r="O252" i="27"/>
  <c r="Q252" i="27"/>
  <c r="S252" i="27"/>
  <c r="U252" i="27"/>
  <c r="W252" i="27"/>
  <c r="Y252" i="27"/>
  <c r="AA252" i="27"/>
  <c r="AC252" i="27"/>
  <c r="C253" i="27"/>
  <c r="E253" i="27"/>
  <c r="G253" i="27"/>
  <c r="I253" i="27"/>
  <c r="K253" i="27"/>
  <c r="M253" i="27"/>
  <c r="O253" i="27"/>
  <c r="Q253" i="27"/>
  <c r="S253" i="27"/>
  <c r="U253" i="27"/>
  <c r="W253" i="27"/>
  <c r="Y253" i="27"/>
  <c r="AA253" i="27"/>
  <c r="AC253" i="27"/>
  <c r="C44" i="28"/>
  <c r="E44" i="28"/>
  <c r="G44" i="28"/>
  <c r="I44" i="28"/>
  <c r="K44" i="28"/>
  <c r="M44" i="28"/>
  <c r="O44" i="28"/>
  <c r="Q44" i="28"/>
  <c r="S44" i="28"/>
  <c r="U44" i="28"/>
  <c r="W44" i="28"/>
  <c r="Y44" i="28"/>
  <c r="AA44" i="28"/>
  <c r="AC44" i="28"/>
  <c r="AD44" i="28"/>
  <c r="C45" i="28"/>
  <c r="E45" i="28"/>
  <c r="G45" i="28"/>
  <c r="I45" i="28"/>
  <c r="K45" i="28"/>
  <c r="M45" i="28"/>
  <c r="O45" i="28"/>
  <c r="Q45" i="28"/>
  <c r="S45" i="28"/>
  <c r="U45" i="28"/>
  <c r="W45" i="28"/>
  <c r="Y45" i="28"/>
  <c r="AA45" i="28"/>
  <c r="AC45" i="28"/>
  <c r="C46" i="28"/>
  <c r="E46" i="28"/>
  <c r="G46" i="28"/>
  <c r="I46" i="28"/>
  <c r="K46" i="28"/>
  <c r="M46" i="28"/>
  <c r="O46" i="28"/>
  <c r="Q46" i="28"/>
  <c r="S46" i="28"/>
  <c r="U46" i="28"/>
  <c r="W46" i="28"/>
  <c r="Y46" i="28"/>
  <c r="AA46" i="28"/>
  <c r="AC46" i="28"/>
  <c r="C47" i="28"/>
  <c r="E47" i="28"/>
  <c r="G47" i="28"/>
  <c r="I47" i="28"/>
  <c r="K47" i="28"/>
  <c r="M47" i="28"/>
  <c r="O47" i="28"/>
  <c r="Q47" i="28"/>
  <c r="S47" i="28"/>
  <c r="U47" i="28"/>
  <c r="W47" i="28"/>
  <c r="Y47" i="28"/>
  <c r="AA47" i="28"/>
  <c r="AC47" i="28"/>
  <c r="C48" i="28"/>
  <c r="E48" i="28"/>
  <c r="G48" i="28"/>
  <c r="I48" i="28"/>
  <c r="K48" i="28"/>
  <c r="M48" i="28"/>
  <c r="O48" i="28"/>
  <c r="Q48" i="28"/>
  <c r="S48" i="28"/>
  <c r="U48" i="28"/>
  <c r="W48" i="28"/>
  <c r="Y48" i="28"/>
  <c r="AA48" i="28"/>
  <c r="AC48" i="28"/>
  <c r="C49" i="28"/>
  <c r="E49" i="28"/>
  <c r="G49" i="28"/>
  <c r="I49" i="28"/>
  <c r="K49" i="28"/>
  <c r="M49" i="28"/>
  <c r="O49" i="28"/>
  <c r="Q49" i="28"/>
  <c r="S49" i="28"/>
  <c r="U49" i="28"/>
  <c r="W49" i="28"/>
  <c r="Y49" i="28"/>
  <c r="AA49" i="28"/>
  <c r="AC49" i="28"/>
  <c r="C50" i="28"/>
  <c r="E50" i="28"/>
  <c r="G50" i="28"/>
  <c r="I50" i="28"/>
  <c r="K50" i="28"/>
  <c r="M50" i="28"/>
  <c r="O50" i="28"/>
  <c r="Q50" i="28"/>
  <c r="S50" i="28"/>
  <c r="U50" i="28"/>
  <c r="W50" i="28"/>
  <c r="Y50" i="28"/>
  <c r="AA50" i="28"/>
  <c r="AC50" i="28"/>
  <c r="C51" i="28"/>
  <c r="E51" i="28"/>
  <c r="G51" i="28"/>
  <c r="I51" i="28"/>
  <c r="K51" i="28"/>
  <c r="M51" i="28"/>
  <c r="O51" i="28"/>
  <c r="Q51" i="28"/>
  <c r="S51" i="28"/>
  <c r="U51" i="28"/>
  <c r="W51" i="28"/>
  <c r="Y51" i="28"/>
  <c r="AA51" i="28"/>
  <c r="AC51" i="28"/>
  <c r="C52" i="28"/>
  <c r="E52" i="28"/>
  <c r="G52" i="28"/>
  <c r="I52" i="28"/>
  <c r="K52" i="28"/>
  <c r="M52" i="28"/>
  <c r="O52" i="28"/>
  <c r="Q52" i="28"/>
  <c r="S52" i="28"/>
  <c r="U52" i="28"/>
  <c r="W52" i="28"/>
  <c r="Y52" i="28"/>
  <c r="AA52" i="28"/>
  <c r="AC52" i="28"/>
  <c r="C53" i="28"/>
  <c r="E53" i="28"/>
  <c r="G53" i="28"/>
  <c r="I53" i="28"/>
  <c r="K53" i="28"/>
  <c r="M53" i="28"/>
  <c r="O53" i="28"/>
  <c r="Q53" i="28"/>
  <c r="S53" i="28"/>
  <c r="U53" i="28"/>
  <c r="W53" i="28"/>
  <c r="Y53" i="28"/>
  <c r="AA53" i="28"/>
  <c r="AC53" i="28"/>
  <c r="C54" i="28"/>
  <c r="E54" i="28"/>
  <c r="G54" i="28"/>
  <c r="I54" i="28"/>
  <c r="K54" i="28"/>
  <c r="M54" i="28"/>
  <c r="O54" i="28"/>
  <c r="Q54" i="28"/>
  <c r="S54" i="28"/>
  <c r="U54" i="28"/>
  <c r="W54" i="28"/>
  <c r="Y54" i="28"/>
  <c r="AA54" i="28"/>
  <c r="AC54" i="28"/>
  <c r="C55" i="28"/>
  <c r="E55" i="28"/>
  <c r="G55" i="28"/>
  <c r="I55" i="28"/>
  <c r="K55" i="28"/>
  <c r="M55" i="28"/>
  <c r="O55" i="28"/>
  <c r="Q55" i="28"/>
  <c r="S55" i="28"/>
  <c r="U55" i="28"/>
  <c r="W55" i="28"/>
  <c r="Y55" i="28"/>
  <c r="AA55" i="28"/>
  <c r="AC55" i="28"/>
  <c r="C56" i="28"/>
  <c r="E56" i="28"/>
  <c r="G56" i="28"/>
  <c r="I56" i="28"/>
  <c r="K56" i="28"/>
  <c r="M56" i="28"/>
  <c r="O56" i="28"/>
  <c r="Q56" i="28"/>
  <c r="S56" i="28"/>
  <c r="U56" i="28"/>
  <c r="W56" i="28"/>
  <c r="Y56" i="28"/>
  <c r="AA56" i="28"/>
  <c r="AC56" i="28"/>
  <c r="C57" i="28"/>
  <c r="E57" i="28"/>
  <c r="G57" i="28"/>
  <c r="I57" i="28"/>
  <c r="K57" i="28"/>
  <c r="M57" i="28"/>
  <c r="O57" i="28"/>
  <c r="Q57" i="28"/>
  <c r="S57" i="28"/>
  <c r="U57" i="28"/>
  <c r="W57" i="28"/>
  <c r="Y57" i="28"/>
  <c r="AA57" i="28"/>
  <c r="AC57" i="28"/>
  <c r="C58" i="28"/>
  <c r="E58" i="28"/>
  <c r="G58" i="28"/>
  <c r="I58" i="28"/>
  <c r="K58" i="28"/>
  <c r="M58" i="28"/>
  <c r="O58" i="28"/>
  <c r="Q58" i="28"/>
  <c r="S58" i="28"/>
  <c r="U58" i="28"/>
  <c r="W58" i="28"/>
  <c r="Y58" i="28"/>
  <c r="AA58" i="28"/>
  <c r="AC58" i="28"/>
  <c r="C59" i="28"/>
  <c r="E59" i="28"/>
  <c r="G59" i="28"/>
  <c r="I59" i="28"/>
  <c r="K59" i="28"/>
  <c r="M59" i="28"/>
  <c r="O59" i="28"/>
  <c r="Q59" i="28"/>
  <c r="S59" i="28"/>
  <c r="U59" i="28"/>
  <c r="W59" i="28"/>
  <c r="Y59" i="28"/>
  <c r="AA59" i="28"/>
  <c r="AC59" i="28"/>
  <c r="C60" i="28"/>
  <c r="E60" i="28"/>
  <c r="G60" i="28"/>
  <c r="I60" i="28"/>
  <c r="K60" i="28"/>
  <c r="M60" i="28"/>
  <c r="O60" i="28"/>
  <c r="Q60" i="28"/>
  <c r="S60" i="28"/>
  <c r="U60" i="28"/>
  <c r="W60" i="28"/>
  <c r="Y60" i="28"/>
  <c r="AA60" i="28"/>
  <c r="AC60" i="28"/>
  <c r="C61" i="28"/>
  <c r="E61" i="28"/>
  <c r="G61" i="28"/>
  <c r="I61" i="28"/>
  <c r="K61" i="28"/>
  <c r="M61" i="28"/>
  <c r="O61" i="28"/>
  <c r="Q61" i="28"/>
  <c r="S61" i="28"/>
  <c r="U61" i="28"/>
  <c r="W61" i="28"/>
  <c r="Y61" i="28"/>
  <c r="AA61" i="28"/>
  <c r="AC61" i="28"/>
  <c r="C62" i="28"/>
  <c r="E62" i="28"/>
  <c r="G62" i="28"/>
  <c r="I62" i="28"/>
  <c r="K62" i="28"/>
  <c r="M62" i="28"/>
  <c r="O62" i="28"/>
  <c r="Q62" i="28"/>
  <c r="S62" i="28"/>
  <c r="U62" i="28"/>
  <c r="W62" i="28"/>
  <c r="Y62" i="28"/>
  <c r="AA62" i="28"/>
  <c r="AC62" i="28"/>
  <c r="C63" i="28"/>
  <c r="E63" i="28"/>
  <c r="G63" i="28"/>
  <c r="I63" i="28"/>
  <c r="K63" i="28"/>
  <c r="M63" i="28"/>
  <c r="O63" i="28"/>
  <c r="Q63" i="28"/>
  <c r="S63" i="28"/>
  <c r="U63" i="28"/>
  <c r="W63" i="28"/>
  <c r="Y63" i="28"/>
  <c r="AA63" i="28"/>
  <c r="AC63" i="28"/>
  <c r="C64" i="28"/>
  <c r="E64" i="28"/>
  <c r="G64" i="28"/>
  <c r="I64" i="28"/>
  <c r="K64" i="28"/>
  <c r="M64" i="28"/>
  <c r="O64" i="28"/>
  <c r="Q64" i="28"/>
  <c r="S64" i="28"/>
  <c r="U64" i="28"/>
  <c r="W64" i="28"/>
  <c r="Y64" i="28"/>
  <c r="AA64" i="28"/>
  <c r="AC64" i="28"/>
  <c r="C65" i="28"/>
  <c r="E65" i="28"/>
  <c r="G65" i="28"/>
  <c r="I65" i="28"/>
  <c r="K65" i="28"/>
  <c r="M65" i="28"/>
  <c r="O65" i="28"/>
  <c r="Q65" i="28"/>
  <c r="S65" i="28"/>
  <c r="U65" i="28"/>
  <c r="W65" i="28"/>
  <c r="Y65" i="28"/>
  <c r="AA65" i="28"/>
  <c r="AC65" i="28"/>
  <c r="C66" i="28"/>
  <c r="E66" i="28"/>
  <c r="G66" i="28"/>
  <c r="I66" i="28"/>
  <c r="K66" i="28"/>
  <c r="M66" i="28"/>
  <c r="O66" i="28"/>
  <c r="Q66" i="28"/>
  <c r="S66" i="28"/>
  <c r="U66" i="28"/>
  <c r="W66" i="28"/>
  <c r="Y66" i="28"/>
  <c r="AA66" i="28"/>
  <c r="AC66" i="28"/>
  <c r="C67" i="28"/>
  <c r="E67" i="28"/>
  <c r="G67" i="28"/>
  <c r="I67" i="28"/>
  <c r="K67" i="28"/>
  <c r="M67" i="28"/>
  <c r="O67" i="28"/>
  <c r="Q67" i="28"/>
  <c r="S67" i="28"/>
  <c r="U67" i="28"/>
  <c r="W67" i="28"/>
  <c r="Y67" i="28"/>
  <c r="AA67" i="28"/>
  <c r="AC67" i="28"/>
  <c r="C68" i="28"/>
  <c r="E68" i="28"/>
  <c r="G68" i="28"/>
  <c r="I68" i="28"/>
  <c r="K68" i="28"/>
  <c r="M68" i="28"/>
  <c r="O68" i="28"/>
  <c r="Q68" i="28"/>
  <c r="S68" i="28"/>
  <c r="U68" i="28"/>
  <c r="W68" i="28"/>
  <c r="Y68" i="28"/>
  <c r="AA68" i="28"/>
  <c r="AC68" i="28"/>
  <c r="C69" i="28"/>
  <c r="E69" i="28"/>
  <c r="G69" i="28"/>
  <c r="I69" i="28"/>
  <c r="K69" i="28"/>
  <c r="M69" i="28"/>
  <c r="O69" i="28"/>
  <c r="Q69" i="28"/>
  <c r="S69" i="28"/>
  <c r="U69" i="28"/>
  <c r="W69" i="28"/>
  <c r="Y69" i="28"/>
  <c r="AA69" i="28"/>
  <c r="AC69" i="28"/>
  <c r="C70" i="28"/>
  <c r="E70" i="28"/>
  <c r="G70" i="28"/>
  <c r="I70" i="28"/>
  <c r="K70" i="28"/>
  <c r="M70" i="28"/>
  <c r="O70" i="28"/>
  <c r="Q70" i="28"/>
  <c r="S70" i="28"/>
  <c r="U70" i="28"/>
  <c r="W70" i="28"/>
  <c r="Y70" i="28"/>
  <c r="AA70" i="28"/>
  <c r="AC70" i="28"/>
  <c r="C71" i="28"/>
  <c r="E71" i="28"/>
  <c r="G71" i="28"/>
  <c r="I71" i="28"/>
  <c r="K71" i="28"/>
  <c r="M71" i="28"/>
  <c r="O71" i="28"/>
  <c r="Q71" i="28"/>
  <c r="S71" i="28"/>
  <c r="U71" i="28"/>
  <c r="W71" i="28"/>
  <c r="Y71" i="28"/>
  <c r="AA71" i="28"/>
  <c r="AC71" i="28"/>
  <c r="C72" i="28"/>
  <c r="E72" i="28"/>
  <c r="G72" i="28"/>
  <c r="I72" i="28"/>
  <c r="K72" i="28"/>
  <c r="M72" i="28"/>
  <c r="O72" i="28"/>
  <c r="Q72" i="28"/>
  <c r="S72" i="28"/>
  <c r="U72" i="28"/>
  <c r="W72" i="28"/>
  <c r="Y72" i="28"/>
  <c r="AA72" i="28"/>
  <c r="AC72" i="28"/>
  <c r="C73" i="28"/>
  <c r="E73" i="28"/>
  <c r="G73" i="28"/>
  <c r="I73" i="28"/>
  <c r="K73" i="28"/>
  <c r="M73" i="28"/>
  <c r="O73" i="28"/>
  <c r="Q73" i="28"/>
  <c r="S73" i="28"/>
  <c r="U73" i="28"/>
  <c r="W73" i="28"/>
  <c r="Y73" i="28"/>
  <c r="AA73" i="28"/>
  <c r="AC73" i="28"/>
  <c r="C74" i="28"/>
  <c r="E74" i="28"/>
  <c r="G74" i="28"/>
  <c r="I74" i="28"/>
  <c r="K74" i="28"/>
  <c r="M74" i="28"/>
  <c r="O74" i="28"/>
  <c r="Q74" i="28"/>
  <c r="S74" i="28"/>
  <c r="U74" i="28"/>
  <c r="W74" i="28"/>
  <c r="Y74" i="28"/>
  <c r="AA74" i="28"/>
  <c r="AC74" i="28"/>
  <c r="C75" i="28"/>
  <c r="E75" i="28"/>
  <c r="G75" i="28"/>
  <c r="I75" i="28"/>
  <c r="K75" i="28"/>
  <c r="M75" i="28"/>
  <c r="O75" i="28"/>
  <c r="Q75" i="28"/>
  <c r="S75" i="28"/>
  <c r="U75" i="28"/>
  <c r="W75" i="28"/>
  <c r="Y75" i="28"/>
  <c r="AA75" i="28"/>
  <c r="AC75" i="28"/>
  <c r="C76" i="28"/>
  <c r="E76" i="28"/>
  <c r="G76" i="28"/>
  <c r="I76" i="28"/>
  <c r="K76" i="28"/>
  <c r="M76" i="28"/>
  <c r="O76" i="28"/>
  <c r="Q76" i="28"/>
  <c r="S76" i="28"/>
  <c r="U76" i="28"/>
  <c r="W76" i="28"/>
  <c r="Y76" i="28"/>
  <c r="AA76" i="28"/>
  <c r="AC76" i="28"/>
  <c r="C77" i="28"/>
  <c r="E77" i="28"/>
  <c r="G77" i="28"/>
  <c r="I77" i="28"/>
  <c r="K77" i="28"/>
  <c r="M77" i="28"/>
  <c r="O77" i="28"/>
  <c r="Q77" i="28"/>
  <c r="S77" i="28"/>
  <c r="U77" i="28"/>
  <c r="W77" i="28"/>
  <c r="Y77" i="28"/>
  <c r="AA77" i="28"/>
  <c r="AC77" i="28"/>
  <c r="C78" i="28"/>
  <c r="E78" i="28"/>
  <c r="G78" i="28"/>
  <c r="I78" i="28"/>
  <c r="K78" i="28"/>
  <c r="M78" i="28"/>
  <c r="O78" i="28"/>
  <c r="Q78" i="28"/>
  <c r="S78" i="28"/>
  <c r="U78" i="28"/>
  <c r="W78" i="28"/>
  <c r="Y78" i="28"/>
  <c r="AA78" i="28"/>
  <c r="AC78" i="28"/>
  <c r="C79" i="28"/>
  <c r="E79" i="28"/>
  <c r="G79" i="28"/>
  <c r="I79" i="28"/>
  <c r="K79" i="28"/>
  <c r="M79" i="28"/>
  <c r="O79" i="28"/>
  <c r="Q79" i="28"/>
  <c r="S79" i="28"/>
  <c r="U79" i="28"/>
  <c r="W79" i="28"/>
  <c r="Y79" i="28"/>
  <c r="AA79" i="28"/>
  <c r="AC79" i="28"/>
  <c r="AD79" i="28"/>
  <c r="AH79" i="28"/>
  <c r="C80" i="28"/>
  <c r="E80" i="28"/>
  <c r="G80" i="28"/>
  <c r="I80" i="28"/>
  <c r="K80" i="28"/>
  <c r="M80" i="28"/>
  <c r="O80" i="28"/>
  <c r="Q80" i="28"/>
  <c r="S80" i="28"/>
  <c r="U80" i="28"/>
  <c r="W80" i="28"/>
  <c r="Y80" i="28"/>
  <c r="AA80" i="28"/>
  <c r="AC80" i="28"/>
  <c r="C81" i="28"/>
  <c r="E81" i="28"/>
  <c r="G81" i="28"/>
  <c r="I81" i="28"/>
  <c r="K81" i="28"/>
  <c r="M81" i="28"/>
  <c r="O81" i="28"/>
  <c r="Q81" i="28"/>
  <c r="S81" i="28"/>
  <c r="U81" i="28"/>
  <c r="W81" i="28"/>
  <c r="Y81" i="28"/>
  <c r="AA81" i="28"/>
  <c r="AC81" i="28"/>
  <c r="C82" i="28"/>
  <c r="E82" i="28"/>
  <c r="G82" i="28"/>
  <c r="I82" i="28"/>
  <c r="K82" i="28"/>
  <c r="M82" i="28"/>
  <c r="O82" i="28"/>
  <c r="Q82" i="28"/>
  <c r="S82" i="28"/>
  <c r="U82" i="28"/>
  <c r="W82" i="28"/>
  <c r="Y82" i="28"/>
  <c r="AA82" i="28"/>
  <c r="AC82" i="28"/>
  <c r="C83" i="28"/>
  <c r="E83" i="28"/>
  <c r="G83" i="28"/>
  <c r="I83" i="28"/>
  <c r="K83" i="28"/>
  <c r="M83" i="28"/>
  <c r="O83" i="28"/>
  <c r="Q83" i="28"/>
  <c r="S83" i="28"/>
  <c r="U83" i="28"/>
  <c r="W83" i="28"/>
  <c r="Y83" i="28"/>
  <c r="AA83" i="28"/>
  <c r="AC83" i="28"/>
  <c r="C84" i="28"/>
  <c r="E84" i="28"/>
  <c r="G84" i="28"/>
  <c r="I84" i="28"/>
  <c r="K84" i="28"/>
  <c r="M84" i="28"/>
  <c r="O84" i="28"/>
  <c r="Q84" i="28"/>
  <c r="S84" i="28"/>
  <c r="U84" i="28"/>
  <c r="W84" i="28"/>
  <c r="Y84" i="28"/>
  <c r="AA84" i="28"/>
  <c r="AC84" i="28"/>
  <c r="C85" i="28"/>
  <c r="E85" i="28"/>
  <c r="G85" i="28"/>
  <c r="I85" i="28"/>
  <c r="K85" i="28"/>
  <c r="M85" i="28"/>
  <c r="O85" i="28"/>
  <c r="Q85" i="28"/>
  <c r="S85" i="28"/>
  <c r="U85" i="28"/>
  <c r="W85" i="28"/>
  <c r="Y85" i="28"/>
  <c r="AA85" i="28"/>
  <c r="AC85" i="28"/>
  <c r="C86" i="28"/>
  <c r="E86" i="28"/>
  <c r="G86" i="28"/>
  <c r="I86" i="28"/>
  <c r="K86" i="28"/>
  <c r="M86" i="28"/>
  <c r="O86" i="28"/>
  <c r="Q86" i="28"/>
  <c r="S86" i="28"/>
  <c r="U86" i="28"/>
  <c r="W86" i="28"/>
  <c r="Y86" i="28"/>
  <c r="AA86" i="28"/>
  <c r="AC86" i="28"/>
  <c r="C87" i="28"/>
  <c r="E87" i="28"/>
  <c r="G87" i="28"/>
  <c r="I87" i="28"/>
  <c r="K87" i="28"/>
  <c r="M87" i="28"/>
  <c r="O87" i="28"/>
  <c r="Q87" i="28"/>
  <c r="S87" i="28"/>
  <c r="U87" i="28"/>
  <c r="W87" i="28"/>
  <c r="Y87" i="28"/>
  <c r="AA87" i="28"/>
  <c r="AC87" i="28"/>
  <c r="C88" i="28"/>
  <c r="E88" i="28"/>
  <c r="G88" i="28"/>
  <c r="I88" i="28"/>
  <c r="K88" i="28"/>
  <c r="M88" i="28"/>
  <c r="O88" i="28"/>
  <c r="Q88" i="28"/>
  <c r="S88" i="28"/>
  <c r="U88" i="28"/>
  <c r="W88" i="28"/>
  <c r="Y88" i="28"/>
  <c r="AA88" i="28"/>
  <c r="AC88" i="28"/>
  <c r="C89" i="28"/>
  <c r="E89" i="28"/>
  <c r="G89" i="28"/>
  <c r="I89" i="28"/>
  <c r="K89" i="28"/>
  <c r="M89" i="28"/>
  <c r="O89" i="28"/>
  <c r="Q89" i="28"/>
  <c r="S89" i="28"/>
  <c r="U89" i="28"/>
  <c r="W89" i="28"/>
  <c r="Y89" i="28"/>
  <c r="AA89" i="28"/>
  <c r="AC89" i="28"/>
  <c r="C90" i="28"/>
  <c r="E90" i="28"/>
  <c r="G90" i="28"/>
  <c r="I90" i="28"/>
  <c r="K90" i="28"/>
  <c r="M90" i="28"/>
  <c r="O90" i="28"/>
  <c r="Q90" i="28"/>
  <c r="S90" i="28"/>
  <c r="U90" i="28"/>
  <c r="W90" i="28"/>
  <c r="Y90" i="28"/>
  <c r="AA90" i="28"/>
  <c r="AC90" i="28"/>
  <c r="C91" i="28"/>
  <c r="E91" i="28"/>
  <c r="G91" i="28"/>
  <c r="I91" i="28"/>
  <c r="K91" i="28"/>
  <c r="M91" i="28"/>
  <c r="O91" i="28"/>
  <c r="Q91" i="28"/>
  <c r="S91" i="28"/>
  <c r="U91" i="28"/>
  <c r="W91" i="28"/>
  <c r="Y91" i="28"/>
  <c r="AA91" i="28"/>
  <c r="AC91" i="28"/>
  <c r="C92" i="28"/>
  <c r="E92" i="28"/>
  <c r="G92" i="28"/>
  <c r="I92" i="28"/>
  <c r="K92" i="28"/>
  <c r="M92" i="28"/>
  <c r="O92" i="28"/>
  <c r="Q92" i="28"/>
  <c r="S92" i="28"/>
  <c r="U92" i="28"/>
  <c r="W92" i="28"/>
  <c r="Y92" i="28"/>
  <c r="AA92" i="28"/>
  <c r="AC92" i="28"/>
  <c r="C93" i="28"/>
  <c r="E93" i="28"/>
  <c r="G93" i="28"/>
  <c r="I93" i="28"/>
  <c r="K93" i="28"/>
  <c r="M93" i="28"/>
  <c r="O93" i="28"/>
  <c r="Q93" i="28"/>
  <c r="S93" i="28"/>
  <c r="U93" i="28"/>
  <c r="W93" i="28"/>
  <c r="Y93" i="28"/>
  <c r="AA93" i="28"/>
  <c r="AC93" i="28"/>
  <c r="C94" i="28"/>
  <c r="E94" i="28"/>
  <c r="G94" i="28"/>
  <c r="I94" i="28"/>
  <c r="K94" i="28"/>
  <c r="M94" i="28"/>
  <c r="O94" i="28"/>
  <c r="Q94" i="28"/>
  <c r="S94" i="28"/>
  <c r="U94" i="28"/>
  <c r="W94" i="28"/>
  <c r="Y94" i="28"/>
  <c r="AA94" i="28"/>
  <c r="AC94" i="28"/>
  <c r="C95" i="28"/>
  <c r="E95" i="28"/>
  <c r="G95" i="28"/>
  <c r="I95" i="28"/>
  <c r="K95" i="28"/>
  <c r="M95" i="28"/>
  <c r="O95" i="28"/>
  <c r="Q95" i="28"/>
  <c r="S95" i="28"/>
  <c r="U95" i="28"/>
  <c r="W95" i="28"/>
  <c r="Y95" i="28"/>
  <c r="AA95" i="28"/>
  <c r="AC95" i="28"/>
  <c r="C96" i="28"/>
  <c r="E96" i="28"/>
  <c r="G96" i="28"/>
  <c r="I96" i="28"/>
  <c r="K96" i="28"/>
  <c r="M96" i="28"/>
  <c r="O96" i="28"/>
  <c r="Q96" i="28"/>
  <c r="S96" i="28"/>
  <c r="U96" i="28"/>
  <c r="W96" i="28"/>
  <c r="Y96" i="28"/>
  <c r="AA96" i="28"/>
  <c r="AC96" i="28"/>
  <c r="C97" i="28"/>
  <c r="E97" i="28"/>
  <c r="G97" i="28"/>
  <c r="I97" i="28"/>
  <c r="K97" i="28"/>
  <c r="M97" i="28"/>
  <c r="O97" i="28"/>
  <c r="Q97" i="28"/>
  <c r="S97" i="28"/>
  <c r="U97" i="28"/>
  <c r="W97" i="28"/>
  <c r="Y97" i="28"/>
  <c r="AA97" i="28"/>
  <c r="AC97" i="28"/>
  <c r="C98" i="28"/>
  <c r="E98" i="28"/>
  <c r="G98" i="28"/>
  <c r="I98" i="28"/>
  <c r="K98" i="28"/>
  <c r="M98" i="28"/>
  <c r="O98" i="28"/>
  <c r="Q98" i="28"/>
  <c r="S98" i="28"/>
  <c r="U98" i="28"/>
  <c r="W98" i="28"/>
  <c r="Y98" i="28"/>
  <c r="AA98" i="28"/>
  <c r="AC98" i="28"/>
  <c r="C99" i="28"/>
  <c r="E99" i="28"/>
  <c r="G99" i="28"/>
  <c r="I99" i="28"/>
  <c r="K99" i="28"/>
  <c r="M99" i="28"/>
  <c r="O99" i="28"/>
  <c r="Q99" i="28"/>
  <c r="S99" i="28"/>
  <c r="U99" i="28"/>
  <c r="W99" i="28"/>
  <c r="Y99" i="28"/>
  <c r="AA99" i="28"/>
  <c r="AC99" i="28"/>
  <c r="C100" i="28"/>
  <c r="E100" i="28"/>
  <c r="G100" i="28"/>
  <c r="I100" i="28"/>
  <c r="K100" i="28"/>
  <c r="M100" i="28"/>
  <c r="O100" i="28"/>
  <c r="Q100" i="28"/>
  <c r="S100" i="28"/>
  <c r="U100" i="28"/>
  <c r="W100" i="28"/>
  <c r="Y100" i="28"/>
  <c r="AA100" i="28"/>
  <c r="AC100" i="28"/>
  <c r="C101" i="28"/>
  <c r="E101" i="28"/>
  <c r="G101" i="28"/>
  <c r="I101" i="28"/>
  <c r="K101" i="28"/>
  <c r="M101" i="28"/>
  <c r="O101" i="28"/>
  <c r="Q101" i="28"/>
  <c r="S101" i="28"/>
  <c r="U101" i="28"/>
  <c r="W101" i="28"/>
  <c r="Y101" i="28"/>
  <c r="AA101" i="28"/>
  <c r="AC101" i="28"/>
  <c r="C102" i="28"/>
  <c r="E102" i="28"/>
  <c r="G102" i="28"/>
  <c r="I102" i="28"/>
  <c r="K102" i="28"/>
  <c r="M102" i="28"/>
  <c r="O102" i="28"/>
  <c r="Q102" i="28"/>
  <c r="S102" i="28"/>
  <c r="U102" i="28"/>
  <c r="W102" i="28"/>
  <c r="Y102" i="28"/>
  <c r="AA102" i="28"/>
  <c r="AC102" i="28"/>
  <c r="C103" i="28"/>
  <c r="E103" i="28"/>
  <c r="G103" i="28"/>
  <c r="I103" i="28"/>
  <c r="K103" i="28"/>
  <c r="M103" i="28"/>
  <c r="O103" i="28"/>
  <c r="Q103" i="28"/>
  <c r="S103" i="28"/>
  <c r="U103" i="28"/>
  <c r="W103" i="28"/>
  <c r="Y103" i="28"/>
  <c r="AA103" i="28"/>
  <c r="AC103" i="28"/>
  <c r="C104" i="28"/>
  <c r="E104" i="28"/>
  <c r="G104" i="28"/>
  <c r="I104" i="28"/>
  <c r="K104" i="28"/>
  <c r="M104" i="28"/>
  <c r="O104" i="28"/>
  <c r="Q104" i="28"/>
  <c r="S104" i="28"/>
  <c r="U104" i="28"/>
  <c r="W104" i="28"/>
  <c r="Y104" i="28"/>
  <c r="AA104" i="28"/>
  <c r="AC104" i="28"/>
  <c r="C105" i="28"/>
  <c r="E105" i="28"/>
  <c r="G105" i="28"/>
  <c r="I105" i="28"/>
  <c r="K105" i="28"/>
  <c r="M105" i="28"/>
  <c r="O105" i="28"/>
  <c r="Q105" i="28"/>
  <c r="S105" i="28"/>
  <c r="U105" i="28"/>
  <c r="W105" i="28"/>
  <c r="Y105" i="28"/>
  <c r="AA105" i="28"/>
  <c r="AC105" i="28"/>
  <c r="C106" i="28"/>
  <c r="E106" i="28"/>
  <c r="G106" i="28"/>
  <c r="I106" i="28"/>
  <c r="K106" i="28"/>
  <c r="M106" i="28"/>
  <c r="O106" i="28"/>
  <c r="Q106" i="28"/>
  <c r="S106" i="28"/>
  <c r="U106" i="28"/>
  <c r="W106" i="28"/>
  <c r="Y106" i="28"/>
  <c r="AA106" i="28"/>
  <c r="AC106" i="28"/>
  <c r="C107" i="28"/>
  <c r="E107" i="28"/>
  <c r="G107" i="28"/>
  <c r="I107" i="28"/>
  <c r="K107" i="28"/>
  <c r="M107" i="28"/>
  <c r="O107" i="28"/>
  <c r="Q107" i="28"/>
  <c r="S107" i="28"/>
  <c r="U107" i="28"/>
  <c r="W107" i="28"/>
  <c r="Y107" i="28"/>
  <c r="AA107" i="28"/>
  <c r="AC107" i="28"/>
  <c r="C108" i="28"/>
  <c r="E108" i="28"/>
  <c r="G108" i="28"/>
  <c r="I108" i="28"/>
  <c r="K108" i="28"/>
  <c r="M108" i="28"/>
  <c r="O108" i="28"/>
  <c r="Q108" i="28"/>
  <c r="S108" i="28"/>
  <c r="U108" i="28"/>
  <c r="W108" i="28"/>
  <c r="Y108" i="28"/>
  <c r="AA108" i="28"/>
  <c r="AC108" i="28"/>
  <c r="C109" i="28"/>
  <c r="E109" i="28"/>
  <c r="G109" i="28"/>
  <c r="I109" i="28"/>
  <c r="K109" i="28"/>
  <c r="M109" i="28"/>
  <c r="O109" i="28"/>
  <c r="Q109" i="28"/>
  <c r="S109" i="28"/>
  <c r="U109" i="28"/>
  <c r="W109" i="28"/>
  <c r="Y109" i="28"/>
  <c r="AA109" i="28"/>
  <c r="AC109" i="28"/>
  <c r="C110" i="28"/>
  <c r="E110" i="28"/>
  <c r="G110" i="28"/>
  <c r="I110" i="28"/>
  <c r="K110" i="28"/>
  <c r="M110" i="28"/>
  <c r="O110" i="28"/>
  <c r="Q110" i="28"/>
  <c r="S110" i="28"/>
  <c r="U110" i="28"/>
  <c r="W110" i="28"/>
  <c r="Y110" i="28"/>
  <c r="AA110" i="28"/>
  <c r="AC110" i="28"/>
  <c r="C111" i="28"/>
  <c r="E111" i="28"/>
  <c r="G111" i="28"/>
  <c r="I111" i="28"/>
  <c r="K111" i="28"/>
  <c r="M111" i="28"/>
  <c r="O111" i="28"/>
  <c r="Q111" i="28"/>
  <c r="S111" i="28"/>
  <c r="U111" i="28"/>
  <c r="W111" i="28"/>
  <c r="Y111" i="28"/>
  <c r="AA111" i="28"/>
  <c r="AC111" i="28"/>
  <c r="C112" i="28"/>
  <c r="E112" i="28"/>
  <c r="G112" i="28"/>
  <c r="I112" i="28"/>
  <c r="K112" i="28"/>
  <c r="M112" i="28"/>
  <c r="O112" i="28"/>
  <c r="Q112" i="28"/>
  <c r="S112" i="28"/>
  <c r="U112" i="28"/>
  <c r="W112" i="28"/>
  <c r="Y112" i="28"/>
  <c r="AA112" i="28"/>
  <c r="AC112" i="28"/>
  <c r="C113" i="28"/>
  <c r="E113" i="28"/>
  <c r="G113" i="28"/>
  <c r="I113" i="28"/>
  <c r="K113" i="28"/>
  <c r="M113" i="28"/>
  <c r="O113" i="28"/>
  <c r="Q113" i="28"/>
  <c r="S113" i="28"/>
  <c r="U113" i="28"/>
  <c r="W113" i="28"/>
  <c r="Y113" i="28"/>
  <c r="AA113" i="28"/>
  <c r="AC113" i="28"/>
  <c r="C114" i="28"/>
  <c r="E114" i="28"/>
  <c r="G114" i="28"/>
  <c r="I114" i="28"/>
  <c r="K114" i="28"/>
  <c r="M114" i="28"/>
  <c r="O114" i="28"/>
  <c r="S114" i="28"/>
  <c r="U114" i="28"/>
  <c r="W114" i="28"/>
  <c r="Y114" i="28"/>
  <c r="AA114" i="28"/>
  <c r="AC114" i="28"/>
  <c r="AD114" i="28"/>
  <c r="AH114" i="28"/>
  <c r="C115" i="28"/>
  <c r="E115" i="28"/>
  <c r="G115" i="28"/>
  <c r="I115" i="28"/>
  <c r="K115" i="28"/>
  <c r="M115" i="28"/>
  <c r="O115" i="28"/>
  <c r="S115" i="28"/>
  <c r="U115" i="28"/>
  <c r="W115" i="28"/>
  <c r="Y115" i="28"/>
  <c r="AA115" i="28"/>
  <c r="AC115" i="28"/>
  <c r="C116" i="28"/>
  <c r="E116" i="28"/>
  <c r="G116" i="28"/>
  <c r="I116" i="28"/>
  <c r="K116" i="28"/>
  <c r="M116" i="28"/>
  <c r="O116" i="28"/>
  <c r="S116" i="28"/>
  <c r="U116" i="28"/>
  <c r="W116" i="28"/>
  <c r="Y116" i="28"/>
  <c r="AA116" i="28"/>
  <c r="AC116" i="28"/>
  <c r="C117" i="28"/>
  <c r="E117" i="28"/>
  <c r="G117" i="28"/>
  <c r="I117" i="28"/>
  <c r="K117" i="28"/>
  <c r="M117" i="28"/>
  <c r="O117" i="28"/>
  <c r="S117" i="28"/>
  <c r="U117" i="28"/>
  <c r="W117" i="28"/>
  <c r="Y117" i="28"/>
  <c r="AA117" i="28"/>
  <c r="AC117" i="28"/>
  <c r="C118" i="28"/>
  <c r="E118" i="28"/>
  <c r="G118" i="28"/>
  <c r="I118" i="28"/>
  <c r="K118" i="28"/>
  <c r="M118" i="28"/>
  <c r="O118" i="28"/>
  <c r="S118" i="28"/>
  <c r="U118" i="28"/>
  <c r="W118" i="28"/>
  <c r="Y118" i="28"/>
  <c r="AA118" i="28"/>
  <c r="AC118" i="28"/>
  <c r="C119" i="28"/>
  <c r="E119" i="28"/>
  <c r="G119" i="28"/>
  <c r="I119" i="28"/>
  <c r="K119" i="28"/>
  <c r="M119" i="28"/>
  <c r="O119" i="28"/>
  <c r="S119" i="28"/>
  <c r="U119" i="28"/>
  <c r="W119" i="28"/>
  <c r="Y119" i="28"/>
  <c r="AA119" i="28"/>
  <c r="AC119" i="28"/>
  <c r="C120" i="28"/>
  <c r="E120" i="28"/>
  <c r="G120" i="28"/>
  <c r="I120" i="28"/>
  <c r="K120" i="28"/>
  <c r="M120" i="28"/>
  <c r="O120" i="28"/>
  <c r="S120" i="28"/>
  <c r="U120" i="28"/>
  <c r="W120" i="28"/>
  <c r="Y120" i="28"/>
  <c r="AA120" i="28"/>
  <c r="AC120" i="28"/>
  <c r="C121" i="28"/>
  <c r="E121" i="28"/>
  <c r="G121" i="28"/>
  <c r="I121" i="28"/>
  <c r="K121" i="28"/>
  <c r="M121" i="28"/>
  <c r="O121" i="28"/>
  <c r="S121" i="28"/>
  <c r="U121" i="28"/>
  <c r="W121" i="28"/>
  <c r="Y121" i="28"/>
  <c r="AA121" i="28"/>
  <c r="AC121" i="28"/>
  <c r="C122" i="28"/>
  <c r="E122" i="28"/>
  <c r="G122" i="28"/>
  <c r="I122" i="28"/>
  <c r="K122" i="28"/>
  <c r="M122" i="28"/>
  <c r="O122" i="28"/>
  <c r="S122" i="28"/>
  <c r="U122" i="28"/>
  <c r="W122" i="28"/>
  <c r="Y122" i="28"/>
  <c r="AA122" i="28"/>
  <c r="AC122" i="28"/>
  <c r="C123" i="28"/>
  <c r="E123" i="28"/>
  <c r="G123" i="28"/>
  <c r="I123" i="28"/>
  <c r="K123" i="28"/>
  <c r="M123" i="28"/>
  <c r="O123" i="28"/>
  <c r="S123" i="28"/>
  <c r="U123" i="28"/>
  <c r="W123" i="28"/>
  <c r="Y123" i="28"/>
  <c r="AA123" i="28"/>
  <c r="AC123" i="28"/>
  <c r="C124" i="28"/>
  <c r="E124" i="28"/>
  <c r="G124" i="28"/>
  <c r="I124" i="28"/>
  <c r="K124" i="28"/>
  <c r="M124" i="28"/>
  <c r="O124" i="28"/>
  <c r="S124" i="28"/>
  <c r="U124" i="28"/>
  <c r="W124" i="28"/>
  <c r="Y124" i="28"/>
  <c r="AA124" i="28"/>
  <c r="AC124" i="28"/>
  <c r="C125" i="28"/>
  <c r="E125" i="28"/>
  <c r="G125" i="28"/>
  <c r="I125" i="28"/>
  <c r="K125" i="28"/>
  <c r="M125" i="28"/>
  <c r="O125" i="28"/>
  <c r="S125" i="28"/>
  <c r="U125" i="28"/>
  <c r="W125" i="28"/>
  <c r="Y125" i="28"/>
  <c r="AA125" i="28"/>
  <c r="AC125" i="28"/>
  <c r="C126" i="28"/>
  <c r="E126" i="28"/>
  <c r="G126" i="28"/>
  <c r="I126" i="28"/>
  <c r="K126" i="28"/>
  <c r="M126" i="28"/>
  <c r="O126" i="28"/>
  <c r="S126" i="28"/>
  <c r="U126" i="28"/>
  <c r="W126" i="28"/>
  <c r="Y126" i="28"/>
  <c r="AA126" i="28"/>
  <c r="AC126" i="28"/>
  <c r="C127" i="28"/>
  <c r="E127" i="28"/>
  <c r="G127" i="28"/>
  <c r="I127" i="28"/>
  <c r="K127" i="28"/>
  <c r="M127" i="28"/>
  <c r="O127" i="28"/>
  <c r="S127" i="28"/>
  <c r="U127" i="28"/>
  <c r="W127" i="28"/>
  <c r="Y127" i="28"/>
  <c r="AA127" i="28"/>
  <c r="AC127" i="28"/>
  <c r="C128" i="28"/>
  <c r="E128" i="28"/>
  <c r="G128" i="28"/>
  <c r="I128" i="28"/>
  <c r="K128" i="28"/>
  <c r="M128" i="28"/>
  <c r="O128" i="28"/>
  <c r="S128" i="28"/>
  <c r="U128" i="28"/>
  <c r="W128" i="28"/>
  <c r="Y128" i="28"/>
  <c r="AA128" i="28"/>
  <c r="AC128" i="28"/>
  <c r="C129" i="28"/>
  <c r="E129" i="28"/>
  <c r="G129" i="28"/>
  <c r="I129" i="28"/>
  <c r="K129" i="28"/>
  <c r="M129" i="28"/>
  <c r="O129" i="28"/>
  <c r="S129" i="28"/>
  <c r="U129" i="28"/>
  <c r="W129" i="28"/>
  <c r="Y129" i="28"/>
  <c r="AA129" i="28"/>
  <c r="AC129" i="28"/>
  <c r="C130" i="28"/>
  <c r="E130" i="28"/>
  <c r="G130" i="28"/>
  <c r="I130" i="28"/>
  <c r="K130" i="28"/>
  <c r="M130" i="28"/>
  <c r="O130" i="28"/>
  <c r="S130" i="28"/>
  <c r="U130" i="28"/>
  <c r="W130" i="28"/>
  <c r="Y130" i="28"/>
  <c r="AA130" i="28"/>
  <c r="AC130" i="28"/>
  <c r="C131" i="28"/>
  <c r="E131" i="28"/>
  <c r="G131" i="28"/>
  <c r="I131" i="28"/>
  <c r="K131" i="28"/>
  <c r="M131" i="28"/>
  <c r="O131" i="28"/>
  <c r="S131" i="28"/>
  <c r="U131" i="28"/>
  <c r="W131" i="28"/>
  <c r="Y131" i="28"/>
  <c r="AA131" i="28"/>
  <c r="AC131" i="28"/>
  <c r="C132" i="28"/>
  <c r="E132" i="28"/>
  <c r="G132" i="28"/>
  <c r="I132" i="28"/>
  <c r="K132" i="28"/>
  <c r="M132" i="28"/>
  <c r="O132" i="28"/>
  <c r="S132" i="28"/>
  <c r="U132" i="28"/>
  <c r="W132" i="28"/>
  <c r="Y132" i="28"/>
  <c r="AA132" i="28"/>
  <c r="AC132" i="28"/>
  <c r="C133" i="28"/>
  <c r="E133" i="28"/>
  <c r="G133" i="28"/>
  <c r="I133" i="28"/>
  <c r="K133" i="28"/>
  <c r="M133" i="28"/>
  <c r="O133" i="28"/>
  <c r="S133" i="28"/>
  <c r="U133" i="28"/>
  <c r="W133" i="28"/>
  <c r="Y133" i="28"/>
  <c r="AA133" i="28"/>
  <c r="AC133" i="28"/>
  <c r="C134" i="28"/>
  <c r="E134" i="28"/>
  <c r="G134" i="28"/>
  <c r="I134" i="28"/>
  <c r="K134" i="28"/>
  <c r="M134" i="28"/>
  <c r="O134" i="28"/>
  <c r="S134" i="28"/>
  <c r="U134" i="28"/>
  <c r="W134" i="28"/>
  <c r="Y134" i="28"/>
  <c r="AA134" i="28"/>
  <c r="AC134" i="28"/>
  <c r="C135" i="28"/>
  <c r="E135" i="28"/>
  <c r="G135" i="28"/>
  <c r="I135" i="28"/>
  <c r="K135" i="28"/>
  <c r="M135" i="28"/>
  <c r="O135" i="28"/>
  <c r="S135" i="28"/>
  <c r="U135" i="28"/>
  <c r="W135" i="28"/>
  <c r="Y135" i="28"/>
  <c r="AA135" i="28"/>
  <c r="AC135" i="28"/>
  <c r="C136" i="28"/>
  <c r="E136" i="28"/>
  <c r="G136" i="28"/>
  <c r="I136" i="28"/>
  <c r="K136" i="28"/>
  <c r="M136" i="28"/>
  <c r="O136" i="28"/>
  <c r="S136" i="28"/>
  <c r="U136" i="28"/>
  <c r="W136" i="28"/>
  <c r="Y136" i="28"/>
  <c r="AA136" i="28"/>
  <c r="AC136" i="28"/>
  <c r="C137" i="28"/>
  <c r="E137" i="28"/>
  <c r="G137" i="28"/>
  <c r="I137" i="28"/>
  <c r="K137" i="28"/>
  <c r="M137" i="28"/>
  <c r="O137" i="28"/>
  <c r="S137" i="28"/>
  <c r="U137" i="28"/>
  <c r="W137" i="28"/>
  <c r="Y137" i="28"/>
  <c r="AA137" i="28"/>
  <c r="AC137" i="28"/>
  <c r="C138" i="28"/>
  <c r="E138" i="28"/>
  <c r="G138" i="28"/>
  <c r="I138" i="28"/>
  <c r="K138" i="28"/>
  <c r="M138" i="28"/>
  <c r="O138" i="28"/>
  <c r="S138" i="28"/>
  <c r="U138" i="28"/>
  <c r="W138" i="28"/>
  <c r="Y138" i="28"/>
  <c r="AA138" i="28"/>
  <c r="AC138" i="28"/>
  <c r="C139" i="28"/>
  <c r="E139" i="28"/>
  <c r="G139" i="28"/>
  <c r="I139" i="28"/>
  <c r="K139" i="28"/>
  <c r="M139" i="28"/>
  <c r="O139" i="28"/>
  <c r="S139" i="28"/>
  <c r="U139" i="28"/>
  <c r="W139" i="28"/>
  <c r="Y139" i="28"/>
  <c r="AA139" i="28"/>
  <c r="AC139" i="28"/>
  <c r="C140" i="28"/>
  <c r="E140" i="28"/>
  <c r="G140" i="28"/>
  <c r="I140" i="28"/>
  <c r="K140" i="28"/>
  <c r="M140" i="28"/>
  <c r="O140" i="28"/>
  <c r="S140" i="28"/>
  <c r="U140" i="28"/>
  <c r="W140" i="28"/>
  <c r="Y140" i="28"/>
  <c r="AA140" i="28"/>
  <c r="AC140" i="28"/>
  <c r="C141" i="28"/>
  <c r="E141" i="28"/>
  <c r="G141" i="28"/>
  <c r="I141" i="28"/>
  <c r="K141" i="28"/>
  <c r="M141" i="28"/>
  <c r="O141" i="28"/>
  <c r="S141" i="28"/>
  <c r="U141" i="28"/>
  <c r="W141" i="28"/>
  <c r="Y141" i="28"/>
  <c r="AA141" i="28"/>
  <c r="AC141" i="28"/>
  <c r="C142" i="28"/>
  <c r="E142" i="28"/>
  <c r="G142" i="28"/>
  <c r="I142" i="28"/>
  <c r="K142" i="28"/>
  <c r="M142" i="28"/>
  <c r="O142" i="28"/>
  <c r="S142" i="28"/>
  <c r="U142" i="28"/>
  <c r="W142" i="28"/>
  <c r="Y142" i="28"/>
  <c r="AA142" i="28"/>
  <c r="AC142" i="28"/>
  <c r="C143" i="28"/>
  <c r="E143" i="28"/>
  <c r="G143" i="28"/>
  <c r="I143" i="28"/>
  <c r="K143" i="28"/>
  <c r="M143" i="28"/>
  <c r="O143" i="28"/>
  <c r="S143" i="28"/>
  <c r="U143" i="28"/>
  <c r="W143" i="28"/>
  <c r="Y143" i="28"/>
  <c r="AA143" i="28"/>
  <c r="AC143" i="28"/>
  <c r="C144" i="28"/>
  <c r="E144" i="28"/>
  <c r="G144" i="28"/>
  <c r="I144" i="28"/>
  <c r="K144" i="28"/>
  <c r="M144" i="28"/>
  <c r="O144" i="28"/>
  <c r="S144" i="28"/>
  <c r="U144" i="28"/>
  <c r="W144" i="28"/>
  <c r="Y144" i="28"/>
  <c r="AA144" i="28"/>
  <c r="AC144" i="28"/>
  <c r="C145" i="28"/>
  <c r="E145" i="28"/>
  <c r="G145" i="28"/>
  <c r="I145" i="28"/>
  <c r="K145" i="28"/>
  <c r="M145" i="28"/>
  <c r="O145" i="28"/>
  <c r="S145" i="28"/>
  <c r="U145" i="28"/>
  <c r="W145" i="28"/>
  <c r="Y145" i="28"/>
  <c r="AA145" i="28"/>
  <c r="AC145" i="28"/>
  <c r="C146" i="28"/>
  <c r="E146" i="28"/>
  <c r="G146" i="28"/>
  <c r="I146" i="28"/>
  <c r="K146" i="28"/>
  <c r="M146" i="28"/>
  <c r="O146" i="28"/>
  <c r="S146" i="28"/>
  <c r="U146" i="28"/>
  <c r="W146" i="28"/>
  <c r="Y146" i="28"/>
  <c r="AA146" i="28"/>
  <c r="AC146" i="28"/>
  <c r="C147" i="28"/>
  <c r="E147" i="28"/>
  <c r="G147" i="28"/>
  <c r="I147" i="28"/>
  <c r="K147" i="28"/>
  <c r="M147" i="28"/>
  <c r="O147" i="28"/>
  <c r="S147" i="28"/>
  <c r="U147" i="28"/>
  <c r="W147" i="28"/>
  <c r="Y147" i="28"/>
  <c r="AA147" i="28"/>
  <c r="AC147" i="28"/>
  <c r="C148" i="28"/>
  <c r="E148" i="28"/>
  <c r="G148" i="28"/>
  <c r="I148" i="28"/>
  <c r="K148" i="28"/>
  <c r="M148" i="28"/>
  <c r="O148" i="28"/>
  <c r="S148" i="28"/>
  <c r="U148" i="28"/>
  <c r="W148" i="28"/>
  <c r="Y148" i="28"/>
  <c r="AA148" i="28"/>
  <c r="AC148" i="28"/>
  <c r="C149" i="28"/>
  <c r="E149" i="28"/>
  <c r="G149" i="28"/>
  <c r="I149" i="28"/>
  <c r="K149" i="28"/>
  <c r="M149" i="28"/>
  <c r="O149" i="28"/>
  <c r="S149" i="28"/>
  <c r="U149" i="28"/>
  <c r="W149" i="28"/>
  <c r="Y149" i="28"/>
  <c r="AA149" i="28"/>
  <c r="AC149" i="28"/>
  <c r="AD149" i="28"/>
  <c r="AH149" i="28"/>
  <c r="C150" i="28"/>
  <c r="E150" i="28"/>
  <c r="G150" i="28"/>
  <c r="I150" i="28"/>
  <c r="K150" i="28"/>
  <c r="O150" i="28"/>
  <c r="Q150" i="28"/>
  <c r="S150" i="28"/>
  <c r="U150" i="28"/>
  <c r="W150" i="28"/>
  <c r="Y150" i="28"/>
  <c r="AA150" i="28"/>
  <c r="AC150" i="28"/>
  <c r="C151" i="28"/>
  <c r="E151" i="28"/>
  <c r="G151" i="28"/>
  <c r="I151" i="28"/>
  <c r="K151" i="28"/>
  <c r="O151" i="28"/>
  <c r="Q151" i="28"/>
  <c r="S151" i="28"/>
  <c r="U151" i="28"/>
  <c r="W151" i="28"/>
  <c r="Y151" i="28"/>
  <c r="AA151" i="28"/>
  <c r="AC151" i="28"/>
  <c r="C152" i="28"/>
  <c r="E152" i="28"/>
  <c r="G152" i="28"/>
  <c r="I152" i="28"/>
  <c r="K152" i="28"/>
  <c r="O152" i="28"/>
  <c r="Q152" i="28"/>
  <c r="S152" i="28"/>
  <c r="U152" i="28"/>
  <c r="W152" i="28"/>
  <c r="Y152" i="28"/>
  <c r="AA152" i="28"/>
  <c r="AC152" i="28"/>
  <c r="C153" i="28"/>
  <c r="E153" i="28"/>
  <c r="G153" i="28"/>
  <c r="I153" i="28"/>
  <c r="K153" i="28"/>
  <c r="O153" i="28"/>
  <c r="Q153" i="28"/>
  <c r="S153" i="28"/>
  <c r="U153" i="28"/>
  <c r="W153" i="28"/>
  <c r="Y153" i="28"/>
  <c r="AA153" i="28"/>
  <c r="AC153" i="28"/>
  <c r="C154" i="28"/>
  <c r="E154" i="28"/>
  <c r="G154" i="28"/>
  <c r="I154" i="28"/>
  <c r="K154" i="28"/>
  <c r="O154" i="28"/>
  <c r="Q154" i="28"/>
  <c r="S154" i="28"/>
  <c r="U154" i="28"/>
  <c r="W154" i="28"/>
  <c r="Y154" i="28"/>
  <c r="AA154" i="28"/>
  <c r="AC154" i="28"/>
  <c r="C155" i="28"/>
  <c r="E155" i="28"/>
  <c r="G155" i="28"/>
  <c r="I155" i="28"/>
  <c r="K155" i="28"/>
  <c r="O155" i="28"/>
  <c r="Q155" i="28"/>
  <c r="S155" i="28"/>
  <c r="U155" i="28"/>
  <c r="W155" i="28"/>
  <c r="Y155" i="28"/>
  <c r="AA155" i="28"/>
  <c r="AC155" i="28"/>
  <c r="C156" i="28"/>
  <c r="E156" i="28"/>
  <c r="G156" i="28"/>
  <c r="I156" i="28"/>
  <c r="K156" i="28"/>
  <c r="O156" i="28"/>
  <c r="Q156" i="28"/>
  <c r="S156" i="28"/>
  <c r="U156" i="28"/>
  <c r="W156" i="28"/>
  <c r="Y156" i="28"/>
  <c r="AA156" i="28"/>
  <c r="AC156" i="28"/>
  <c r="C157" i="28"/>
  <c r="E157" i="28"/>
  <c r="G157" i="28"/>
  <c r="I157" i="28"/>
  <c r="K157" i="28"/>
  <c r="O157" i="28"/>
  <c r="Q157" i="28"/>
  <c r="S157" i="28"/>
  <c r="U157" i="28"/>
  <c r="W157" i="28"/>
  <c r="Y157" i="28"/>
  <c r="AA157" i="28"/>
  <c r="AC157" i="28"/>
  <c r="C158" i="28"/>
  <c r="E158" i="28"/>
  <c r="G158" i="28"/>
  <c r="I158" i="28"/>
  <c r="K158" i="28"/>
  <c r="O158" i="28"/>
  <c r="Q158" i="28"/>
  <c r="S158" i="28"/>
  <c r="U158" i="28"/>
  <c r="W158" i="28"/>
  <c r="Y158" i="28"/>
  <c r="AA158" i="28"/>
  <c r="AC158" i="28"/>
  <c r="C159" i="28"/>
  <c r="E159" i="28"/>
  <c r="G159" i="28"/>
  <c r="I159" i="28"/>
  <c r="K159" i="28"/>
  <c r="O159" i="28"/>
  <c r="Q159" i="28"/>
  <c r="S159" i="28"/>
  <c r="U159" i="28"/>
  <c r="W159" i="28"/>
  <c r="Y159" i="28"/>
  <c r="AA159" i="28"/>
  <c r="AC159" i="28"/>
  <c r="C160" i="28"/>
  <c r="E160" i="28"/>
  <c r="G160" i="28"/>
  <c r="I160" i="28"/>
  <c r="K160" i="28"/>
  <c r="O160" i="28"/>
  <c r="Q160" i="28"/>
  <c r="S160" i="28"/>
  <c r="U160" i="28"/>
  <c r="W160" i="28"/>
  <c r="Y160" i="28"/>
  <c r="AA160" i="28"/>
  <c r="AC160" i="28"/>
  <c r="C161" i="28"/>
  <c r="E161" i="28"/>
  <c r="G161" i="28"/>
  <c r="I161" i="28"/>
  <c r="K161" i="28"/>
  <c r="O161" i="28"/>
  <c r="Q161" i="28"/>
  <c r="S161" i="28"/>
  <c r="U161" i="28"/>
  <c r="W161" i="28"/>
  <c r="Y161" i="28"/>
  <c r="AA161" i="28"/>
  <c r="AC161" i="28"/>
  <c r="C162" i="28"/>
  <c r="E162" i="28"/>
  <c r="G162" i="28"/>
  <c r="I162" i="28"/>
  <c r="K162" i="28"/>
  <c r="O162" i="28"/>
  <c r="Q162" i="28"/>
  <c r="S162" i="28"/>
  <c r="U162" i="28"/>
  <c r="W162" i="28"/>
  <c r="Y162" i="28"/>
  <c r="AA162" i="28"/>
  <c r="AC162" i="28"/>
  <c r="C163" i="28"/>
  <c r="E163" i="28"/>
  <c r="G163" i="28"/>
  <c r="I163" i="28"/>
  <c r="K163" i="28"/>
  <c r="O163" i="28"/>
  <c r="Q163" i="28"/>
  <c r="S163" i="28"/>
  <c r="U163" i="28"/>
  <c r="W163" i="28"/>
  <c r="Y163" i="28"/>
  <c r="AA163" i="28"/>
  <c r="AC163" i="28"/>
  <c r="C164" i="28"/>
  <c r="E164" i="28"/>
  <c r="G164" i="28"/>
  <c r="I164" i="28"/>
  <c r="K164" i="28"/>
  <c r="O164" i="28"/>
  <c r="Q164" i="28"/>
  <c r="S164" i="28"/>
  <c r="U164" i="28"/>
  <c r="W164" i="28"/>
  <c r="Y164" i="28"/>
  <c r="AA164" i="28"/>
  <c r="AC164" i="28"/>
  <c r="C165" i="28"/>
  <c r="E165" i="28"/>
  <c r="G165" i="28"/>
  <c r="I165" i="28"/>
  <c r="K165" i="28"/>
  <c r="O165" i="28"/>
  <c r="Q165" i="28"/>
  <c r="S165" i="28"/>
  <c r="U165" i="28"/>
  <c r="W165" i="28"/>
  <c r="Y165" i="28"/>
  <c r="AA165" i="28"/>
  <c r="AC165" i="28"/>
  <c r="C166" i="28"/>
  <c r="E166" i="28"/>
  <c r="G166" i="28"/>
  <c r="I166" i="28"/>
  <c r="K166" i="28"/>
  <c r="O166" i="28"/>
  <c r="Q166" i="28"/>
  <c r="S166" i="28"/>
  <c r="U166" i="28"/>
  <c r="W166" i="28"/>
  <c r="Y166" i="28"/>
  <c r="AA166" i="28"/>
  <c r="AC166" i="28"/>
  <c r="C167" i="28"/>
  <c r="E167" i="28"/>
  <c r="G167" i="28"/>
  <c r="I167" i="28"/>
  <c r="K167" i="28"/>
  <c r="O167" i="28"/>
  <c r="Q167" i="28"/>
  <c r="S167" i="28"/>
  <c r="U167" i="28"/>
  <c r="W167" i="28"/>
  <c r="Y167" i="28"/>
  <c r="AA167" i="28"/>
  <c r="AC167" i="28"/>
  <c r="C168" i="28"/>
  <c r="E168" i="28"/>
  <c r="G168" i="28"/>
  <c r="I168" i="28"/>
  <c r="K168" i="28"/>
  <c r="O168" i="28"/>
  <c r="Q168" i="28"/>
  <c r="S168" i="28"/>
  <c r="U168" i="28"/>
  <c r="W168" i="28"/>
  <c r="Y168" i="28"/>
  <c r="AA168" i="28"/>
  <c r="AC168" i="28"/>
  <c r="C169" i="28"/>
  <c r="E169" i="28"/>
  <c r="G169" i="28"/>
  <c r="I169" i="28"/>
  <c r="K169" i="28"/>
  <c r="O169" i="28"/>
  <c r="Q169" i="28"/>
  <c r="S169" i="28"/>
  <c r="U169" i="28"/>
  <c r="W169" i="28"/>
  <c r="Y169" i="28"/>
  <c r="AA169" i="28"/>
  <c r="AC169" i="28"/>
  <c r="C170" i="28"/>
  <c r="E170" i="28"/>
  <c r="G170" i="28"/>
  <c r="I170" i="28"/>
  <c r="K170" i="28"/>
  <c r="O170" i="28"/>
  <c r="Q170" i="28"/>
  <c r="S170" i="28"/>
  <c r="U170" i="28"/>
  <c r="W170" i="28"/>
  <c r="Y170" i="28"/>
  <c r="AA170" i="28"/>
  <c r="AC170" i="28"/>
  <c r="C171" i="28"/>
  <c r="E171" i="28"/>
  <c r="G171" i="28"/>
  <c r="I171" i="28"/>
  <c r="K171" i="28"/>
  <c r="O171" i="28"/>
  <c r="Q171" i="28"/>
  <c r="S171" i="28"/>
  <c r="U171" i="28"/>
  <c r="W171" i="28"/>
  <c r="Y171" i="28"/>
  <c r="AA171" i="28"/>
  <c r="AC171" i="28"/>
  <c r="C172" i="28"/>
  <c r="E172" i="28"/>
  <c r="G172" i="28"/>
  <c r="I172" i="28"/>
  <c r="K172" i="28"/>
  <c r="O172" i="28"/>
  <c r="Q172" i="28"/>
  <c r="S172" i="28"/>
  <c r="U172" i="28"/>
  <c r="W172" i="28"/>
  <c r="Y172" i="28"/>
  <c r="AA172" i="28"/>
  <c r="AC172" i="28"/>
  <c r="C173" i="28"/>
  <c r="E173" i="28"/>
  <c r="G173" i="28"/>
  <c r="I173" i="28"/>
  <c r="K173" i="28"/>
  <c r="O173" i="28"/>
  <c r="Q173" i="28"/>
  <c r="S173" i="28"/>
  <c r="U173" i="28"/>
  <c r="W173" i="28"/>
  <c r="Y173" i="28"/>
  <c r="AA173" i="28"/>
  <c r="AC173" i="28"/>
  <c r="C174" i="28"/>
  <c r="E174" i="28"/>
  <c r="G174" i="28"/>
  <c r="I174" i="28"/>
  <c r="K174" i="28"/>
  <c r="O174" i="28"/>
  <c r="Q174" i="28"/>
  <c r="S174" i="28"/>
  <c r="U174" i="28"/>
  <c r="W174" i="28"/>
  <c r="Y174" i="28"/>
  <c r="AA174" i="28"/>
  <c r="AC174" i="28"/>
  <c r="C175" i="28"/>
  <c r="E175" i="28"/>
  <c r="G175" i="28"/>
  <c r="I175" i="28"/>
  <c r="K175" i="28"/>
  <c r="O175" i="28"/>
  <c r="Q175" i="28"/>
  <c r="S175" i="28"/>
  <c r="U175" i="28"/>
  <c r="W175" i="28"/>
  <c r="Y175" i="28"/>
  <c r="AA175" i="28"/>
  <c r="AC175" i="28"/>
  <c r="C176" i="28"/>
  <c r="E176" i="28"/>
  <c r="G176" i="28"/>
  <c r="I176" i="28"/>
  <c r="K176" i="28"/>
  <c r="O176" i="28"/>
  <c r="Q176" i="28"/>
  <c r="S176" i="28"/>
  <c r="U176" i="28"/>
  <c r="W176" i="28"/>
  <c r="Y176" i="28"/>
  <c r="AA176" i="28"/>
  <c r="AC176" i="28"/>
  <c r="C177" i="28"/>
  <c r="E177" i="28"/>
  <c r="G177" i="28"/>
  <c r="I177" i="28"/>
  <c r="K177" i="28"/>
  <c r="O177" i="28"/>
  <c r="Q177" i="28"/>
  <c r="S177" i="28"/>
  <c r="U177" i="28"/>
  <c r="W177" i="28"/>
  <c r="Y177" i="28"/>
  <c r="AA177" i="28"/>
  <c r="AC177" i="28"/>
  <c r="C178" i="28"/>
  <c r="E178" i="28"/>
  <c r="G178" i="28"/>
  <c r="I178" i="28"/>
  <c r="K178" i="28"/>
  <c r="O178" i="28"/>
  <c r="Q178" i="28"/>
  <c r="S178" i="28"/>
  <c r="U178" i="28"/>
  <c r="W178" i="28"/>
  <c r="Y178" i="28"/>
  <c r="AA178" i="28"/>
  <c r="AC178" i="28"/>
  <c r="C179" i="28"/>
  <c r="E179" i="28"/>
  <c r="G179" i="28"/>
  <c r="I179" i="28"/>
  <c r="K179" i="28"/>
  <c r="O179" i="28"/>
  <c r="Q179" i="28"/>
  <c r="S179" i="28"/>
  <c r="U179" i="28"/>
  <c r="W179" i="28"/>
  <c r="Y179" i="28"/>
  <c r="AA179" i="28"/>
  <c r="AC179" i="28"/>
  <c r="C180" i="28"/>
  <c r="E180" i="28"/>
  <c r="G180" i="28"/>
  <c r="I180" i="28"/>
  <c r="K180" i="28"/>
  <c r="O180" i="28"/>
  <c r="Q180" i="28"/>
  <c r="S180" i="28"/>
  <c r="U180" i="28"/>
  <c r="W180" i="28"/>
  <c r="Y180" i="28"/>
  <c r="AA180" i="28"/>
  <c r="AC180" i="28"/>
  <c r="C181" i="28"/>
  <c r="E181" i="28"/>
  <c r="G181" i="28"/>
  <c r="I181" i="28"/>
  <c r="K181" i="28"/>
  <c r="O181" i="28"/>
  <c r="Q181" i="28"/>
  <c r="S181" i="28"/>
  <c r="U181" i="28"/>
  <c r="W181" i="28"/>
  <c r="Y181" i="28"/>
  <c r="AA181" i="28"/>
  <c r="AC181" i="28"/>
  <c r="C182" i="28"/>
  <c r="E182" i="28"/>
  <c r="G182" i="28"/>
  <c r="I182" i="28"/>
  <c r="K182" i="28"/>
  <c r="O182" i="28"/>
  <c r="Q182" i="28"/>
  <c r="S182" i="28"/>
  <c r="U182" i="28"/>
  <c r="W182" i="28"/>
  <c r="Y182" i="28"/>
  <c r="AA182" i="28"/>
  <c r="AC182" i="28"/>
  <c r="C183" i="28"/>
  <c r="E183" i="28"/>
  <c r="G183" i="28"/>
  <c r="I183" i="28"/>
  <c r="K183" i="28"/>
  <c r="O183" i="28"/>
  <c r="Q183" i="28"/>
  <c r="S183" i="28"/>
  <c r="U183" i="28"/>
  <c r="W183" i="28"/>
  <c r="Y183" i="28"/>
  <c r="AA183" i="28"/>
  <c r="AC183" i="28"/>
  <c r="C184" i="28"/>
  <c r="E184" i="28"/>
  <c r="G184" i="28"/>
  <c r="I184" i="28"/>
  <c r="K184" i="28"/>
  <c r="M184" i="28"/>
  <c r="O184" i="28"/>
  <c r="Q184" i="28"/>
  <c r="S184" i="28"/>
  <c r="U184" i="28"/>
  <c r="W184" i="28"/>
  <c r="Y184" i="28"/>
  <c r="AA184" i="28"/>
  <c r="AC184" i="28"/>
  <c r="AD184" i="28"/>
  <c r="AH184" i="28"/>
  <c r="C185" i="28"/>
  <c r="E185" i="28"/>
  <c r="G185" i="28"/>
  <c r="I185" i="28"/>
  <c r="K185" i="28"/>
  <c r="M185" i="28"/>
  <c r="O185" i="28"/>
  <c r="Q185" i="28"/>
  <c r="S185" i="28"/>
  <c r="U185" i="28"/>
  <c r="W185" i="28"/>
  <c r="Y185" i="28"/>
  <c r="AA185" i="28"/>
  <c r="AC185" i="28"/>
  <c r="C186" i="28"/>
  <c r="E186" i="28"/>
  <c r="G186" i="28"/>
  <c r="I186" i="28"/>
  <c r="K186" i="28"/>
  <c r="M186" i="28"/>
  <c r="O186" i="28"/>
  <c r="Q186" i="28"/>
  <c r="S186" i="28"/>
  <c r="U186" i="28"/>
  <c r="W186" i="28"/>
  <c r="Y186" i="28"/>
  <c r="AA186" i="28"/>
  <c r="AC186" i="28"/>
  <c r="C187" i="28"/>
  <c r="E187" i="28"/>
  <c r="G187" i="28"/>
  <c r="I187" i="28"/>
  <c r="K187" i="28"/>
  <c r="M187" i="28"/>
  <c r="O187" i="28"/>
  <c r="Q187" i="28"/>
  <c r="S187" i="28"/>
  <c r="U187" i="28"/>
  <c r="W187" i="28"/>
  <c r="Y187" i="28"/>
  <c r="AA187" i="28"/>
  <c r="AC187" i="28"/>
  <c r="C188" i="28"/>
  <c r="E188" i="28"/>
  <c r="G188" i="28"/>
  <c r="I188" i="28"/>
  <c r="K188" i="28"/>
  <c r="M188" i="28"/>
  <c r="O188" i="28"/>
  <c r="Q188" i="28"/>
  <c r="S188" i="28"/>
  <c r="U188" i="28"/>
  <c r="W188" i="28"/>
  <c r="Y188" i="28"/>
  <c r="AA188" i="28"/>
  <c r="AC188" i="28"/>
  <c r="C189" i="28"/>
  <c r="E189" i="28"/>
  <c r="G189" i="28"/>
  <c r="I189" i="28"/>
  <c r="K189" i="28"/>
  <c r="M189" i="28"/>
  <c r="O189" i="28"/>
  <c r="Q189" i="28"/>
  <c r="S189" i="28"/>
  <c r="U189" i="28"/>
  <c r="W189" i="28"/>
  <c r="Y189" i="28"/>
  <c r="AA189" i="28"/>
  <c r="AC189" i="28"/>
  <c r="C190" i="28"/>
  <c r="E190" i="28"/>
  <c r="G190" i="28"/>
  <c r="I190" i="28"/>
  <c r="K190" i="28"/>
  <c r="M190" i="28"/>
  <c r="O190" i="28"/>
  <c r="Q190" i="28"/>
  <c r="S190" i="28"/>
  <c r="U190" i="28"/>
  <c r="W190" i="28"/>
  <c r="Y190" i="28"/>
  <c r="AA190" i="28"/>
  <c r="AC190" i="28"/>
  <c r="C191" i="28"/>
  <c r="E191" i="28"/>
  <c r="G191" i="28"/>
  <c r="I191" i="28"/>
  <c r="K191" i="28"/>
  <c r="M191" i="28"/>
  <c r="O191" i="28"/>
  <c r="Q191" i="28"/>
  <c r="S191" i="28"/>
  <c r="U191" i="28"/>
  <c r="W191" i="28"/>
  <c r="Y191" i="28"/>
  <c r="AA191" i="28"/>
  <c r="AC191" i="28"/>
  <c r="C192" i="28"/>
  <c r="E192" i="28"/>
  <c r="G192" i="28"/>
  <c r="I192" i="28"/>
  <c r="K192" i="28"/>
  <c r="M192" i="28"/>
  <c r="O192" i="28"/>
  <c r="Q192" i="28"/>
  <c r="S192" i="28"/>
  <c r="U192" i="28"/>
  <c r="W192" i="28"/>
  <c r="Y192" i="28"/>
  <c r="AA192" i="28"/>
  <c r="AC192" i="28"/>
  <c r="C193" i="28"/>
  <c r="E193" i="28"/>
  <c r="G193" i="28"/>
  <c r="I193" i="28"/>
  <c r="K193" i="28"/>
  <c r="M193" i="28"/>
  <c r="O193" i="28"/>
  <c r="Q193" i="28"/>
  <c r="S193" i="28"/>
  <c r="U193" i="28"/>
  <c r="W193" i="28"/>
  <c r="Y193" i="28"/>
  <c r="AA193" i="28"/>
  <c r="AC193" i="28"/>
  <c r="C194" i="28"/>
  <c r="E194" i="28"/>
  <c r="G194" i="28"/>
  <c r="I194" i="28"/>
  <c r="K194" i="28"/>
  <c r="M194" i="28"/>
  <c r="O194" i="28"/>
  <c r="Q194" i="28"/>
  <c r="S194" i="28"/>
  <c r="U194" i="28"/>
  <c r="W194" i="28"/>
  <c r="Y194" i="28"/>
  <c r="AA194" i="28"/>
  <c r="AC194" i="28"/>
  <c r="C195" i="28"/>
  <c r="E195" i="28"/>
  <c r="G195" i="28"/>
  <c r="I195" i="28"/>
  <c r="K195" i="28"/>
  <c r="M195" i="28"/>
  <c r="O195" i="28"/>
  <c r="Q195" i="28"/>
  <c r="S195" i="28"/>
  <c r="U195" i="28"/>
  <c r="W195" i="28"/>
  <c r="Y195" i="28"/>
  <c r="AA195" i="28"/>
  <c r="AC195" i="28"/>
  <c r="C196" i="28"/>
  <c r="E196" i="28"/>
  <c r="G196" i="28"/>
  <c r="I196" i="28"/>
  <c r="K196" i="28"/>
  <c r="M196" i="28"/>
  <c r="O196" i="28"/>
  <c r="Q196" i="28"/>
  <c r="S196" i="28"/>
  <c r="U196" i="28"/>
  <c r="W196" i="28"/>
  <c r="Y196" i="28"/>
  <c r="AA196" i="28"/>
  <c r="AC196" i="28"/>
  <c r="C197" i="28"/>
  <c r="E197" i="28"/>
  <c r="G197" i="28"/>
  <c r="I197" i="28"/>
  <c r="K197" i="28"/>
  <c r="M197" i="28"/>
  <c r="O197" i="28"/>
  <c r="Q197" i="28"/>
  <c r="S197" i="28"/>
  <c r="U197" i="28"/>
  <c r="W197" i="28"/>
  <c r="Y197" i="28"/>
  <c r="AA197" i="28"/>
  <c r="AC197" i="28"/>
  <c r="C198" i="28"/>
  <c r="E198" i="28"/>
  <c r="G198" i="28"/>
  <c r="I198" i="28"/>
  <c r="K198" i="28"/>
  <c r="M198" i="28"/>
  <c r="O198" i="28"/>
  <c r="Q198" i="28"/>
  <c r="S198" i="28"/>
  <c r="U198" i="28"/>
  <c r="W198" i="28"/>
  <c r="Y198" i="28"/>
  <c r="AA198" i="28"/>
  <c r="AC198" i="28"/>
  <c r="C199" i="28"/>
  <c r="E199" i="28"/>
  <c r="G199" i="28"/>
  <c r="I199" i="28"/>
  <c r="K199" i="28"/>
  <c r="M199" i="28"/>
  <c r="O199" i="28"/>
  <c r="Q199" i="28"/>
  <c r="S199" i="28"/>
  <c r="U199" i="28"/>
  <c r="W199" i="28"/>
  <c r="Y199" i="28"/>
  <c r="AA199" i="28"/>
  <c r="AC199" i="28"/>
  <c r="C200" i="28"/>
  <c r="E200" i="28"/>
  <c r="G200" i="28"/>
  <c r="I200" i="28"/>
  <c r="K200" i="28"/>
  <c r="M200" i="28"/>
  <c r="O200" i="28"/>
  <c r="Q200" i="28"/>
  <c r="S200" i="28"/>
  <c r="U200" i="28"/>
  <c r="W200" i="28"/>
  <c r="Y200" i="28"/>
  <c r="AA200" i="28"/>
  <c r="AC200" i="28"/>
  <c r="C201" i="28"/>
  <c r="E201" i="28"/>
  <c r="G201" i="28"/>
  <c r="I201" i="28"/>
  <c r="K201" i="28"/>
  <c r="M201" i="28"/>
  <c r="O201" i="28"/>
  <c r="Q201" i="28"/>
  <c r="S201" i="28"/>
  <c r="U201" i="28"/>
  <c r="W201" i="28"/>
  <c r="Y201" i="28"/>
  <c r="AA201" i="28"/>
  <c r="AC201" i="28"/>
  <c r="C202" i="28"/>
  <c r="E202" i="28"/>
  <c r="G202" i="28"/>
  <c r="I202" i="28"/>
  <c r="K202" i="28"/>
  <c r="M202" i="28"/>
  <c r="O202" i="28"/>
  <c r="Q202" i="28"/>
  <c r="S202" i="28"/>
  <c r="U202" i="28"/>
  <c r="W202" i="28"/>
  <c r="Y202" i="28"/>
  <c r="AA202" i="28"/>
  <c r="AC202" i="28"/>
  <c r="C203" i="28"/>
  <c r="E203" i="28"/>
  <c r="G203" i="28"/>
  <c r="I203" i="28"/>
  <c r="K203" i="28"/>
  <c r="M203" i="28"/>
  <c r="O203" i="28"/>
  <c r="Q203" i="28"/>
  <c r="S203" i="28"/>
  <c r="U203" i="28"/>
  <c r="W203" i="28"/>
  <c r="Y203" i="28"/>
  <c r="AA203" i="28"/>
  <c r="AC203" i="28"/>
  <c r="C204" i="28"/>
  <c r="E204" i="28"/>
  <c r="G204" i="28"/>
  <c r="I204" i="28"/>
  <c r="K204" i="28"/>
  <c r="M204" i="28"/>
  <c r="O204" i="28"/>
  <c r="Q204" i="28"/>
  <c r="S204" i="28"/>
  <c r="U204" i="28"/>
  <c r="W204" i="28"/>
  <c r="Y204" i="28"/>
  <c r="AA204" i="28"/>
  <c r="AC204" i="28"/>
  <c r="C205" i="28"/>
  <c r="E205" i="28"/>
  <c r="G205" i="28"/>
  <c r="I205" i="28"/>
  <c r="K205" i="28"/>
  <c r="M205" i="28"/>
  <c r="O205" i="28"/>
  <c r="Q205" i="28"/>
  <c r="S205" i="28"/>
  <c r="U205" i="28"/>
  <c r="W205" i="28"/>
  <c r="Y205" i="28"/>
  <c r="AA205" i="28"/>
  <c r="AC205" i="28"/>
  <c r="C206" i="28"/>
  <c r="E206" i="28"/>
  <c r="G206" i="28"/>
  <c r="I206" i="28"/>
  <c r="K206" i="28"/>
  <c r="M206" i="28"/>
  <c r="O206" i="28"/>
  <c r="Q206" i="28"/>
  <c r="S206" i="28"/>
  <c r="U206" i="28"/>
  <c r="W206" i="28"/>
  <c r="Y206" i="28"/>
  <c r="AA206" i="28"/>
  <c r="AC206" i="28"/>
  <c r="C207" i="28"/>
  <c r="E207" i="28"/>
  <c r="G207" i="28"/>
  <c r="I207" i="28"/>
  <c r="K207" i="28"/>
  <c r="M207" i="28"/>
  <c r="O207" i="28"/>
  <c r="Q207" i="28"/>
  <c r="S207" i="28"/>
  <c r="U207" i="28"/>
  <c r="W207" i="28"/>
  <c r="Y207" i="28"/>
  <c r="AA207" i="28"/>
  <c r="AC207" i="28"/>
  <c r="C208" i="28"/>
  <c r="E208" i="28"/>
  <c r="G208" i="28"/>
  <c r="I208" i="28"/>
  <c r="K208" i="28"/>
  <c r="M208" i="28"/>
  <c r="O208" i="28"/>
  <c r="Q208" i="28"/>
  <c r="S208" i="28"/>
  <c r="U208" i="28"/>
  <c r="W208" i="28"/>
  <c r="Y208" i="28"/>
  <c r="AA208" i="28"/>
  <c r="AC208" i="28"/>
  <c r="C209" i="28"/>
  <c r="E209" i="28"/>
  <c r="G209" i="28"/>
  <c r="I209" i="28"/>
  <c r="K209" i="28"/>
  <c r="M209" i="28"/>
  <c r="O209" i="28"/>
  <c r="Q209" i="28"/>
  <c r="S209" i="28"/>
  <c r="U209" i="28"/>
  <c r="W209" i="28"/>
  <c r="Y209" i="28"/>
  <c r="AA209" i="28"/>
  <c r="AC209" i="28"/>
  <c r="C210" i="28"/>
  <c r="E210" i="28"/>
  <c r="G210" i="28"/>
  <c r="I210" i="28"/>
  <c r="K210" i="28"/>
  <c r="M210" i="28"/>
  <c r="O210" i="28"/>
  <c r="Q210" i="28"/>
  <c r="S210" i="28"/>
  <c r="U210" i="28"/>
  <c r="W210" i="28"/>
  <c r="Y210" i="28"/>
  <c r="AA210" i="28"/>
  <c r="AC210" i="28"/>
  <c r="C211" i="28"/>
  <c r="E211" i="28"/>
  <c r="G211" i="28"/>
  <c r="I211" i="28"/>
  <c r="K211" i="28"/>
  <c r="M211" i="28"/>
  <c r="O211" i="28"/>
  <c r="Q211" i="28"/>
  <c r="S211" i="28"/>
  <c r="U211" i="28"/>
  <c r="W211" i="28"/>
  <c r="Y211" i="28"/>
  <c r="AA211" i="28"/>
  <c r="AC211" i="28"/>
  <c r="C212" i="28"/>
  <c r="E212" i="28"/>
  <c r="G212" i="28"/>
  <c r="I212" i="28"/>
  <c r="K212" i="28"/>
  <c r="M212" i="28"/>
  <c r="O212" i="28"/>
  <c r="Q212" i="28"/>
  <c r="S212" i="28"/>
  <c r="U212" i="28"/>
  <c r="W212" i="28"/>
  <c r="Y212" i="28"/>
  <c r="AA212" i="28"/>
  <c r="AC212" i="28"/>
  <c r="C213" i="28"/>
  <c r="E213" i="28"/>
  <c r="G213" i="28"/>
  <c r="I213" i="28"/>
  <c r="K213" i="28"/>
  <c r="M213" i="28"/>
  <c r="O213" i="28"/>
  <c r="Q213" i="28"/>
  <c r="S213" i="28"/>
  <c r="U213" i="28"/>
  <c r="W213" i="28"/>
  <c r="Y213" i="28"/>
  <c r="AA213" i="28"/>
  <c r="AC213" i="28"/>
  <c r="C214" i="28"/>
  <c r="E214" i="28"/>
  <c r="G214" i="28"/>
  <c r="I214" i="28"/>
  <c r="K214" i="28"/>
  <c r="M214" i="28"/>
  <c r="O214" i="28"/>
  <c r="Q214" i="28"/>
  <c r="S214" i="28"/>
  <c r="U214" i="28"/>
  <c r="W214" i="28"/>
  <c r="Y214" i="28"/>
  <c r="AA214" i="28"/>
  <c r="AC214" i="28"/>
  <c r="C215" i="28"/>
  <c r="E215" i="28"/>
  <c r="G215" i="28"/>
  <c r="I215" i="28"/>
  <c r="K215" i="28"/>
  <c r="M215" i="28"/>
  <c r="O215" i="28"/>
  <c r="Q215" i="28"/>
  <c r="S215" i="28"/>
  <c r="U215" i="28"/>
  <c r="W215" i="28"/>
  <c r="Y215" i="28"/>
  <c r="AA215" i="28"/>
  <c r="AC215" i="28"/>
  <c r="C216" i="28"/>
  <c r="E216" i="28"/>
  <c r="G216" i="28"/>
  <c r="I216" i="28"/>
  <c r="K216" i="28"/>
  <c r="M216" i="28"/>
  <c r="O216" i="28"/>
  <c r="Q216" i="28"/>
  <c r="S216" i="28"/>
  <c r="U216" i="28"/>
  <c r="W216" i="28"/>
  <c r="Y216" i="28"/>
  <c r="AA216" i="28"/>
  <c r="AC216" i="28"/>
  <c r="C217" i="28"/>
  <c r="E217" i="28"/>
  <c r="G217" i="28"/>
  <c r="I217" i="28"/>
  <c r="K217" i="28"/>
  <c r="M217" i="28"/>
  <c r="O217" i="28"/>
  <c r="Q217" i="28"/>
  <c r="S217" i="28"/>
  <c r="U217" i="28"/>
  <c r="W217" i="28"/>
  <c r="Y217" i="28"/>
  <c r="AA217" i="28"/>
  <c r="AC217" i="28"/>
  <c r="C218" i="28"/>
  <c r="E218" i="28"/>
  <c r="G218" i="28"/>
  <c r="I218" i="28"/>
  <c r="K218" i="28"/>
  <c r="M218" i="28"/>
  <c r="O218" i="28"/>
  <c r="Q218" i="28"/>
  <c r="S218" i="28"/>
  <c r="U218" i="28"/>
  <c r="W218" i="28"/>
  <c r="Y218" i="28"/>
  <c r="AA218" i="28"/>
  <c r="AC218" i="28"/>
  <c r="C219" i="28"/>
  <c r="E219" i="28"/>
  <c r="G219" i="28"/>
  <c r="I219" i="28"/>
  <c r="K219" i="28"/>
  <c r="M219" i="28"/>
  <c r="O219" i="28"/>
  <c r="Q219" i="28"/>
  <c r="S219" i="28"/>
  <c r="U219" i="28"/>
  <c r="W219" i="28"/>
  <c r="Y219" i="28"/>
  <c r="AA219" i="28"/>
  <c r="AC219" i="28"/>
  <c r="AD219" i="28"/>
  <c r="AH219" i="28"/>
  <c r="C220" i="28"/>
  <c r="E220" i="28"/>
  <c r="G220" i="28"/>
  <c r="I220" i="28"/>
  <c r="K220" i="28"/>
  <c r="M220" i="28"/>
  <c r="O220" i="28"/>
  <c r="Q220" i="28"/>
  <c r="S220" i="28"/>
  <c r="U220" i="28"/>
  <c r="W220" i="28"/>
  <c r="Y220" i="28"/>
  <c r="AA220" i="28"/>
  <c r="AC220" i="28"/>
  <c r="C221" i="28"/>
  <c r="E221" i="28"/>
  <c r="G221" i="28"/>
  <c r="I221" i="28"/>
  <c r="K221" i="28"/>
  <c r="M221" i="28"/>
  <c r="O221" i="28"/>
  <c r="Q221" i="28"/>
  <c r="S221" i="28"/>
  <c r="U221" i="28"/>
  <c r="W221" i="28"/>
  <c r="Y221" i="28"/>
  <c r="AA221" i="28"/>
  <c r="AC221" i="28"/>
  <c r="C222" i="28"/>
  <c r="E222" i="28"/>
  <c r="G222" i="28"/>
  <c r="I222" i="28"/>
  <c r="K222" i="28"/>
  <c r="M222" i="28"/>
  <c r="O222" i="28"/>
  <c r="Q222" i="28"/>
  <c r="S222" i="28"/>
  <c r="U222" i="28"/>
  <c r="W222" i="28"/>
  <c r="Y222" i="28"/>
  <c r="AA222" i="28"/>
  <c r="AC222" i="28"/>
  <c r="C223" i="28"/>
  <c r="E223" i="28"/>
  <c r="G223" i="28"/>
  <c r="I223" i="28"/>
  <c r="K223" i="28"/>
  <c r="M223" i="28"/>
  <c r="O223" i="28"/>
  <c r="Q223" i="28"/>
  <c r="S223" i="28"/>
  <c r="U223" i="28"/>
  <c r="W223" i="28"/>
  <c r="Y223" i="28"/>
  <c r="AA223" i="28"/>
  <c r="AC223" i="28"/>
  <c r="C224" i="28"/>
  <c r="E224" i="28"/>
  <c r="G224" i="28"/>
  <c r="I224" i="28"/>
  <c r="K224" i="28"/>
  <c r="M224" i="28"/>
  <c r="O224" i="28"/>
  <c r="Q224" i="28"/>
  <c r="S224" i="28"/>
  <c r="U224" i="28"/>
  <c r="W224" i="28"/>
  <c r="Y224" i="28"/>
  <c r="AA224" i="28"/>
  <c r="AC224" i="28"/>
  <c r="C225" i="28"/>
  <c r="E225" i="28"/>
  <c r="G225" i="28"/>
  <c r="I225" i="28"/>
  <c r="K225" i="28"/>
  <c r="M225" i="28"/>
  <c r="O225" i="28"/>
  <c r="Q225" i="28"/>
  <c r="S225" i="28"/>
  <c r="U225" i="28"/>
  <c r="W225" i="28"/>
  <c r="Y225" i="28"/>
  <c r="AA225" i="28"/>
  <c r="AC225" i="28"/>
  <c r="C226" i="28"/>
  <c r="E226" i="28"/>
  <c r="G226" i="28"/>
  <c r="I226" i="28"/>
  <c r="K226" i="28"/>
  <c r="M226" i="28"/>
  <c r="O226" i="28"/>
  <c r="Q226" i="28"/>
  <c r="S226" i="28"/>
  <c r="U226" i="28"/>
  <c r="W226" i="28"/>
  <c r="Y226" i="28"/>
  <c r="AA226" i="28"/>
  <c r="AC226" i="28"/>
  <c r="C227" i="28"/>
  <c r="E227" i="28"/>
  <c r="G227" i="28"/>
  <c r="I227" i="28"/>
  <c r="K227" i="28"/>
  <c r="M227" i="28"/>
  <c r="O227" i="28"/>
  <c r="Q227" i="28"/>
  <c r="S227" i="28"/>
  <c r="U227" i="28"/>
  <c r="W227" i="28"/>
  <c r="Y227" i="28"/>
  <c r="AA227" i="28"/>
  <c r="AC227" i="28"/>
  <c r="C228" i="28"/>
  <c r="E228" i="28"/>
  <c r="G228" i="28"/>
  <c r="I228" i="28"/>
  <c r="K228" i="28"/>
  <c r="M228" i="28"/>
  <c r="O228" i="28"/>
  <c r="Q228" i="28"/>
  <c r="S228" i="28"/>
  <c r="U228" i="28"/>
  <c r="W228" i="28"/>
  <c r="Y228" i="28"/>
  <c r="AA228" i="28"/>
  <c r="AC228" i="28"/>
  <c r="C229" i="28"/>
  <c r="E229" i="28"/>
  <c r="G229" i="28"/>
  <c r="I229" i="28"/>
  <c r="K229" i="28"/>
  <c r="M229" i="28"/>
  <c r="O229" i="28"/>
  <c r="Q229" i="28"/>
  <c r="S229" i="28"/>
  <c r="U229" i="28"/>
  <c r="W229" i="28"/>
  <c r="Y229" i="28"/>
  <c r="AA229" i="28"/>
  <c r="AC229" i="28"/>
  <c r="C230" i="28"/>
  <c r="E230" i="28"/>
  <c r="G230" i="28"/>
  <c r="I230" i="28"/>
  <c r="K230" i="28"/>
  <c r="M230" i="28"/>
  <c r="O230" i="28"/>
  <c r="Q230" i="28"/>
  <c r="S230" i="28"/>
  <c r="U230" i="28"/>
  <c r="W230" i="28"/>
  <c r="Y230" i="28"/>
  <c r="AA230" i="28"/>
  <c r="AC230" i="28"/>
  <c r="C231" i="28"/>
  <c r="E231" i="28"/>
  <c r="G231" i="28"/>
  <c r="I231" i="28"/>
  <c r="K231" i="28"/>
  <c r="M231" i="28"/>
  <c r="O231" i="28"/>
  <c r="Q231" i="28"/>
  <c r="S231" i="28"/>
  <c r="U231" i="28"/>
  <c r="W231" i="28"/>
  <c r="Y231" i="28"/>
  <c r="AA231" i="28"/>
  <c r="AC231" i="28"/>
  <c r="C232" i="28"/>
  <c r="E232" i="28"/>
  <c r="G232" i="28"/>
  <c r="I232" i="28"/>
  <c r="K232" i="28"/>
  <c r="M232" i="28"/>
  <c r="O232" i="28"/>
  <c r="Q232" i="28"/>
  <c r="S232" i="28"/>
  <c r="U232" i="28"/>
  <c r="W232" i="28"/>
  <c r="Y232" i="28"/>
  <c r="AA232" i="28"/>
  <c r="AC232" i="28"/>
  <c r="C233" i="28"/>
  <c r="E233" i="28"/>
  <c r="G233" i="28"/>
  <c r="I233" i="28"/>
  <c r="K233" i="28"/>
  <c r="M233" i="28"/>
  <c r="O233" i="28"/>
  <c r="Q233" i="28"/>
  <c r="S233" i="28"/>
  <c r="U233" i="28"/>
  <c r="W233" i="28"/>
  <c r="Y233" i="28"/>
  <c r="AA233" i="28"/>
  <c r="AC233" i="28"/>
  <c r="C234" i="28"/>
  <c r="E234" i="28"/>
  <c r="G234" i="28"/>
  <c r="I234" i="28"/>
  <c r="K234" i="28"/>
  <c r="M234" i="28"/>
  <c r="O234" i="28"/>
  <c r="Q234" i="28"/>
  <c r="S234" i="28"/>
  <c r="U234" i="28"/>
  <c r="W234" i="28"/>
  <c r="Y234" i="28"/>
  <c r="AA234" i="28"/>
  <c r="AC234" i="28"/>
  <c r="C235" i="28"/>
  <c r="E235" i="28"/>
  <c r="G235" i="28"/>
  <c r="I235" i="28"/>
  <c r="K235" i="28"/>
  <c r="M235" i="28"/>
  <c r="O235" i="28"/>
  <c r="Q235" i="28"/>
  <c r="S235" i="28"/>
  <c r="U235" i="28"/>
  <c r="W235" i="28"/>
  <c r="Y235" i="28"/>
  <c r="AA235" i="28"/>
  <c r="AC235" i="28"/>
  <c r="C236" i="28"/>
  <c r="E236" i="28"/>
  <c r="G236" i="28"/>
  <c r="I236" i="28"/>
  <c r="K236" i="28"/>
  <c r="M236" i="28"/>
  <c r="O236" i="28"/>
  <c r="Q236" i="28"/>
  <c r="S236" i="28"/>
  <c r="U236" i="28"/>
  <c r="W236" i="28"/>
  <c r="Y236" i="28"/>
  <c r="AA236" i="28"/>
  <c r="AC236" i="28"/>
  <c r="C237" i="28"/>
  <c r="E237" i="28"/>
  <c r="G237" i="28"/>
  <c r="I237" i="28"/>
  <c r="K237" i="28"/>
  <c r="M237" i="28"/>
  <c r="O237" i="28"/>
  <c r="Q237" i="28"/>
  <c r="S237" i="28"/>
  <c r="U237" i="28"/>
  <c r="W237" i="28"/>
  <c r="Y237" i="28"/>
  <c r="AA237" i="28"/>
  <c r="AC237" i="28"/>
  <c r="C238" i="28"/>
  <c r="E238" i="28"/>
  <c r="G238" i="28"/>
  <c r="I238" i="28"/>
  <c r="K238" i="28"/>
  <c r="M238" i="28"/>
  <c r="O238" i="28"/>
  <c r="Q238" i="28"/>
  <c r="S238" i="28"/>
  <c r="U238" i="28"/>
  <c r="W238" i="28"/>
  <c r="Y238" i="28"/>
  <c r="AA238" i="28"/>
  <c r="AC238" i="28"/>
  <c r="C239" i="28"/>
  <c r="E239" i="28"/>
  <c r="G239" i="28"/>
  <c r="I239" i="28"/>
  <c r="K239" i="28"/>
  <c r="M239" i="28"/>
  <c r="O239" i="28"/>
  <c r="Q239" i="28"/>
  <c r="S239" i="28"/>
  <c r="U239" i="28"/>
  <c r="W239" i="28"/>
  <c r="Y239" i="28"/>
  <c r="AA239" i="28"/>
  <c r="AC239" i="28"/>
  <c r="C240" i="28"/>
  <c r="E240" i="28"/>
  <c r="G240" i="28"/>
  <c r="I240" i="28"/>
  <c r="K240" i="28"/>
  <c r="M240" i="28"/>
  <c r="O240" i="28"/>
  <c r="Q240" i="28"/>
  <c r="S240" i="28"/>
  <c r="U240" i="28"/>
  <c r="W240" i="28"/>
  <c r="Y240" i="28"/>
  <c r="AA240" i="28"/>
  <c r="AC240" i="28"/>
  <c r="C241" i="28"/>
  <c r="E241" i="28"/>
  <c r="G241" i="28"/>
  <c r="I241" i="28"/>
  <c r="K241" i="28"/>
  <c r="M241" i="28"/>
  <c r="O241" i="28"/>
  <c r="Q241" i="28"/>
  <c r="S241" i="28"/>
  <c r="U241" i="28"/>
  <c r="W241" i="28"/>
  <c r="Y241" i="28"/>
  <c r="AA241" i="28"/>
  <c r="AC241" i="28"/>
  <c r="C242" i="28"/>
  <c r="E242" i="28"/>
  <c r="G242" i="28"/>
  <c r="I242" i="28"/>
  <c r="K242" i="28"/>
  <c r="M242" i="28"/>
  <c r="O242" i="28"/>
  <c r="Q242" i="28"/>
  <c r="S242" i="28"/>
  <c r="U242" i="28"/>
  <c r="W242" i="28"/>
  <c r="Y242" i="28"/>
  <c r="AA242" i="28"/>
  <c r="AC242" i="28"/>
  <c r="C243" i="28"/>
  <c r="E243" i="28"/>
  <c r="G243" i="28"/>
  <c r="I243" i="28"/>
  <c r="K243" i="28"/>
  <c r="M243" i="28"/>
  <c r="O243" i="28"/>
  <c r="Q243" i="28"/>
  <c r="S243" i="28"/>
  <c r="U243" i="28"/>
  <c r="W243" i="28"/>
  <c r="Y243" i="28"/>
  <c r="AA243" i="28"/>
  <c r="AC243" i="28"/>
  <c r="C244" i="28"/>
  <c r="E244" i="28"/>
  <c r="G244" i="28"/>
  <c r="I244" i="28"/>
  <c r="K244" i="28"/>
  <c r="M244" i="28"/>
  <c r="O244" i="28"/>
  <c r="Q244" i="28"/>
  <c r="S244" i="28"/>
  <c r="U244" i="28"/>
  <c r="W244" i="28"/>
  <c r="Y244" i="28"/>
  <c r="AA244" i="28"/>
  <c r="AC244" i="28"/>
  <c r="C245" i="28"/>
  <c r="E245" i="28"/>
  <c r="G245" i="28"/>
  <c r="I245" i="28"/>
  <c r="K245" i="28"/>
  <c r="M245" i="28"/>
  <c r="O245" i="28"/>
  <c r="Q245" i="28"/>
  <c r="S245" i="28"/>
  <c r="U245" i="28"/>
  <c r="W245" i="28"/>
  <c r="Y245" i="28"/>
  <c r="AA245" i="28"/>
  <c r="AC245" i="28"/>
  <c r="C246" i="28"/>
  <c r="E246" i="28"/>
  <c r="G246" i="28"/>
  <c r="I246" i="28"/>
  <c r="K246" i="28"/>
  <c r="M246" i="28"/>
  <c r="O246" i="28"/>
  <c r="Q246" i="28"/>
  <c r="S246" i="28"/>
  <c r="U246" i="28"/>
  <c r="W246" i="28"/>
  <c r="Y246" i="28"/>
  <c r="AA246" i="28"/>
  <c r="AC246" i="28"/>
  <c r="C247" i="28"/>
  <c r="E247" i="28"/>
  <c r="G247" i="28"/>
  <c r="I247" i="28"/>
  <c r="K247" i="28"/>
  <c r="M247" i="28"/>
  <c r="O247" i="28"/>
  <c r="Q247" i="28"/>
  <c r="S247" i="28"/>
  <c r="U247" i="28"/>
  <c r="W247" i="28"/>
  <c r="Y247" i="28"/>
  <c r="AA247" i="28"/>
  <c r="AC247" i="28"/>
  <c r="C248" i="28"/>
  <c r="E248" i="28"/>
  <c r="G248" i="28"/>
  <c r="I248" i="28"/>
  <c r="K248" i="28"/>
  <c r="M248" i="28"/>
  <c r="O248" i="28"/>
  <c r="Q248" i="28"/>
  <c r="S248" i="28"/>
  <c r="U248" i="28"/>
  <c r="W248" i="28"/>
  <c r="Y248" i="28"/>
  <c r="AA248" i="28"/>
  <c r="AC248" i="28"/>
  <c r="C249" i="28"/>
  <c r="E249" i="28"/>
  <c r="G249" i="28"/>
  <c r="I249" i="28"/>
  <c r="K249" i="28"/>
  <c r="M249" i="28"/>
  <c r="O249" i="28"/>
  <c r="Q249" i="28"/>
  <c r="S249" i="28"/>
  <c r="U249" i="28"/>
  <c r="W249" i="28"/>
  <c r="Y249" i="28"/>
  <c r="AA249" i="28"/>
  <c r="AC249" i="28"/>
  <c r="C250" i="28"/>
  <c r="E250" i="28"/>
  <c r="G250" i="28"/>
  <c r="I250" i="28"/>
  <c r="K250" i="28"/>
  <c r="M250" i="28"/>
  <c r="O250" i="28"/>
  <c r="Q250" i="28"/>
  <c r="S250" i="28"/>
  <c r="U250" i="28"/>
  <c r="W250" i="28"/>
  <c r="Y250" i="28"/>
  <c r="AA250" i="28"/>
  <c r="AC250" i="28"/>
  <c r="C251" i="28"/>
  <c r="E251" i="28"/>
  <c r="G251" i="28"/>
  <c r="I251" i="28"/>
  <c r="K251" i="28"/>
  <c r="M251" i="28"/>
  <c r="O251" i="28"/>
  <c r="Q251" i="28"/>
  <c r="S251" i="28"/>
  <c r="U251" i="28"/>
  <c r="W251" i="28"/>
  <c r="Y251" i="28"/>
  <c r="AA251" i="28"/>
  <c r="AC251" i="28"/>
  <c r="C252" i="28"/>
  <c r="E252" i="28"/>
  <c r="G252" i="28"/>
  <c r="I252" i="28"/>
  <c r="K252" i="28"/>
  <c r="M252" i="28"/>
  <c r="O252" i="28"/>
  <c r="Q252" i="28"/>
  <c r="S252" i="28"/>
  <c r="U252" i="28"/>
  <c r="W252" i="28"/>
  <c r="Y252" i="28"/>
  <c r="AA252" i="28"/>
  <c r="AC252" i="28"/>
  <c r="C253" i="28"/>
  <c r="E253" i="28"/>
  <c r="G253" i="28"/>
  <c r="I253" i="28"/>
  <c r="K253" i="28"/>
  <c r="M253" i="28"/>
  <c r="O253" i="28"/>
  <c r="Q253" i="28"/>
  <c r="S253" i="28"/>
  <c r="U253" i="28"/>
  <c r="W253" i="28"/>
  <c r="Y253" i="28"/>
  <c r="AA253" i="28"/>
  <c r="AC253" i="28"/>
  <c r="C44" i="29"/>
  <c r="E44" i="29"/>
  <c r="G44" i="29"/>
  <c r="I44" i="29"/>
  <c r="K44" i="29"/>
  <c r="M44" i="29"/>
  <c r="O44" i="29"/>
  <c r="Q44" i="29"/>
  <c r="S44" i="29"/>
  <c r="U44" i="29"/>
  <c r="W44" i="29"/>
  <c r="Y44" i="29"/>
  <c r="AA44" i="29"/>
  <c r="AC44" i="29"/>
  <c r="AD44" i="29"/>
  <c r="C45" i="29"/>
  <c r="E45" i="29"/>
  <c r="G45" i="29"/>
  <c r="I45" i="29"/>
  <c r="K45" i="29"/>
  <c r="M45" i="29"/>
  <c r="O45" i="29"/>
  <c r="Q45" i="29"/>
  <c r="S45" i="29"/>
  <c r="U45" i="29"/>
  <c r="W45" i="29"/>
  <c r="Y45" i="29"/>
  <c r="AA45" i="29"/>
  <c r="AC45" i="29"/>
  <c r="C46" i="29"/>
  <c r="E46" i="29"/>
  <c r="G46" i="29"/>
  <c r="I46" i="29"/>
  <c r="K46" i="29"/>
  <c r="M46" i="29"/>
  <c r="O46" i="29"/>
  <c r="Q46" i="29"/>
  <c r="S46" i="29"/>
  <c r="U46" i="29"/>
  <c r="W46" i="29"/>
  <c r="Y46" i="29"/>
  <c r="AA46" i="29"/>
  <c r="AC46" i="29"/>
  <c r="C47" i="29"/>
  <c r="E47" i="29"/>
  <c r="G47" i="29"/>
  <c r="I47" i="29"/>
  <c r="K47" i="29"/>
  <c r="M47" i="29"/>
  <c r="O47" i="29"/>
  <c r="Q47" i="29"/>
  <c r="S47" i="29"/>
  <c r="U47" i="29"/>
  <c r="W47" i="29"/>
  <c r="Y47" i="29"/>
  <c r="AA47" i="29"/>
  <c r="AC47" i="29"/>
  <c r="C48" i="29"/>
  <c r="E48" i="29"/>
  <c r="G48" i="29"/>
  <c r="I48" i="29"/>
  <c r="K48" i="29"/>
  <c r="M48" i="29"/>
  <c r="O48" i="29"/>
  <c r="Q48" i="29"/>
  <c r="S48" i="29"/>
  <c r="U48" i="29"/>
  <c r="W48" i="29"/>
  <c r="Y48" i="29"/>
  <c r="AA48" i="29"/>
  <c r="AC48" i="29"/>
  <c r="C49" i="29"/>
  <c r="E49" i="29"/>
  <c r="G49" i="29"/>
  <c r="I49" i="29"/>
  <c r="K49" i="29"/>
  <c r="M49" i="29"/>
  <c r="O49" i="29"/>
  <c r="Q49" i="29"/>
  <c r="S49" i="29"/>
  <c r="U49" i="29"/>
  <c r="W49" i="29"/>
  <c r="Y49" i="29"/>
  <c r="AA49" i="29"/>
  <c r="AC49" i="29"/>
  <c r="C50" i="29"/>
  <c r="E50" i="29"/>
  <c r="G50" i="29"/>
  <c r="I50" i="29"/>
  <c r="K50" i="29"/>
  <c r="M50" i="29"/>
  <c r="O50" i="29"/>
  <c r="Q50" i="29"/>
  <c r="S50" i="29"/>
  <c r="U50" i="29"/>
  <c r="W50" i="29"/>
  <c r="Y50" i="29"/>
  <c r="AA50" i="29"/>
  <c r="AC50" i="29"/>
  <c r="C51" i="29"/>
  <c r="E51" i="29"/>
  <c r="G51" i="29"/>
  <c r="I51" i="29"/>
  <c r="K51" i="29"/>
  <c r="M51" i="29"/>
  <c r="O51" i="29"/>
  <c r="Q51" i="29"/>
  <c r="S51" i="29"/>
  <c r="U51" i="29"/>
  <c r="W51" i="29"/>
  <c r="Y51" i="29"/>
  <c r="AA51" i="29"/>
  <c r="AC51" i="29"/>
  <c r="C52" i="29"/>
  <c r="E52" i="29"/>
  <c r="G52" i="29"/>
  <c r="I52" i="29"/>
  <c r="K52" i="29"/>
  <c r="M52" i="29"/>
  <c r="O52" i="29"/>
  <c r="Q52" i="29"/>
  <c r="S52" i="29"/>
  <c r="U52" i="29"/>
  <c r="W52" i="29"/>
  <c r="Y52" i="29"/>
  <c r="AA52" i="29"/>
  <c r="AC52" i="29"/>
  <c r="C53" i="29"/>
  <c r="E53" i="29"/>
  <c r="G53" i="29"/>
  <c r="I53" i="29"/>
  <c r="K53" i="29"/>
  <c r="M53" i="29"/>
  <c r="O53" i="29"/>
  <c r="Q53" i="29"/>
  <c r="S53" i="29"/>
  <c r="U53" i="29"/>
  <c r="W53" i="29"/>
  <c r="Y53" i="29"/>
  <c r="AA53" i="29"/>
  <c r="AC53" i="29"/>
  <c r="C54" i="29"/>
  <c r="E54" i="29"/>
  <c r="G54" i="29"/>
  <c r="I54" i="29"/>
  <c r="K54" i="29"/>
  <c r="M54" i="29"/>
  <c r="O54" i="29"/>
  <c r="Q54" i="29"/>
  <c r="S54" i="29"/>
  <c r="U54" i="29"/>
  <c r="W54" i="29"/>
  <c r="Y54" i="29"/>
  <c r="AA54" i="29"/>
  <c r="AC54" i="29"/>
  <c r="C55" i="29"/>
  <c r="E55" i="29"/>
  <c r="G55" i="29"/>
  <c r="I55" i="29"/>
  <c r="K55" i="29"/>
  <c r="M55" i="29"/>
  <c r="O55" i="29"/>
  <c r="Q55" i="29"/>
  <c r="S55" i="29"/>
  <c r="U55" i="29"/>
  <c r="W55" i="29"/>
  <c r="Y55" i="29"/>
  <c r="AA55" i="29"/>
  <c r="AC55" i="29"/>
  <c r="C56" i="29"/>
  <c r="E56" i="29"/>
  <c r="G56" i="29"/>
  <c r="I56" i="29"/>
  <c r="K56" i="29"/>
  <c r="M56" i="29"/>
  <c r="O56" i="29"/>
  <c r="Q56" i="29"/>
  <c r="S56" i="29"/>
  <c r="U56" i="29"/>
  <c r="W56" i="29"/>
  <c r="Y56" i="29"/>
  <c r="AA56" i="29"/>
  <c r="AC56" i="29"/>
  <c r="C57" i="29"/>
  <c r="E57" i="29"/>
  <c r="G57" i="29"/>
  <c r="I57" i="29"/>
  <c r="K57" i="29"/>
  <c r="M57" i="29"/>
  <c r="O57" i="29"/>
  <c r="Q57" i="29"/>
  <c r="S57" i="29"/>
  <c r="U57" i="29"/>
  <c r="W57" i="29"/>
  <c r="Y57" i="29"/>
  <c r="AA57" i="29"/>
  <c r="AC57" i="29"/>
  <c r="C58" i="29"/>
  <c r="E58" i="29"/>
  <c r="G58" i="29"/>
  <c r="I58" i="29"/>
  <c r="K58" i="29"/>
  <c r="M58" i="29"/>
  <c r="O58" i="29"/>
  <c r="Q58" i="29"/>
  <c r="S58" i="29"/>
  <c r="U58" i="29"/>
  <c r="W58" i="29"/>
  <c r="Y58" i="29"/>
  <c r="AA58" i="29"/>
  <c r="AC58" i="29"/>
  <c r="C59" i="29"/>
  <c r="E59" i="29"/>
  <c r="G59" i="29"/>
  <c r="I59" i="29"/>
  <c r="K59" i="29"/>
  <c r="M59" i="29"/>
  <c r="O59" i="29"/>
  <c r="Q59" i="29"/>
  <c r="S59" i="29"/>
  <c r="U59" i="29"/>
  <c r="W59" i="29"/>
  <c r="Y59" i="29"/>
  <c r="AA59" i="29"/>
  <c r="AC59" i="29"/>
  <c r="C60" i="29"/>
  <c r="E60" i="29"/>
  <c r="G60" i="29"/>
  <c r="I60" i="29"/>
  <c r="K60" i="29"/>
  <c r="M60" i="29"/>
  <c r="O60" i="29"/>
  <c r="Q60" i="29"/>
  <c r="S60" i="29"/>
  <c r="U60" i="29"/>
  <c r="W60" i="29"/>
  <c r="Y60" i="29"/>
  <c r="AA60" i="29"/>
  <c r="AC60" i="29"/>
  <c r="C61" i="29"/>
  <c r="E61" i="29"/>
  <c r="G61" i="29"/>
  <c r="I61" i="29"/>
  <c r="K61" i="29"/>
  <c r="M61" i="29"/>
  <c r="O61" i="29"/>
  <c r="Q61" i="29"/>
  <c r="S61" i="29"/>
  <c r="U61" i="29"/>
  <c r="W61" i="29"/>
  <c r="Y61" i="29"/>
  <c r="AA61" i="29"/>
  <c r="AC61" i="29"/>
  <c r="C62" i="29"/>
  <c r="E62" i="29"/>
  <c r="G62" i="29"/>
  <c r="I62" i="29"/>
  <c r="K62" i="29"/>
  <c r="M62" i="29"/>
  <c r="O62" i="29"/>
  <c r="Q62" i="29"/>
  <c r="S62" i="29"/>
  <c r="U62" i="29"/>
  <c r="W62" i="29"/>
  <c r="Y62" i="29"/>
  <c r="AA62" i="29"/>
  <c r="AC62" i="29"/>
  <c r="C63" i="29"/>
  <c r="E63" i="29"/>
  <c r="G63" i="29"/>
  <c r="I63" i="29"/>
  <c r="K63" i="29"/>
  <c r="M63" i="29"/>
  <c r="O63" i="29"/>
  <c r="Q63" i="29"/>
  <c r="S63" i="29"/>
  <c r="U63" i="29"/>
  <c r="W63" i="29"/>
  <c r="Y63" i="29"/>
  <c r="AA63" i="29"/>
  <c r="AC63" i="29"/>
  <c r="C64" i="29"/>
  <c r="E64" i="29"/>
  <c r="G64" i="29"/>
  <c r="I64" i="29"/>
  <c r="K64" i="29"/>
  <c r="M64" i="29"/>
  <c r="O64" i="29"/>
  <c r="Q64" i="29"/>
  <c r="S64" i="29"/>
  <c r="U64" i="29"/>
  <c r="W64" i="29"/>
  <c r="Y64" i="29"/>
  <c r="AA64" i="29"/>
  <c r="AC64" i="29"/>
  <c r="C65" i="29"/>
  <c r="E65" i="29"/>
  <c r="G65" i="29"/>
  <c r="I65" i="29"/>
  <c r="K65" i="29"/>
  <c r="M65" i="29"/>
  <c r="O65" i="29"/>
  <c r="Q65" i="29"/>
  <c r="S65" i="29"/>
  <c r="U65" i="29"/>
  <c r="W65" i="29"/>
  <c r="Y65" i="29"/>
  <c r="AA65" i="29"/>
  <c r="AC65" i="29"/>
  <c r="C66" i="29"/>
  <c r="E66" i="29"/>
  <c r="G66" i="29"/>
  <c r="I66" i="29"/>
  <c r="K66" i="29"/>
  <c r="M66" i="29"/>
  <c r="O66" i="29"/>
  <c r="Q66" i="29"/>
  <c r="S66" i="29"/>
  <c r="U66" i="29"/>
  <c r="W66" i="29"/>
  <c r="Y66" i="29"/>
  <c r="AA66" i="29"/>
  <c r="AC66" i="29"/>
  <c r="C67" i="29"/>
  <c r="E67" i="29"/>
  <c r="G67" i="29"/>
  <c r="I67" i="29"/>
  <c r="K67" i="29"/>
  <c r="M67" i="29"/>
  <c r="O67" i="29"/>
  <c r="Q67" i="29"/>
  <c r="S67" i="29"/>
  <c r="U67" i="29"/>
  <c r="W67" i="29"/>
  <c r="Y67" i="29"/>
  <c r="AA67" i="29"/>
  <c r="AC67" i="29"/>
  <c r="C68" i="29"/>
  <c r="E68" i="29"/>
  <c r="G68" i="29"/>
  <c r="I68" i="29"/>
  <c r="K68" i="29"/>
  <c r="M68" i="29"/>
  <c r="O68" i="29"/>
  <c r="Q68" i="29"/>
  <c r="S68" i="29"/>
  <c r="U68" i="29"/>
  <c r="W68" i="29"/>
  <c r="Y68" i="29"/>
  <c r="AA68" i="29"/>
  <c r="AC68" i="29"/>
  <c r="C69" i="29"/>
  <c r="E69" i="29"/>
  <c r="G69" i="29"/>
  <c r="I69" i="29"/>
  <c r="K69" i="29"/>
  <c r="M69" i="29"/>
  <c r="O69" i="29"/>
  <c r="Q69" i="29"/>
  <c r="S69" i="29"/>
  <c r="U69" i="29"/>
  <c r="W69" i="29"/>
  <c r="Y69" i="29"/>
  <c r="AA69" i="29"/>
  <c r="AC69" i="29"/>
  <c r="C70" i="29"/>
  <c r="E70" i="29"/>
  <c r="G70" i="29"/>
  <c r="I70" i="29"/>
  <c r="K70" i="29"/>
  <c r="M70" i="29"/>
  <c r="O70" i="29"/>
  <c r="Q70" i="29"/>
  <c r="S70" i="29"/>
  <c r="U70" i="29"/>
  <c r="W70" i="29"/>
  <c r="Y70" i="29"/>
  <c r="AA70" i="29"/>
  <c r="AC70" i="29"/>
  <c r="C71" i="29"/>
  <c r="E71" i="29"/>
  <c r="G71" i="29"/>
  <c r="I71" i="29"/>
  <c r="K71" i="29"/>
  <c r="M71" i="29"/>
  <c r="O71" i="29"/>
  <c r="Q71" i="29"/>
  <c r="S71" i="29"/>
  <c r="U71" i="29"/>
  <c r="W71" i="29"/>
  <c r="Y71" i="29"/>
  <c r="AA71" i="29"/>
  <c r="AC71" i="29"/>
  <c r="C72" i="29"/>
  <c r="E72" i="29"/>
  <c r="G72" i="29"/>
  <c r="I72" i="29"/>
  <c r="K72" i="29"/>
  <c r="M72" i="29"/>
  <c r="O72" i="29"/>
  <c r="Q72" i="29"/>
  <c r="S72" i="29"/>
  <c r="U72" i="29"/>
  <c r="W72" i="29"/>
  <c r="Y72" i="29"/>
  <c r="AA72" i="29"/>
  <c r="AC72" i="29"/>
  <c r="C73" i="29"/>
  <c r="E73" i="29"/>
  <c r="G73" i="29"/>
  <c r="I73" i="29"/>
  <c r="K73" i="29"/>
  <c r="M73" i="29"/>
  <c r="O73" i="29"/>
  <c r="Q73" i="29"/>
  <c r="S73" i="29"/>
  <c r="U73" i="29"/>
  <c r="W73" i="29"/>
  <c r="Y73" i="29"/>
  <c r="AA73" i="29"/>
  <c r="AC73" i="29"/>
  <c r="C74" i="29"/>
  <c r="E74" i="29"/>
  <c r="G74" i="29"/>
  <c r="I74" i="29"/>
  <c r="K74" i="29"/>
  <c r="M74" i="29"/>
  <c r="O74" i="29"/>
  <c r="Q74" i="29"/>
  <c r="S74" i="29"/>
  <c r="U74" i="29"/>
  <c r="W74" i="29"/>
  <c r="Y74" i="29"/>
  <c r="AA74" i="29"/>
  <c r="AC74" i="29"/>
  <c r="C75" i="29"/>
  <c r="E75" i="29"/>
  <c r="G75" i="29"/>
  <c r="I75" i="29"/>
  <c r="K75" i="29"/>
  <c r="M75" i="29"/>
  <c r="O75" i="29"/>
  <c r="Q75" i="29"/>
  <c r="S75" i="29"/>
  <c r="U75" i="29"/>
  <c r="W75" i="29"/>
  <c r="Y75" i="29"/>
  <c r="AA75" i="29"/>
  <c r="AC75" i="29"/>
  <c r="C76" i="29"/>
  <c r="E76" i="29"/>
  <c r="G76" i="29"/>
  <c r="I76" i="29"/>
  <c r="K76" i="29"/>
  <c r="M76" i="29"/>
  <c r="O76" i="29"/>
  <c r="Q76" i="29"/>
  <c r="S76" i="29"/>
  <c r="U76" i="29"/>
  <c r="W76" i="29"/>
  <c r="Y76" i="29"/>
  <c r="AA76" i="29"/>
  <c r="AC76" i="29"/>
  <c r="C77" i="29"/>
  <c r="E77" i="29"/>
  <c r="G77" i="29"/>
  <c r="I77" i="29"/>
  <c r="K77" i="29"/>
  <c r="M77" i="29"/>
  <c r="O77" i="29"/>
  <c r="Q77" i="29"/>
  <c r="S77" i="29"/>
  <c r="U77" i="29"/>
  <c r="W77" i="29"/>
  <c r="Y77" i="29"/>
  <c r="AA77" i="29"/>
  <c r="AC77" i="29"/>
  <c r="C78" i="29"/>
  <c r="E78" i="29"/>
  <c r="G78" i="29"/>
  <c r="I78" i="29"/>
  <c r="K78" i="29"/>
  <c r="M78" i="29"/>
  <c r="O78" i="29"/>
  <c r="Q78" i="29"/>
  <c r="S78" i="29"/>
  <c r="U78" i="29"/>
  <c r="W78" i="29"/>
  <c r="Y78" i="29"/>
  <c r="AA78" i="29"/>
  <c r="AC78" i="29"/>
  <c r="C79" i="29"/>
  <c r="E79" i="29"/>
  <c r="G79" i="29"/>
  <c r="I79" i="29"/>
  <c r="K79" i="29"/>
  <c r="M79" i="29"/>
  <c r="O79" i="29"/>
  <c r="Q79" i="29"/>
  <c r="S79" i="29"/>
  <c r="U79" i="29"/>
  <c r="W79" i="29"/>
  <c r="Y79" i="29"/>
  <c r="AA79" i="29"/>
  <c r="AC79" i="29"/>
  <c r="AD79" i="29"/>
  <c r="AH79" i="29"/>
  <c r="C80" i="29"/>
  <c r="E80" i="29"/>
  <c r="G80" i="29"/>
  <c r="I80" i="29"/>
  <c r="K80" i="29"/>
  <c r="M80" i="29"/>
  <c r="O80" i="29"/>
  <c r="Q80" i="29"/>
  <c r="S80" i="29"/>
  <c r="U80" i="29"/>
  <c r="W80" i="29"/>
  <c r="Y80" i="29"/>
  <c r="AA80" i="29"/>
  <c r="AC80" i="29"/>
  <c r="C81" i="29"/>
  <c r="E81" i="29"/>
  <c r="G81" i="29"/>
  <c r="I81" i="29"/>
  <c r="K81" i="29"/>
  <c r="M81" i="29"/>
  <c r="O81" i="29"/>
  <c r="Q81" i="29"/>
  <c r="S81" i="29"/>
  <c r="U81" i="29"/>
  <c r="W81" i="29"/>
  <c r="Y81" i="29"/>
  <c r="AA81" i="29"/>
  <c r="AC81" i="29"/>
  <c r="C82" i="29"/>
  <c r="E82" i="29"/>
  <c r="G82" i="29"/>
  <c r="I82" i="29"/>
  <c r="K82" i="29"/>
  <c r="M82" i="29"/>
  <c r="O82" i="29"/>
  <c r="Q82" i="29"/>
  <c r="S82" i="29"/>
  <c r="U82" i="29"/>
  <c r="W82" i="29"/>
  <c r="Y82" i="29"/>
  <c r="AA82" i="29"/>
  <c r="AC82" i="29"/>
  <c r="C83" i="29"/>
  <c r="E83" i="29"/>
  <c r="G83" i="29"/>
  <c r="I83" i="29"/>
  <c r="K83" i="29"/>
  <c r="M83" i="29"/>
  <c r="O83" i="29"/>
  <c r="Q83" i="29"/>
  <c r="S83" i="29"/>
  <c r="U83" i="29"/>
  <c r="W83" i="29"/>
  <c r="Y83" i="29"/>
  <c r="AA83" i="29"/>
  <c r="AC83" i="29"/>
  <c r="C84" i="29"/>
  <c r="E84" i="29"/>
  <c r="G84" i="29"/>
  <c r="I84" i="29"/>
  <c r="K84" i="29"/>
  <c r="M84" i="29"/>
  <c r="O84" i="29"/>
  <c r="Q84" i="29"/>
  <c r="S84" i="29"/>
  <c r="U84" i="29"/>
  <c r="W84" i="29"/>
  <c r="Y84" i="29"/>
  <c r="AA84" i="29"/>
  <c r="AC84" i="29"/>
  <c r="C85" i="29"/>
  <c r="E85" i="29"/>
  <c r="G85" i="29"/>
  <c r="I85" i="29"/>
  <c r="K85" i="29"/>
  <c r="M85" i="29"/>
  <c r="O85" i="29"/>
  <c r="Q85" i="29"/>
  <c r="S85" i="29"/>
  <c r="U85" i="29"/>
  <c r="W85" i="29"/>
  <c r="Y85" i="29"/>
  <c r="AA85" i="29"/>
  <c r="AC85" i="29"/>
  <c r="C86" i="29"/>
  <c r="E86" i="29"/>
  <c r="G86" i="29"/>
  <c r="I86" i="29"/>
  <c r="K86" i="29"/>
  <c r="M86" i="29"/>
  <c r="O86" i="29"/>
  <c r="Q86" i="29"/>
  <c r="S86" i="29"/>
  <c r="U86" i="29"/>
  <c r="W86" i="29"/>
  <c r="Y86" i="29"/>
  <c r="AA86" i="29"/>
  <c r="AC86" i="29"/>
  <c r="C87" i="29"/>
  <c r="E87" i="29"/>
  <c r="G87" i="29"/>
  <c r="I87" i="29"/>
  <c r="K87" i="29"/>
  <c r="M87" i="29"/>
  <c r="O87" i="29"/>
  <c r="Q87" i="29"/>
  <c r="S87" i="29"/>
  <c r="U87" i="29"/>
  <c r="W87" i="29"/>
  <c r="Y87" i="29"/>
  <c r="AA87" i="29"/>
  <c r="AC87" i="29"/>
  <c r="C88" i="29"/>
  <c r="E88" i="29"/>
  <c r="G88" i="29"/>
  <c r="I88" i="29"/>
  <c r="K88" i="29"/>
  <c r="M88" i="29"/>
  <c r="O88" i="29"/>
  <c r="Q88" i="29"/>
  <c r="S88" i="29"/>
  <c r="U88" i="29"/>
  <c r="W88" i="29"/>
  <c r="Y88" i="29"/>
  <c r="AA88" i="29"/>
  <c r="AC88" i="29"/>
  <c r="C89" i="29"/>
  <c r="E89" i="29"/>
  <c r="G89" i="29"/>
  <c r="I89" i="29"/>
  <c r="K89" i="29"/>
  <c r="M89" i="29"/>
  <c r="O89" i="29"/>
  <c r="Q89" i="29"/>
  <c r="S89" i="29"/>
  <c r="U89" i="29"/>
  <c r="W89" i="29"/>
  <c r="Y89" i="29"/>
  <c r="AA89" i="29"/>
  <c r="AC89" i="29"/>
  <c r="C90" i="29"/>
  <c r="E90" i="29"/>
  <c r="G90" i="29"/>
  <c r="I90" i="29"/>
  <c r="K90" i="29"/>
  <c r="M90" i="29"/>
  <c r="O90" i="29"/>
  <c r="Q90" i="29"/>
  <c r="S90" i="29"/>
  <c r="U90" i="29"/>
  <c r="W90" i="29"/>
  <c r="Y90" i="29"/>
  <c r="AA90" i="29"/>
  <c r="AC90" i="29"/>
  <c r="C91" i="29"/>
  <c r="E91" i="29"/>
  <c r="G91" i="29"/>
  <c r="I91" i="29"/>
  <c r="K91" i="29"/>
  <c r="M91" i="29"/>
  <c r="O91" i="29"/>
  <c r="Q91" i="29"/>
  <c r="S91" i="29"/>
  <c r="U91" i="29"/>
  <c r="W91" i="29"/>
  <c r="Y91" i="29"/>
  <c r="AA91" i="29"/>
  <c r="AC91" i="29"/>
  <c r="C92" i="29"/>
  <c r="E92" i="29"/>
  <c r="G92" i="29"/>
  <c r="I92" i="29"/>
  <c r="K92" i="29"/>
  <c r="M92" i="29"/>
  <c r="O92" i="29"/>
  <c r="Q92" i="29"/>
  <c r="S92" i="29"/>
  <c r="U92" i="29"/>
  <c r="W92" i="29"/>
  <c r="Y92" i="29"/>
  <c r="AA92" i="29"/>
  <c r="AC92" i="29"/>
  <c r="C93" i="29"/>
  <c r="E93" i="29"/>
  <c r="G93" i="29"/>
  <c r="I93" i="29"/>
  <c r="K93" i="29"/>
  <c r="M93" i="29"/>
  <c r="O93" i="29"/>
  <c r="Q93" i="29"/>
  <c r="S93" i="29"/>
  <c r="U93" i="29"/>
  <c r="W93" i="29"/>
  <c r="Y93" i="29"/>
  <c r="AA93" i="29"/>
  <c r="AC93" i="29"/>
  <c r="C94" i="29"/>
  <c r="E94" i="29"/>
  <c r="G94" i="29"/>
  <c r="I94" i="29"/>
  <c r="K94" i="29"/>
  <c r="M94" i="29"/>
  <c r="O94" i="29"/>
  <c r="Q94" i="29"/>
  <c r="S94" i="29"/>
  <c r="U94" i="29"/>
  <c r="W94" i="29"/>
  <c r="Y94" i="29"/>
  <c r="AA94" i="29"/>
  <c r="AC94" i="29"/>
  <c r="C95" i="29"/>
  <c r="E95" i="29"/>
  <c r="G95" i="29"/>
  <c r="I95" i="29"/>
  <c r="K95" i="29"/>
  <c r="M95" i="29"/>
  <c r="O95" i="29"/>
  <c r="Q95" i="29"/>
  <c r="S95" i="29"/>
  <c r="U95" i="29"/>
  <c r="W95" i="29"/>
  <c r="Y95" i="29"/>
  <c r="AA95" i="29"/>
  <c r="AC95" i="29"/>
  <c r="C96" i="29"/>
  <c r="E96" i="29"/>
  <c r="G96" i="29"/>
  <c r="I96" i="29"/>
  <c r="K96" i="29"/>
  <c r="M96" i="29"/>
  <c r="O96" i="29"/>
  <c r="Q96" i="29"/>
  <c r="S96" i="29"/>
  <c r="U96" i="29"/>
  <c r="W96" i="29"/>
  <c r="Y96" i="29"/>
  <c r="AA96" i="29"/>
  <c r="AC96" i="29"/>
  <c r="C97" i="29"/>
  <c r="E97" i="29"/>
  <c r="G97" i="29"/>
  <c r="I97" i="29"/>
  <c r="K97" i="29"/>
  <c r="M97" i="29"/>
  <c r="O97" i="29"/>
  <c r="Q97" i="29"/>
  <c r="S97" i="29"/>
  <c r="U97" i="29"/>
  <c r="W97" i="29"/>
  <c r="Y97" i="29"/>
  <c r="AA97" i="29"/>
  <c r="AC97" i="29"/>
  <c r="C98" i="29"/>
  <c r="E98" i="29"/>
  <c r="G98" i="29"/>
  <c r="I98" i="29"/>
  <c r="K98" i="29"/>
  <c r="M98" i="29"/>
  <c r="O98" i="29"/>
  <c r="Q98" i="29"/>
  <c r="S98" i="29"/>
  <c r="U98" i="29"/>
  <c r="W98" i="29"/>
  <c r="Y98" i="29"/>
  <c r="AA98" i="29"/>
  <c r="AC98" i="29"/>
  <c r="C99" i="29"/>
  <c r="E99" i="29"/>
  <c r="G99" i="29"/>
  <c r="I99" i="29"/>
  <c r="K99" i="29"/>
  <c r="M99" i="29"/>
  <c r="O99" i="29"/>
  <c r="Q99" i="29"/>
  <c r="S99" i="29"/>
  <c r="U99" i="29"/>
  <c r="W99" i="29"/>
  <c r="Y99" i="29"/>
  <c r="AA99" i="29"/>
  <c r="AC99" i="29"/>
  <c r="C100" i="29"/>
  <c r="E100" i="29"/>
  <c r="G100" i="29"/>
  <c r="I100" i="29"/>
  <c r="K100" i="29"/>
  <c r="M100" i="29"/>
  <c r="O100" i="29"/>
  <c r="Q100" i="29"/>
  <c r="S100" i="29"/>
  <c r="U100" i="29"/>
  <c r="W100" i="29"/>
  <c r="Y100" i="29"/>
  <c r="AA100" i="29"/>
  <c r="AC100" i="29"/>
  <c r="C101" i="29"/>
  <c r="E101" i="29"/>
  <c r="G101" i="29"/>
  <c r="I101" i="29"/>
  <c r="K101" i="29"/>
  <c r="M101" i="29"/>
  <c r="O101" i="29"/>
  <c r="Q101" i="29"/>
  <c r="S101" i="29"/>
  <c r="U101" i="29"/>
  <c r="W101" i="29"/>
  <c r="Y101" i="29"/>
  <c r="AA101" i="29"/>
  <c r="AC101" i="29"/>
  <c r="C102" i="29"/>
  <c r="E102" i="29"/>
  <c r="G102" i="29"/>
  <c r="I102" i="29"/>
  <c r="K102" i="29"/>
  <c r="M102" i="29"/>
  <c r="O102" i="29"/>
  <c r="Q102" i="29"/>
  <c r="S102" i="29"/>
  <c r="U102" i="29"/>
  <c r="W102" i="29"/>
  <c r="Y102" i="29"/>
  <c r="AA102" i="29"/>
  <c r="AC102" i="29"/>
  <c r="C103" i="29"/>
  <c r="E103" i="29"/>
  <c r="G103" i="29"/>
  <c r="I103" i="29"/>
  <c r="K103" i="29"/>
  <c r="M103" i="29"/>
  <c r="O103" i="29"/>
  <c r="Q103" i="29"/>
  <c r="S103" i="29"/>
  <c r="U103" i="29"/>
  <c r="W103" i="29"/>
  <c r="Y103" i="29"/>
  <c r="AA103" i="29"/>
  <c r="AC103" i="29"/>
  <c r="C104" i="29"/>
  <c r="E104" i="29"/>
  <c r="G104" i="29"/>
  <c r="I104" i="29"/>
  <c r="K104" i="29"/>
  <c r="M104" i="29"/>
  <c r="O104" i="29"/>
  <c r="Q104" i="29"/>
  <c r="S104" i="29"/>
  <c r="U104" i="29"/>
  <c r="W104" i="29"/>
  <c r="Y104" i="29"/>
  <c r="AA104" i="29"/>
  <c r="AC104" i="29"/>
  <c r="C105" i="29"/>
  <c r="E105" i="29"/>
  <c r="G105" i="29"/>
  <c r="I105" i="29"/>
  <c r="K105" i="29"/>
  <c r="M105" i="29"/>
  <c r="O105" i="29"/>
  <c r="Q105" i="29"/>
  <c r="S105" i="29"/>
  <c r="U105" i="29"/>
  <c r="W105" i="29"/>
  <c r="Y105" i="29"/>
  <c r="AA105" i="29"/>
  <c r="AC105" i="29"/>
  <c r="C106" i="29"/>
  <c r="E106" i="29"/>
  <c r="G106" i="29"/>
  <c r="I106" i="29"/>
  <c r="K106" i="29"/>
  <c r="M106" i="29"/>
  <c r="O106" i="29"/>
  <c r="Q106" i="29"/>
  <c r="S106" i="29"/>
  <c r="U106" i="29"/>
  <c r="W106" i="29"/>
  <c r="Y106" i="29"/>
  <c r="AA106" i="29"/>
  <c r="AC106" i="29"/>
  <c r="C107" i="29"/>
  <c r="E107" i="29"/>
  <c r="G107" i="29"/>
  <c r="I107" i="29"/>
  <c r="K107" i="29"/>
  <c r="M107" i="29"/>
  <c r="O107" i="29"/>
  <c r="Q107" i="29"/>
  <c r="S107" i="29"/>
  <c r="U107" i="29"/>
  <c r="W107" i="29"/>
  <c r="Y107" i="29"/>
  <c r="AA107" i="29"/>
  <c r="AC107" i="29"/>
  <c r="C108" i="29"/>
  <c r="E108" i="29"/>
  <c r="G108" i="29"/>
  <c r="I108" i="29"/>
  <c r="K108" i="29"/>
  <c r="M108" i="29"/>
  <c r="O108" i="29"/>
  <c r="Q108" i="29"/>
  <c r="S108" i="29"/>
  <c r="U108" i="29"/>
  <c r="W108" i="29"/>
  <c r="Y108" i="29"/>
  <c r="AA108" i="29"/>
  <c r="AC108" i="29"/>
  <c r="C109" i="29"/>
  <c r="E109" i="29"/>
  <c r="G109" i="29"/>
  <c r="I109" i="29"/>
  <c r="K109" i="29"/>
  <c r="M109" i="29"/>
  <c r="O109" i="29"/>
  <c r="Q109" i="29"/>
  <c r="S109" i="29"/>
  <c r="U109" i="29"/>
  <c r="W109" i="29"/>
  <c r="Y109" i="29"/>
  <c r="AA109" i="29"/>
  <c r="AC109" i="29"/>
  <c r="C110" i="29"/>
  <c r="E110" i="29"/>
  <c r="G110" i="29"/>
  <c r="I110" i="29"/>
  <c r="K110" i="29"/>
  <c r="M110" i="29"/>
  <c r="O110" i="29"/>
  <c r="Q110" i="29"/>
  <c r="S110" i="29"/>
  <c r="U110" i="29"/>
  <c r="W110" i="29"/>
  <c r="Y110" i="29"/>
  <c r="AA110" i="29"/>
  <c r="AC110" i="29"/>
  <c r="C111" i="29"/>
  <c r="E111" i="29"/>
  <c r="G111" i="29"/>
  <c r="I111" i="29"/>
  <c r="K111" i="29"/>
  <c r="M111" i="29"/>
  <c r="O111" i="29"/>
  <c r="Q111" i="29"/>
  <c r="S111" i="29"/>
  <c r="U111" i="29"/>
  <c r="W111" i="29"/>
  <c r="Y111" i="29"/>
  <c r="AA111" i="29"/>
  <c r="AC111" i="29"/>
  <c r="C112" i="29"/>
  <c r="E112" i="29"/>
  <c r="G112" i="29"/>
  <c r="I112" i="29"/>
  <c r="K112" i="29"/>
  <c r="M112" i="29"/>
  <c r="O112" i="29"/>
  <c r="Q112" i="29"/>
  <c r="S112" i="29"/>
  <c r="U112" i="29"/>
  <c r="W112" i="29"/>
  <c r="Y112" i="29"/>
  <c r="AA112" i="29"/>
  <c r="AC112" i="29"/>
  <c r="C113" i="29"/>
  <c r="E113" i="29"/>
  <c r="G113" i="29"/>
  <c r="I113" i="29"/>
  <c r="K113" i="29"/>
  <c r="M113" i="29"/>
  <c r="O113" i="29"/>
  <c r="Q113" i="29"/>
  <c r="S113" i="29"/>
  <c r="U113" i="29"/>
  <c r="W113" i="29"/>
  <c r="Y113" i="29"/>
  <c r="AA113" i="29"/>
  <c r="AC113" i="29"/>
  <c r="C114" i="29"/>
  <c r="E114" i="29"/>
  <c r="G114" i="29"/>
  <c r="I114" i="29"/>
  <c r="K114" i="29"/>
  <c r="M114" i="29"/>
  <c r="O114" i="29"/>
  <c r="S114" i="29"/>
  <c r="U114" i="29"/>
  <c r="W114" i="29"/>
  <c r="Y114" i="29"/>
  <c r="AA114" i="29"/>
  <c r="AC114" i="29"/>
  <c r="AD114" i="29"/>
  <c r="AH114" i="29"/>
  <c r="C115" i="29"/>
  <c r="E115" i="29"/>
  <c r="G115" i="29"/>
  <c r="I115" i="29"/>
  <c r="K115" i="29"/>
  <c r="M115" i="29"/>
  <c r="O115" i="29"/>
  <c r="S115" i="29"/>
  <c r="U115" i="29"/>
  <c r="W115" i="29"/>
  <c r="Y115" i="29"/>
  <c r="AA115" i="29"/>
  <c r="AC115" i="29"/>
  <c r="C116" i="29"/>
  <c r="E116" i="29"/>
  <c r="G116" i="29"/>
  <c r="I116" i="29"/>
  <c r="K116" i="29"/>
  <c r="M116" i="29"/>
  <c r="O116" i="29"/>
  <c r="S116" i="29"/>
  <c r="U116" i="29"/>
  <c r="W116" i="29"/>
  <c r="Y116" i="29"/>
  <c r="AA116" i="29"/>
  <c r="AC116" i="29"/>
  <c r="C117" i="29"/>
  <c r="E117" i="29"/>
  <c r="G117" i="29"/>
  <c r="I117" i="29"/>
  <c r="K117" i="29"/>
  <c r="M117" i="29"/>
  <c r="O117" i="29"/>
  <c r="S117" i="29"/>
  <c r="U117" i="29"/>
  <c r="W117" i="29"/>
  <c r="Y117" i="29"/>
  <c r="AA117" i="29"/>
  <c r="AC117" i="29"/>
  <c r="C118" i="29"/>
  <c r="E118" i="29"/>
  <c r="G118" i="29"/>
  <c r="I118" i="29"/>
  <c r="K118" i="29"/>
  <c r="M118" i="29"/>
  <c r="O118" i="29"/>
  <c r="S118" i="29"/>
  <c r="U118" i="29"/>
  <c r="W118" i="29"/>
  <c r="Y118" i="29"/>
  <c r="AA118" i="29"/>
  <c r="AC118" i="29"/>
  <c r="C119" i="29"/>
  <c r="E119" i="29"/>
  <c r="G119" i="29"/>
  <c r="I119" i="29"/>
  <c r="K119" i="29"/>
  <c r="M119" i="29"/>
  <c r="O119" i="29"/>
  <c r="S119" i="29"/>
  <c r="U119" i="29"/>
  <c r="W119" i="29"/>
  <c r="Y119" i="29"/>
  <c r="AA119" i="29"/>
  <c r="AC119" i="29"/>
  <c r="C120" i="29"/>
  <c r="E120" i="29"/>
  <c r="G120" i="29"/>
  <c r="I120" i="29"/>
  <c r="K120" i="29"/>
  <c r="M120" i="29"/>
  <c r="O120" i="29"/>
  <c r="S120" i="29"/>
  <c r="U120" i="29"/>
  <c r="W120" i="29"/>
  <c r="Y120" i="29"/>
  <c r="AA120" i="29"/>
  <c r="AC120" i="29"/>
  <c r="C121" i="29"/>
  <c r="E121" i="29"/>
  <c r="G121" i="29"/>
  <c r="I121" i="29"/>
  <c r="K121" i="29"/>
  <c r="M121" i="29"/>
  <c r="O121" i="29"/>
  <c r="S121" i="29"/>
  <c r="U121" i="29"/>
  <c r="W121" i="29"/>
  <c r="Y121" i="29"/>
  <c r="AA121" i="29"/>
  <c r="AC121" i="29"/>
  <c r="C122" i="29"/>
  <c r="E122" i="29"/>
  <c r="G122" i="29"/>
  <c r="I122" i="29"/>
  <c r="K122" i="29"/>
  <c r="M122" i="29"/>
  <c r="O122" i="29"/>
  <c r="S122" i="29"/>
  <c r="U122" i="29"/>
  <c r="W122" i="29"/>
  <c r="Y122" i="29"/>
  <c r="AA122" i="29"/>
  <c r="AC122" i="29"/>
  <c r="C123" i="29"/>
  <c r="E123" i="29"/>
  <c r="G123" i="29"/>
  <c r="I123" i="29"/>
  <c r="K123" i="29"/>
  <c r="M123" i="29"/>
  <c r="O123" i="29"/>
  <c r="S123" i="29"/>
  <c r="U123" i="29"/>
  <c r="W123" i="29"/>
  <c r="Y123" i="29"/>
  <c r="AA123" i="29"/>
  <c r="AC123" i="29"/>
  <c r="C124" i="29"/>
  <c r="E124" i="29"/>
  <c r="G124" i="29"/>
  <c r="I124" i="29"/>
  <c r="K124" i="29"/>
  <c r="M124" i="29"/>
  <c r="O124" i="29"/>
  <c r="S124" i="29"/>
  <c r="U124" i="29"/>
  <c r="W124" i="29"/>
  <c r="Y124" i="29"/>
  <c r="AA124" i="29"/>
  <c r="AC124" i="29"/>
  <c r="C125" i="29"/>
  <c r="E125" i="29"/>
  <c r="G125" i="29"/>
  <c r="I125" i="29"/>
  <c r="K125" i="29"/>
  <c r="M125" i="29"/>
  <c r="O125" i="29"/>
  <c r="S125" i="29"/>
  <c r="U125" i="29"/>
  <c r="W125" i="29"/>
  <c r="Y125" i="29"/>
  <c r="AA125" i="29"/>
  <c r="AC125" i="29"/>
  <c r="C126" i="29"/>
  <c r="E126" i="29"/>
  <c r="G126" i="29"/>
  <c r="I126" i="29"/>
  <c r="K126" i="29"/>
  <c r="M126" i="29"/>
  <c r="O126" i="29"/>
  <c r="S126" i="29"/>
  <c r="U126" i="29"/>
  <c r="W126" i="29"/>
  <c r="Y126" i="29"/>
  <c r="AA126" i="29"/>
  <c r="AC126" i="29"/>
  <c r="C127" i="29"/>
  <c r="E127" i="29"/>
  <c r="G127" i="29"/>
  <c r="I127" i="29"/>
  <c r="K127" i="29"/>
  <c r="M127" i="29"/>
  <c r="O127" i="29"/>
  <c r="S127" i="29"/>
  <c r="U127" i="29"/>
  <c r="W127" i="29"/>
  <c r="Y127" i="29"/>
  <c r="AA127" i="29"/>
  <c r="AC127" i="29"/>
  <c r="C128" i="29"/>
  <c r="E128" i="29"/>
  <c r="G128" i="29"/>
  <c r="I128" i="29"/>
  <c r="K128" i="29"/>
  <c r="M128" i="29"/>
  <c r="O128" i="29"/>
  <c r="S128" i="29"/>
  <c r="U128" i="29"/>
  <c r="W128" i="29"/>
  <c r="Y128" i="29"/>
  <c r="AA128" i="29"/>
  <c r="AC128" i="29"/>
  <c r="C129" i="29"/>
  <c r="E129" i="29"/>
  <c r="G129" i="29"/>
  <c r="I129" i="29"/>
  <c r="K129" i="29"/>
  <c r="M129" i="29"/>
  <c r="O129" i="29"/>
  <c r="S129" i="29"/>
  <c r="U129" i="29"/>
  <c r="W129" i="29"/>
  <c r="Y129" i="29"/>
  <c r="AA129" i="29"/>
  <c r="AC129" i="29"/>
  <c r="C130" i="29"/>
  <c r="E130" i="29"/>
  <c r="G130" i="29"/>
  <c r="I130" i="29"/>
  <c r="K130" i="29"/>
  <c r="M130" i="29"/>
  <c r="O130" i="29"/>
  <c r="S130" i="29"/>
  <c r="U130" i="29"/>
  <c r="W130" i="29"/>
  <c r="Y130" i="29"/>
  <c r="AA130" i="29"/>
  <c r="AC130" i="29"/>
  <c r="C131" i="29"/>
  <c r="E131" i="29"/>
  <c r="G131" i="29"/>
  <c r="I131" i="29"/>
  <c r="K131" i="29"/>
  <c r="M131" i="29"/>
  <c r="O131" i="29"/>
  <c r="S131" i="29"/>
  <c r="U131" i="29"/>
  <c r="W131" i="29"/>
  <c r="Y131" i="29"/>
  <c r="AA131" i="29"/>
  <c r="AC131" i="29"/>
  <c r="C132" i="29"/>
  <c r="E132" i="29"/>
  <c r="G132" i="29"/>
  <c r="I132" i="29"/>
  <c r="K132" i="29"/>
  <c r="M132" i="29"/>
  <c r="O132" i="29"/>
  <c r="S132" i="29"/>
  <c r="U132" i="29"/>
  <c r="W132" i="29"/>
  <c r="Y132" i="29"/>
  <c r="AA132" i="29"/>
  <c r="AC132" i="29"/>
  <c r="C133" i="29"/>
  <c r="E133" i="29"/>
  <c r="G133" i="29"/>
  <c r="I133" i="29"/>
  <c r="K133" i="29"/>
  <c r="M133" i="29"/>
  <c r="O133" i="29"/>
  <c r="S133" i="29"/>
  <c r="U133" i="29"/>
  <c r="W133" i="29"/>
  <c r="Y133" i="29"/>
  <c r="AA133" i="29"/>
  <c r="AC133" i="29"/>
  <c r="C134" i="29"/>
  <c r="E134" i="29"/>
  <c r="G134" i="29"/>
  <c r="I134" i="29"/>
  <c r="K134" i="29"/>
  <c r="M134" i="29"/>
  <c r="O134" i="29"/>
  <c r="S134" i="29"/>
  <c r="U134" i="29"/>
  <c r="W134" i="29"/>
  <c r="Y134" i="29"/>
  <c r="AA134" i="29"/>
  <c r="AC134" i="29"/>
  <c r="C135" i="29"/>
  <c r="E135" i="29"/>
  <c r="G135" i="29"/>
  <c r="I135" i="29"/>
  <c r="K135" i="29"/>
  <c r="M135" i="29"/>
  <c r="O135" i="29"/>
  <c r="S135" i="29"/>
  <c r="U135" i="29"/>
  <c r="W135" i="29"/>
  <c r="Y135" i="29"/>
  <c r="AA135" i="29"/>
  <c r="AC135" i="29"/>
  <c r="C136" i="29"/>
  <c r="E136" i="29"/>
  <c r="G136" i="29"/>
  <c r="I136" i="29"/>
  <c r="K136" i="29"/>
  <c r="M136" i="29"/>
  <c r="O136" i="29"/>
  <c r="S136" i="29"/>
  <c r="U136" i="29"/>
  <c r="W136" i="29"/>
  <c r="Y136" i="29"/>
  <c r="AA136" i="29"/>
  <c r="AC136" i="29"/>
  <c r="C137" i="29"/>
  <c r="E137" i="29"/>
  <c r="G137" i="29"/>
  <c r="I137" i="29"/>
  <c r="K137" i="29"/>
  <c r="M137" i="29"/>
  <c r="O137" i="29"/>
  <c r="S137" i="29"/>
  <c r="U137" i="29"/>
  <c r="W137" i="29"/>
  <c r="Y137" i="29"/>
  <c r="AA137" i="29"/>
  <c r="AC137" i="29"/>
  <c r="C138" i="29"/>
  <c r="E138" i="29"/>
  <c r="G138" i="29"/>
  <c r="I138" i="29"/>
  <c r="K138" i="29"/>
  <c r="M138" i="29"/>
  <c r="O138" i="29"/>
  <c r="S138" i="29"/>
  <c r="U138" i="29"/>
  <c r="W138" i="29"/>
  <c r="Y138" i="29"/>
  <c r="AA138" i="29"/>
  <c r="AC138" i="29"/>
  <c r="C139" i="29"/>
  <c r="E139" i="29"/>
  <c r="G139" i="29"/>
  <c r="I139" i="29"/>
  <c r="K139" i="29"/>
  <c r="M139" i="29"/>
  <c r="O139" i="29"/>
  <c r="S139" i="29"/>
  <c r="U139" i="29"/>
  <c r="W139" i="29"/>
  <c r="Y139" i="29"/>
  <c r="AA139" i="29"/>
  <c r="AC139" i="29"/>
  <c r="C140" i="29"/>
  <c r="E140" i="29"/>
  <c r="G140" i="29"/>
  <c r="I140" i="29"/>
  <c r="K140" i="29"/>
  <c r="M140" i="29"/>
  <c r="O140" i="29"/>
  <c r="S140" i="29"/>
  <c r="U140" i="29"/>
  <c r="W140" i="29"/>
  <c r="Y140" i="29"/>
  <c r="AA140" i="29"/>
  <c r="AC140" i="29"/>
  <c r="C141" i="29"/>
  <c r="E141" i="29"/>
  <c r="G141" i="29"/>
  <c r="I141" i="29"/>
  <c r="K141" i="29"/>
  <c r="M141" i="29"/>
  <c r="O141" i="29"/>
  <c r="S141" i="29"/>
  <c r="U141" i="29"/>
  <c r="W141" i="29"/>
  <c r="Y141" i="29"/>
  <c r="AA141" i="29"/>
  <c r="AC141" i="29"/>
  <c r="C142" i="29"/>
  <c r="E142" i="29"/>
  <c r="G142" i="29"/>
  <c r="I142" i="29"/>
  <c r="K142" i="29"/>
  <c r="M142" i="29"/>
  <c r="O142" i="29"/>
  <c r="S142" i="29"/>
  <c r="U142" i="29"/>
  <c r="W142" i="29"/>
  <c r="Y142" i="29"/>
  <c r="AA142" i="29"/>
  <c r="AC142" i="29"/>
  <c r="C143" i="29"/>
  <c r="E143" i="29"/>
  <c r="G143" i="29"/>
  <c r="I143" i="29"/>
  <c r="K143" i="29"/>
  <c r="M143" i="29"/>
  <c r="O143" i="29"/>
  <c r="S143" i="29"/>
  <c r="U143" i="29"/>
  <c r="W143" i="29"/>
  <c r="Y143" i="29"/>
  <c r="AA143" i="29"/>
  <c r="AC143" i="29"/>
  <c r="C144" i="29"/>
  <c r="E144" i="29"/>
  <c r="G144" i="29"/>
  <c r="I144" i="29"/>
  <c r="K144" i="29"/>
  <c r="M144" i="29"/>
  <c r="O144" i="29"/>
  <c r="S144" i="29"/>
  <c r="U144" i="29"/>
  <c r="W144" i="29"/>
  <c r="Y144" i="29"/>
  <c r="AA144" i="29"/>
  <c r="AC144" i="29"/>
  <c r="C145" i="29"/>
  <c r="E145" i="29"/>
  <c r="G145" i="29"/>
  <c r="I145" i="29"/>
  <c r="K145" i="29"/>
  <c r="M145" i="29"/>
  <c r="O145" i="29"/>
  <c r="S145" i="29"/>
  <c r="U145" i="29"/>
  <c r="W145" i="29"/>
  <c r="Y145" i="29"/>
  <c r="AA145" i="29"/>
  <c r="AC145" i="29"/>
  <c r="C146" i="29"/>
  <c r="E146" i="29"/>
  <c r="G146" i="29"/>
  <c r="I146" i="29"/>
  <c r="K146" i="29"/>
  <c r="M146" i="29"/>
  <c r="O146" i="29"/>
  <c r="S146" i="29"/>
  <c r="U146" i="29"/>
  <c r="W146" i="29"/>
  <c r="Y146" i="29"/>
  <c r="AA146" i="29"/>
  <c r="AC146" i="29"/>
  <c r="C147" i="29"/>
  <c r="E147" i="29"/>
  <c r="G147" i="29"/>
  <c r="I147" i="29"/>
  <c r="K147" i="29"/>
  <c r="M147" i="29"/>
  <c r="O147" i="29"/>
  <c r="S147" i="29"/>
  <c r="U147" i="29"/>
  <c r="W147" i="29"/>
  <c r="Y147" i="29"/>
  <c r="AA147" i="29"/>
  <c r="AC147" i="29"/>
  <c r="C148" i="29"/>
  <c r="E148" i="29"/>
  <c r="G148" i="29"/>
  <c r="I148" i="29"/>
  <c r="K148" i="29"/>
  <c r="M148" i="29"/>
  <c r="O148" i="29"/>
  <c r="S148" i="29"/>
  <c r="U148" i="29"/>
  <c r="W148" i="29"/>
  <c r="Y148" i="29"/>
  <c r="AA148" i="29"/>
  <c r="AC148" i="29"/>
  <c r="C149" i="29"/>
  <c r="E149" i="29"/>
  <c r="G149" i="29"/>
  <c r="I149" i="29"/>
  <c r="K149" i="29"/>
  <c r="M149" i="29"/>
  <c r="O149" i="29"/>
  <c r="S149" i="29"/>
  <c r="U149" i="29"/>
  <c r="W149" i="29"/>
  <c r="Y149" i="29"/>
  <c r="AA149" i="29"/>
  <c r="AC149" i="29"/>
  <c r="AD149" i="29"/>
  <c r="AH149" i="29"/>
  <c r="C150" i="29"/>
  <c r="E150" i="29"/>
  <c r="G150" i="29"/>
  <c r="I150" i="29"/>
  <c r="K150" i="29"/>
  <c r="O150" i="29"/>
  <c r="Q150" i="29"/>
  <c r="S150" i="29"/>
  <c r="U150" i="29"/>
  <c r="W150" i="29"/>
  <c r="Y150" i="29"/>
  <c r="AA150" i="29"/>
  <c r="AC150" i="29"/>
  <c r="C151" i="29"/>
  <c r="E151" i="29"/>
  <c r="G151" i="29"/>
  <c r="I151" i="29"/>
  <c r="K151" i="29"/>
  <c r="O151" i="29"/>
  <c r="Q151" i="29"/>
  <c r="S151" i="29"/>
  <c r="U151" i="29"/>
  <c r="W151" i="29"/>
  <c r="Y151" i="29"/>
  <c r="AA151" i="29"/>
  <c r="AC151" i="29"/>
  <c r="C152" i="29"/>
  <c r="E152" i="29"/>
  <c r="G152" i="29"/>
  <c r="I152" i="29"/>
  <c r="K152" i="29"/>
  <c r="O152" i="29"/>
  <c r="Q152" i="29"/>
  <c r="S152" i="29"/>
  <c r="U152" i="29"/>
  <c r="W152" i="29"/>
  <c r="Y152" i="29"/>
  <c r="AA152" i="29"/>
  <c r="AC152" i="29"/>
  <c r="C153" i="29"/>
  <c r="E153" i="29"/>
  <c r="G153" i="29"/>
  <c r="I153" i="29"/>
  <c r="K153" i="29"/>
  <c r="O153" i="29"/>
  <c r="Q153" i="29"/>
  <c r="S153" i="29"/>
  <c r="U153" i="29"/>
  <c r="W153" i="29"/>
  <c r="Y153" i="29"/>
  <c r="AA153" i="29"/>
  <c r="AC153" i="29"/>
  <c r="C154" i="29"/>
  <c r="E154" i="29"/>
  <c r="G154" i="29"/>
  <c r="I154" i="29"/>
  <c r="K154" i="29"/>
  <c r="O154" i="29"/>
  <c r="Q154" i="29"/>
  <c r="S154" i="29"/>
  <c r="U154" i="29"/>
  <c r="W154" i="29"/>
  <c r="Y154" i="29"/>
  <c r="AA154" i="29"/>
  <c r="AC154" i="29"/>
  <c r="C155" i="29"/>
  <c r="E155" i="29"/>
  <c r="G155" i="29"/>
  <c r="I155" i="29"/>
  <c r="K155" i="29"/>
  <c r="O155" i="29"/>
  <c r="Q155" i="29"/>
  <c r="S155" i="29"/>
  <c r="U155" i="29"/>
  <c r="W155" i="29"/>
  <c r="Y155" i="29"/>
  <c r="AA155" i="29"/>
  <c r="AC155" i="29"/>
  <c r="C156" i="29"/>
  <c r="E156" i="29"/>
  <c r="G156" i="29"/>
  <c r="I156" i="29"/>
  <c r="K156" i="29"/>
  <c r="O156" i="29"/>
  <c r="Q156" i="29"/>
  <c r="S156" i="29"/>
  <c r="U156" i="29"/>
  <c r="W156" i="29"/>
  <c r="Y156" i="29"/>
  <c r="AA156" i="29"/>
  <c r="AC156" i="29"/>
  <c r="C157" i="29"/>
  <c r="E157" i="29"/>
  <c r="G157" i="29"/>
  <c r="I157" i="29"/>
  <c r="K157" i="29"/>
  <c r="O157" i="29"/>
  <c r="Q157" i="29"/>
  <c r="S157" i="29"/>
  <c r="U157" i="29"/>
  <c r="W157" i="29"/>
  <c r="Y157" i="29"/>
  <c r="AA157" i="29"/>
  <c r="AC157" i="29"/>
  <c r="C158" i="29"/>
  <c r="E158" i="29"/>
  <c r="G158" i="29"/>
  <c r="I158" i="29"/>
  <c r="K158" i="29"/>
  <c r="O158" i="29"/>
  <c r="Q158" i="29"/>
  <c r="S158" i="29"/>
  <c r="U158" i="29"/>
  <c r="W158" i="29"/>
  <c r="Y158" i="29"/>
  <c r="AA158" i="29"/>
  <c r="AC158" i="29"/>
  <c r="C159" i="29"/>
  <c r="E159" i="29"/>
  <c r="G159" i="29"/>
  <c r="I159" i="29"/>
  <c r="K159" i="29"/>
  <c r="O159" i="29"/>
  <c r="Q159" i="29"/>
  <c r="S159" i="29"/>
  <c r="U159" i="29"/>
  <c r="W159" i="29"/>
  <c r="Y159" i="29"/>
  <c r="AA159" i="29"/>
  <c r="AC159" i="29"/>
  <c r="C160" i="29"/>
  <c r="E160" i="29"/>
  <c r="G160" i="29"/>
  <c r="I160" i="29"/>
  <c r="K160" i="29"/>
  <c r="O160" i="29"/>
  <c r="Q160" i="29"/>
  <c r="S160" i="29"/>
  <c r="U160" i="29"/>
  <c r="W160" i="29"/>
  <c r="Y160" i="29"/>
  <c r="AA160" i="29"/>
  <c r="AC160" i="29"/>
  <c r="C161" i="29"/>
  <c r="E161" i="29"/>
  <c r="G161" i="29"/>
  <c r="I161" i="29"/>
  <c r="K161" i="29"/>
  <c r="O161" i="29"/>
  <c r="Q161" i="29"/>
  <c r="S161" i="29"/>
  <c r="U161" i="29"/>
  <c r="W161" i="29"/>
  <c r="Y161" i="29"/>
  <c r="AA161" i="29"/>
  <c r="AC161" i="29"/>
  <c r="C162" i="29"/>
  <c r="E162" i="29"/>
  <c r="G162" i="29"/>
  <c r="I162" i="29"/>
  <c r="K162" i="29"/>
  <c r="O162" i="29"/>
  <c r="Q162" i="29"/>
  <c r="S162" i="29"/>
  <c r="U162" i="29"/>
  <c r="W162" i="29"/>
  <c r="Y162" i="29"/>
  <c r="AA162" i="29"/>
  <c r="AC162" i="29"/>
  <c r="C163" i="29"/>
  <c r="E163" i="29"/>
  <c r="G163" i="29"/>
  <c r="I163" i="29"/>
  <c r="K163" i="29"/>
  <c r="O163" i="29"/>
  <c r="Q163" i="29"/>
  <c r="S163" i="29"/>
  <c r="U163" i="29"/>
  <c r="W163" i="29"/>
  <c r="Y163" i="29"/>
  <c r="AA163" i="29"/>
  <c r="AC163" i="29"/>
  <c r="C164" i="29"/>
  <c r="E164" i="29"/>
  <c r="G164" i="29"/>
  <c r="I164" i="29"/>
  <c r="K164" i="29"/>
  <c r="O164" i="29"/>
  <c r="Q164" i="29"/>
  <c r="S164" i="29"/>
  <c r="U164" i="29"/>
  <c r="W164" i="29"/>
  <c r="Y164" i="29"/>
  <c r="AA164" i="29"/>
  <c r="AC164" i="29"/>
  <c r="C165" i="29"/>
  <c r="E165" i="29"/>
  <c r="G165" i="29"/>
  <c r="I165" i="29"/>
  <c r="K165" i="29"/>
  <c r="O165" i="29"/>
  <c r="Q165" i="29"/>
  <c r="S165" i="29"/>
  <c r="U165" i="29"/>
  <c r="W165" i="29"/>
  <c r="Y165" i="29"/>
  <c r="AA165" i="29"/>
  <c r="AC165" i="29"/>
  <c r="C166" i="29"/>
  <c r="E166" i="29"/>
  <c r="G166" i="29"/>
  <c r="I166" i="29"/>
  <c r="K166" i="29"/>
  <c r="O166" i="29"/>
  <c r="Q166" i="29"/>
  <c r="S166" i="29"/>
  <c r="U166" i="29"/>
  <c r="W166" i="29"/>
  <c r="Y166" i="29"/>
  <c r="AA166" i="29"/>
  <c r="AC166" i="29"/>
  <c r="C167" i="29"/>
  <c r="E167" i="29"/>
  <c r="G167" i="29"/>
  <c r="I167" i="29"/>
  <c r="K167" i="29"/>
  <c r="O167" i="29"/>
  <c r="Q167" i="29"/>
  <c r="S167" i="29"/>
  <c r="U167" i="29"/>
  <c r="W167" i="29"/>
  <c r="Y167" i="29"/>
  <c r="AA167" i="29"/>
  <c r="AC167" i="29"/>
  <c r="C168" i="29"/>
  <c r="E168" i="29"/>
  <c r="G168" i="29"/>
  <c r="I168" i="29"/>
  <c r="K168" i="29"/>
  <c r="O168" i="29"/>
  <c r="Q168" i="29"/>
  <c r="S168" i="29"/>
  <c r="U168" i="29"/>
  <c r="W168" i="29"/>
  <c r="Y168" i="29"/>
  <c r="AA168" i="29"/>
  <c r="AC168" i="29"/>
  <c r="C169" i="29"/>
  <c r="E169" i="29"/>
  <c r="G169" i="29"/>
  <c r="I169" i="29"/>
  <c r="K169" i="29"/>
  <c r="O169" i="29"/>
  <c r="Q169" i="29"/>
  <c r="S169" i="29"/>
  <c r="U169" i="29"/>
  <c r="W169" i="29"/>
  <c r="Y169" i="29"/>
  <c r="AA169" i="29"/>
  <c r="AC169" i="29"/>
  <c r="C170" i="29"/>
  <c r="E170" i="29"/>
  <c r="G170" i="29"/>
  <c r="I170" i="29"/>
  <c r="K170" i="29"/>
  <c r="O170" i="29"/>
  <c r="Q170" i="29"/>
  <c r="S170" i="29"/>
  <c r="U170" i="29"/>
  <c r="W170" i="29"/>
  <c r="Y170" i="29"/>
  <c r="AA170" i="29"/>
  <c r="AC170" i="29"/>
  <c r="C171" i="29"/>
  <c r="E171" i="29"/>
  <c r="G171" i="29"/>
  <c r="I171" i="29"/>
  <c r="K171" i="29"/>
  <c r="O171" i="29"/>
  <c r="Q171" i="29"/>
  <c r="S171" i="29"/>
  <c r="U171" i="29"/>
  <c r="W171" i="29"/>
  <c r="Y171" i="29"/>
  <c r="AA171" i="29"/>
  <c r="AC171" i="29"/>
  <c r="C172" i="29"/>
  <c r="E172" i="29"/>
  <c r="G172" i="29"/>
  <c r="I172" i="29"/>
  <c r="K172" i="29"/>
  <c r="O172" i="29"/>
  <c r="Q172" i="29"/>
  <c r="S172" i="29"/>
  <c r="U172" i="29"/>
  <c r="W172" i="29"/>
  <c r="Y172" i="29"/>
  <c r="AA172" i="29"/>
  <c r="AC172" i="29"/>
  <c r="C173" i="29"/>
  <c r="E173" i="29"/>
  <c r="G173" i="29"/>
  <c r="I173" i="29"/>
  <c r="K173" i="29"/>
  <c r="O173" i="29"/>
  <c r="Q173" i="29"/>
  <c r="S173" i="29"/>
  <c r="U173" i="29"/>
  <c r="W173" i="29"/>
  <c r="Y173" i="29"/>
  <c r="AA173" i="29"/>
  <c r="AC173" i="29"/>
  <c r="C174" i="29"/>
  <c r="E174" i="29"/>
  <c r="G174" i="29"/>
  <c r="I174" i="29"/>
  <c r="K174" i="29"/>
  <c r="O174" i="29"/>
  <c r="Q174" i="29"/>
  <c r="S174" i="29"/>
  <c r="U174" i="29"/>
  <c r="W174" i="29"/>
  <c r="Y174" i="29"/>
  <c r="AA174" i="29"/>
  <c r="AC174" i="29"/>
  <c r="C175" i="29"/>
  <c r="E175" i="29"/>
  <c r="G175" i="29"/>
  <c r="I175" i="29"/>
  <c r="K175" i="29"/>
  <c r="O175" i="29"/>
  <c r="Q175" i="29"/>
  <c r="S175" i="29"/>
  <c r="U175" i="29"/>
  <c r="W175" i="29"/>
  <c r="Y175" i="29"/>
  <c r="AA175" i="29"/>
  <c r="AC175" i="29"/>
  <c r="C176" i="29"/>
  <c r="E176" i="29"/>
  <c r="G176" i="29"/>
  <c r="I176" i="29"/>
  <c r="K176" i="29"/>
  <c r="O176" i="29"/>
  <c r="Q176" i="29"/>
  <c r="S176" i="29"/>
  <c r="U176" i="29"/>
  <c r="W176" i="29"/>
  <c r="Y176" i="29"/>
  <c r="AA176" i="29"/>
  <c r="AC176" i="29"/>
  <c r="C177" i="29"/>
  <c r="E177" i="29"/>
  <c r="G177" i="29"/>
  <c r="I177" i="29"/>
  <c r="K177" i="29"/>
  <c r="O177" i="29"/>
  <c r="Q177" i="29"/>
  <c r="S177" i="29"/>
  <c r="U177" i="29"/>
  <c r="W177" i="29"/>
  <c r="Y177" i="29"/>
  <c r="AA177" i="29"/>
  <c r="AC177" i="29"/>
  <c r="C178" i="29"/>
  <c r="E178" i="29"/>
  <c r="G178" i="29"/>
  <c r="I178" i="29"/>
  <c r="K178" i="29"/>
  <c r="O178" i="29"/>
  <c r="Q178" i="29"/>
  <c r="S178" i="29"/>
  <c r="U178" i="29"/>
  <c r="W178" i="29"/>
  <c r="Y178" i="29"/>
  <c r="AA178" i="29"/>
  <c r="AC178" i="29"/>
  <c r="C179" i="29"/>
  <c r="E179" i="29"/>
  <c r="G179" i="29"/>
  <c r="I179" i="29"/>
  <c r="K179" i="29"/>
  <c r="O179" i="29"/>
  <c r="Q179" i="29"/>
  <c r="S179" i="29"/>
  <c r="U179" i="29"/>
  <c r="W179" i="29"/>
  <c r="Y179" i="29"/>
  <c r="AA179" i="29"/>
  <c r="AC179" i="29"/>
  <c r="C180" i="29"/>
  <c r="E180" i="29"/>
  <c r="G180" i="29"/>
  <c r="I180" i="29"/>
  <c r="K180" i="29"/>
  <c r="O180" i="29"/>
  <c r="Q180" i="29"/>
  <c r="S180" i="29"/>
  <c r="U180" i="29"/>
  <c r="W180" i="29"/>
  <c r="Y180" i="29"/>
  <c r="AA180" i="29"/>
  <c r="AC180" i="29"/>
  <c r="C181" i="29"/>
  <c r="E181" i="29"/>
  <c r="G181" i="29"/>
  <c r="I181" i="29"/>
  <c r="K181" i="29"/>
  <c r="O181" i="29"/>
  <c r="Q181" i="29"/>
  <c r="S181" i="29"/>
  <c r="U181" i="29"/>
  <c r="W181" i="29"/>
  <c r="Y181" i="29"/>
  <c r="AA181" i="29"/>
  <c r="AC181" i="29"/>
  <c r="C182" i="29"/>
  <c r="E182" i="29"/>
  <c r="G182" i="29"/>
  <c r="I182" i="29"/>
  <c r="K182" i="29"/>
  <c r="O182" i="29"/>
  <c r="Q182" i="29"/>
  <c r="S182" i="29"/>
  <c r="U182" i="29"/>
  <c r="W182" i="29"/>
  <c r="Y182" i="29"/>
  <c r="AA182" i="29"/>
  <c r="AC182" i="29"/>
  <c r="C183" i="29"/>
  <c r="E183" i="29"/>
  <c r="G183" i="29"/>
  <c r="I183" i="29"/>
  <c r="K183" i="29"/>
  <c r="O183" i="29"/>
  <c r="Q183" i="29"/>
  <c r="S183" i="29"/>
  <c r="U183" i="29"/>
  <c r="W183" i="29"/>
  <c r="Y183" i="29"/>
  <c r="AA183" i="29"/>
  <c r="AC183" i="29"/>
  <c r="C184" i="29"/>
  <c r="E184" i="29"/>
  <c r="G184" i="29"/>
  <c r="I184" i="29"/>
  <c r="K184" i="29"/>
  <c r="M184" i="29"/>
  <c r="O184" i="29"/>
  <c r="Q184" i="29"/>
  <c r="S184" i="29"/>
  <c r="U184" i="29"/>
  <c r="W184" i="29"/>
  <c r="Y184" i="29"/>
  <c r="AA184" i="29"/>
  <c r="AC184" i="29"/>
  <c r="AD184" i="29"/>
  <c r="AH184" i="29"/>
  <c r="C185" i="29"/>
  <c r="E185" i="29"/>
  <c r="G185" i="29"/>
  <c r="I185" i="29"/>
  <c r="K185" i="29"/>
  <c r="M185" i="29"/>
  <c r="O185" i="29"/>
  <c r="Q185" i="29"/>
  <c r="S185" i="29"/>
  <c r="U185" i="29"/>
  <c r="W185" i="29"/>
  <c r="Y185" i="29"/>
  <c r="AA185" i="29"/>
  <c r="AC185" i="29"/>
  <c r="C186" i="29"/>
  <c r="E186" i="29"/>
  <c r="G186" i="29"/>
  <c r="I186" i="29"/>
  <c r="K186" i="29"/>
  <c r="M186" i="29"/>
  <c r="O186" i="29"/>
  <c r="Q186" i="29"/>
  <c r="S186" i="29"/>
  <c r="U186" i="29"/>
  <c r="W186" i="29"/>
  <c r="Y186" i="29"/>
  <c r="AA186" i="29"/>
  <c r="AC186" i="29"/>
  <c r="C187" i="29"/>
  <c r="E187" i="29"/>
  <c r="G187" i="29"/>
  <c r="I187" i="29"/>
  <c r="K187" i="29"/>
  <c r="M187" i="29"/>
  <c r="O187" i="29"/>
  <c r="Q187" i="29"/>
  <c r="S187" i="29"/>
  <c r="U187" i="29"/>
  <c r="W187" i="29"/>
  <c r="Y187" i="29"/>
  <c r="AA187" i="29"/>
  <c r="AC187" i="29"/>
  <c r="C188" i="29"/>
  <c r="E188" i="29"/>
  <c r="G188" i="29"/>
  <c r="I188" i="29"/>
  <c r="K188" i="29"/>
  <c r="M188" i="29"/>
  <c r="O188" i="29"/>
  <c r="Q188" i="29"/>
  <c r="S188" i="29"/>
  <c r="U188" i="29"/>
  <c r="W188" i="29"/>
  <c r="Y188" i="29"/>
  <c r="AA188" i="29"/>
  <c r="AC188" i="29"/>
  <c r="C189" i="29"/>
  <c r="E189" i="29"/>
  <c r="G189" i="29"/>
  <c r="I189" i="29"/>
  <c r="K189" i="29"/>
  <c r="M189" i="29"/>
  <c r="O189" i="29"/>
  <c r="Q189" i="29"/>
  <c r="S189" i="29"/>
  <c r="U189" i="29"/>
  <c r="W189" i="29"/>
  <c r="Y189" i="29"/>
  <c r="AA189" i="29"/>
  <c r="AC189" i="29"/>
  <c r="C190" i="29"/>
  <c r="E190" i="29"/>
  <c r="G190" i="29"/>
  <c r="I190" i="29"/>
  <c r="K190" i="29"/>
  <c r="M190" i="29"/>
  <c r="O190" i="29"/>
  <c r="Q190" i="29"/>
  <c r="S190" i="29"/>
  <c r="U190" i="29"/>
  <c r="W190" i="29"/>
  <c r="Y190" i="29"/>
  <c r="AA190" i="29"/>
  <c r="AC190" i="29"/>
  <c r="C191" i="29"/>
  <c r="E191" i="29"/>
  <c r="G191" i="29"/>
  <c r="I191" i="29"/>
  <c r="K191" i="29"/>
  <c r="M191" i="29"/>
  <c r="O191" i="29"/>
  <c r="Q191" i="29"/>
  <c r="S191" i="29"/>
  <c r="U191" i="29"/>
  <c r="W191" i="29"/>
  <c r="Y191" i="29"/>
  <c r="AA191" i="29"/>
  <c r="AC191" i="29"/>
  <c r="C192" i="29"/>
  <c r="E192" i="29"/>
  <c r="G192" i="29"/>
  <c r="I192" i="29"/>
  <c r="K192" i="29"/>
  <c r="M192" i="29"/>
  <c r="O192" i="29"/>
  <c r="Q192" i="29"/>
  <c r="S192" i="29"/>
  <c r="U192" i="29"/>
  <c r="W192" i="29"/>
  <c r="Y192" i="29"/>
  <c r="AA192" i="29"/>
  <c r="AC192" i="29"/>
  <c r="C193" i="29"/>
  <c r="E193" i="29"/>
  <c r="G193" i="29"/>
  <c r="I193" i="29"/>
  <c r="K193" i="29"/>
  <c r="M193" i="29"/>
  <c r="O193" i="29"/>
  <c r="Q193" i="29"/>
  <c r="S193" i="29"/>
  <c r="U193" i="29"/>
  <c r="W193" i="29"/>
  <c r="Y193" i="29"/>
  <c r="AA193" i="29"/>
  <c r="AC193" i="29"/>
  <c r="C194" i="29"/>
  <c r="E194" i="29"/>
  <c r="G194" i="29"/>
  <c r="I194" i="29"/>
  <c r="K194" i="29"/>
  <c r="M194" i="29"/>
  <c r="O194" i="29"/>
  <c r="Q194" i="29"/>
  <c r="S194" i="29"/>
  <c r="U194" i="29"/>
  <c r="W194" i="29"/>
  <c r="Y194" i="29"/>
  <c r="AA194" i="29"/>
  <c r="AC194" i="29"/>
  <c r="C195" i="29"/>
  <c r="E195" i="29"/>
  <c r="G195" i="29"/>
  <c r="I195" i="29"/>
  <c r="K195" i="29"/>
  <c r="M195" i="29"/>
  <c r="O195" i="29"/>
  <c r="Q195" i="29"/>
  <c r="S195" i="29"/>
  <c r="U195" i="29"/>
  <c r="W195" i="29"/>
  <c r="Y195" i="29"/>
  <c r="AA195" i="29"/>
  <c r="AC195" i="29"/>
  <c r="C196" i="29"/>
  <c r="E196" i="29"/>
  <c r="G196" i="29"/>
  <c r="I196" i="29"/>
  <c r="K196" i="29"/>
  <c r="M196" i="29"/>
  <c r="O196" i="29"/>
  <c r="Q196" i="29"/>
  <c r="S196" i="29"/>
  <c r="U196" i="29"/>
  <c r="W196" i="29"/>
  <c r="Y196" i="29"/>
  <c r="AA196" i="29"/>
  <c r="AC196" i="29"/>
  <c r="C197" i="29"/>
  <c r="E197" i="29"/>
  <c r="G197" i="29"/>
  <c r="I197" i="29"/>
  <c r="K197" i="29"/>
  <c r="M197" i="29"/>
  <c r="O197" i="29"/>
  <c r="Q197" i="29"/>
  <c r="S197" i="29"/>
  <c r="U197" i="29"/>
  <c r="W197" i="29"/>
  <c r="Y197" i="29"/>
  <c r="AA197" i="29"/>
  <c r="AC197" i="29"/>
  <c r="C198" i="29"/>
  <c r="E198" i="29"/>
  <c r="G198" i="29"/>
  <c r="I198" i="29"/>
  <c r="K198" i="29"/>
  <c r="M198" i="29"/>
  <c r="O198" i="29"/>
  <c r="Q198" i="29"/>
  <c r="S198" i="29"/>
  <c r="U198" i="29"/>
  <c r="W198" i="29"/>
  <c r="Y198" i="29"/>
  <c r="AA198" i="29"/>
  <c r="AC198" i="29"/>
  <c r="C199" i="29"/>
  <c r="E199" i="29"/>
  <c r="G199" i="29"/>
  <c r="I199" i="29"/>
  <c r="K199" i="29"/>
  <c r="M199" i="29"/>
  <c r="O199" i="29"/>
  <c r="Q199" i="29"/>
  <c r="S199" i="29"/>
  <c r="U199" i="29"/>
  <c r="W199" i="29"/>
  <c r="Y199" i="29"/>
  <c r="AA199" i="29"/>
  <c r="AC199" i="29"/>
  <c r="C200" i="29"/>
  <c r="E200" i="29"/>
  <c r="G200" i="29"/>
  <c r="I200" i="29"/>
  <c r="K200" i="29"/>
  <c r="M200" i="29"/>
  <c r="O200" i="29"/>
  <c r="Q200" i="29"/>
  <c r="S200" i="29"/>
  <c r="U200" i="29"/>
  <c r="W200" i="29"/>
  <c r="Y200" i="29"/>
  <c r="AA200" i="29"/>
  <c r="AC200" i="29"/>
  <c r="C201" i="29"/>
  <c r="E201" i="29"/>
  <c r="G201" i="29"/>
  <c r="I201" i="29"/>
  <c r="K201" i="29"/>
  <c r="M201" i="29"/>
  <c r="O201" i="29"/>
  <c r="Q201" i="29"/>
  <c r="S201" i="29"/>
  <c r="U201" i="29"/>
  <c r="W201" i="29"/>
  <c r="Y201" i="29"/>
  <c r="AA201" i="29"/>
  <c r="AC201" i="29"/>
  <c r="C202" i="29"/>
  <c r="E202" i="29"/>
  <c r="G202" i="29"/>
  <c r="I202" i="29"/>
  <c r="K202" i="29"/>
  <c r="M202" i="29"/>
  <c r="O202" i="29"/>
  <c r="Q202" i="29"/>
  <c r="S202" i="29"/>
  <c r="U202" i="29"/>
  <c r="W202" i="29"/>
  <c r="Y202" i="29"/>
  <c r="AA202" i="29"/>
  <c r="AC202" i="29"/>
  <c r="C203" i="29"/>
  <c r="E203" i="29"/>
  <c r="G203" i="29"/>
  <c r="I203" i="29"/>
  <c r="K203" i="29"/>
  <c r="M203" i="29"/>
  <c r="O203" i="29"/>
  <c r="Q203" i="29"/>
  <c r="S203" i="29"/>
  <c r="U203" i="29"/>
  <c r="W203" i="29"/>
  <c r="Y203" i="29"/>
  <c r="AA203" i="29"/>
  <c r="AC203" i="29"/>
  <c r="C204" i="29"/>
  <c r="E204" i="29"/>
  <c r="G204" i="29"/>
  <c r="I204" i="29"/>
  <c r="K204" i="29"/>
  <c r="M204" i="29"/>
  <c r="O204" i="29"/>
  <c r="Q204" i="29"/>
  <c r="S204" i="29"/>
  <c r="U204" i="29"/>
  <c r="W204" i="29"/>
  <c r="Y204" i="29"/>
  <c r="AA204" i="29"/>
  <c r="AC204" i="29"/>
  <c r="C205" i="29"/>
  <c r="E205" i="29"/>
  <c r="G205" i="29"/>
  <c r="I205" i="29"/>
  <c r="K205" i="29"/>
  <c r="M205" i="29"/>
  <c r="O205" i="29"/>
  <c r="Q205" i="29"/>
  <c r="S205" i="29"/>
  <c r="U205" i="29"/>
  <c r="W205" i="29"/>
  <c r="Y205" i="29"/>
  <c r="AA205" i="29"/>
  <c r="AC205" i="29"/>
  <c r="C206" i="29"/>
  <c r="E206" i="29"/>
  <c r="G206" i="29"/>
  <c r="I206" i="29"/>
  <c r="K206" i="29"/>
  <c r="M206" i="29"/>
  <c r="O206" i="29"/>
  <c r="Q206" i="29"/>
  <c r="S206" i="29"/>
  <c r="U206" i="29"/>
  <c r="W206" i="29"/>
  <c r="Y206" i="29"/>
  <c r="AA206" i="29"/>
  <c r="AC206" i="29"/>
  <c r="C207" i="29"/>
  <c r="E207" i="29"/>
  <c r="G207" i="29"/>
  <c r="I207" i="29"/>
  <c r="K207" i="29"/>
  <c r="M207" i="29"/>
  <c r="O207" i="29"/>
  <c r="Q207" i="29"/>
  <c r="S207" i="29"/>
  <c r="U207" i="29"/>
  <c r="W207" i="29"/>
  <c r="Y207" i="29"/>
  <c r="AA207" i="29"/>
  <c r="AC207" i="29"/>
  <c r="C208" i="29"/>
  <c r="E208" i="29"/>
  <c r="G208" i="29"/>
  <c r="I208" i="29"/>
  <c r="K208" i="29"/>
  <c r="M208" i="29"/>
  <c r="O208" i="29"/>
  <c r="Q208" i="29"/>
  <c r="S208" i="29"/>
  <c r="U208" i="29"/>
  <c r="W208" i="29"/>
  <c r="Y208" i="29"/>
  <c r="AA208" i="29"/>
  <c r="AC208" i="29"/>
  <c r="C209" i="29"/>
  <c r="E209" i="29"/>
  <c r="G209" i="29"/>
  <c r="I209" i="29"/>
  <c r="K209" i="29"/>
  <c r="M209" i="29"/>
  <c r="O209" i="29"/>
  <c r="Q209" i="29"/>
  <c r="S209" i="29"/>
  <c r="U209" i="29"/>
  <c r="W209" i="29"/>
  <c r="Y209" i="29"/>
  <c r="AA209" i="29"/>
  <c r="AC209" i="29"/>
  <c r="C210" i="29"/>
  <c r="E210" i="29"/>
  <c r="G210" i="29"/>
  <c r="I210" i="29"/>
  <c r="K210" i="29"/>
  <c r="M210" i="29"/>
  <c r="O210" i="29"/>
  <c r="Q210" i="29"/>
  <c r="S210" i="29"/>
  <c r="U210" i="29"/>
  <c r="W210" i="29"/>
  <c r="Y210" i="29"/>
  <c r="AA210" i="29"/>
  <c r="AC210" i="29"/>
  <c r="C211" i="29"/>
  <c r="E211" i="29"/>
  <c r="G211" i="29"/>
  <c r="I211" i="29"/>
  <c r="K211" i="29"/>
  <c r="M211" i="29"/>
  <c r="O211" i="29"/>
  <c r="Q211" i="29"/>
  <c r="S211" i="29"/>
  <c r="U211" i="29"/>
  <c r="W211" i="29"/>
  <c r="Y211" i="29"/>
  <c r="AA211" i="29"/>
  <c r="AC211" i="29"/>
  <c r="C212" i="29"/>
  <c r="E212" i="29"/>
  <c r="G212" i="29"/>
  <c r="I212" i="29"/>
  <c r="K212" i="29"/>
  <c r="M212" i="29"/>
  <c r="O212" i="29"/>
  <c r="Q212" i="29"/>
  <c r="S212" i="29"/>
  <c r="U212" i="29"/>
  <c r="W212" i="29"/>
  <c r="Y212" i="29"/>
  <c r="AA212" i="29"/>
  <c r="AC212" i="29"/>
  <c r="C213" i="29"/>
  <c r="E213" i="29"/>
  <c r="G213" i="29"/>
  <c r="I213" i="29"/>
  <c r="K213" i="29"/>
  <c r="M213" i="29"/>
  <c r="O213" i="29"/>
  <c r="Q213" i="29"/>
  <c r="S213" i="29"/>
  <c r="U213" i="29"/>
  <c r="W213" i="29"/>
  <c r="Y213" i="29"/>
  <c r="AA213" i="29"/>
  <c r="AC213" i="29"/>
  <c r="C214" i="29"/>
  <c r="E214" i="29"/>
  <c r="G214" i="29"/>
  <c r="I214" i="29"/>
  <c r="K214" i="29"/>
  <c r="M214" i="29"/>
  <c r="O214" i="29"/>
  <c r="Q214" i="29"/>
  <c r="S214" i="29"/>
  <c r="U214" i="29"/>
  <c r="W214" i="29"/>
  <c r="Y214" i="29"/>
  <c r="AA214" i="29"/>
  <c r="AC214" i="29"/>
  <c r="C215" i="29"/>
  <c r="E215" i="29"/>
  <c r="G215" i="29"/>
  <c r="I215" i="29"/>
  <c r="K215" i="29"/>
  <c r="M215" i="29"/>
  <c r="O215" i="29"/>
  <c r="Q215" i="29"/>
  <c r="S215" i="29"/>
  <c r="U215" i="29"/>
  <c r="W215" i="29"/>
  <c r="Y215" i="29"/>
  <c r="AA215" i="29"/>
  <c r="AC215" i="29"/>
  <c r="C216" i="29"/>
  <c r="E216" i="29"/>
  <c r="G216" i="29"/>
  <c r="I216" i="29"/>
  <c r="K216" i="29"/>
  <c r="M216" i="29"/>
  <c r="O216" i="29"/>
  <c r="Q216" i="29"/>
  <c r="S216" i="29"/>
  <c r="U216" i="29"/>
  <c r="W216" i="29"/>
  <c r="Y216" i="29"/>
  <c r="AA216" i="29"/>
  <c r="AC216" i="29"/>
  <c r="C217" i="29"/>
  <c r="E217" i="29"/>
  <c r="G217" i="29"/>
  <c r="I217" i="29"/>
  <c r="K217" i="29"/>
  <c r="M217" i="29"/>
  <c r="O217" i="29"/>
  <c r="Q217" i="29"/>
  <c r="S217" i="29"/>
  <c r="U217" i="29"/>
  <c r="W217" i="29"/>
  <c r="Y217" i="29"/>
  <c r="AA217" i="29"/>
  <c r="AC217" i="29"/>
  <c r="C218" i="29"/>
  <c r="E218" i="29"/>
  <c r="G218" i="29"/>
  <c r="I218" i="29"/>
  <c r="K218" i="29"/>
  <c r="M218" i="29"/>
  <c r="O218" i="29"/>
  <c r="Q218" i="29"/>
  <c r="S218" i="29"/>
  <c r="U218" i="29"/>
  <c r="W218" i="29"/>
  <c r="Y218" i="29"/>
  <c r="AA218" i="29"/>
  <c r="AC218" i="29"/>
  <c r="C219" i="29"/>
  <c r="E219" i="29"/>
  <c r="G219" i="29"/>
  <c r="I219" i="29"/>
  <c r="K219" i="29"/>
  <c r="M219" i="29"/>
  <c r="O219" i="29"/>
  <c r="Q219" i="29"/>
  <c r="S219" i="29"/>
  <c r="U219" i="29"/>
  <c r="W219" i="29"/>
  <c r="Y219" i="29"/>
  <c r="AA219" i="29"/>
  <c r="AC219" i="29"/>
  <c r="AD219" i="29"/>
  <c r="AH219" i="29"/>
  <c r="C220" i="29"/>
  <c r="E220" i="29"/>
  <c r="G220" i="29"/>
  <c r="I220" i="29"/>
  <c r="K220" i="29"/>
  <c r="M220" i="29"/>
  <c r="O220" i="29"/>
  <c r="Q220" i="29"/>
  <c r="S220" i="29"/>
  <c r="U220" i="29"/>
  <c r="W220" i="29"/>
  <c r="Y220" i="29"/>
  <c r="AA220" i="29"/>
  <c r="AC220" i="29"/>
  <c r="C221" i="29"/>
  <c r="E221" i="29"/>
  <c r="G221" i="29"/>
  <c r="I221" i="29"/>
  <c r="K221" i="29"/>
  <c r="M221" i="29"/>
  <c r="O221" i="29"/>
  <c r="Q221" i="29"/>
  <c r="S221" i="29"/>
  <c r="U221" i="29"/>
  <c r="W221" i="29"/>
  <c r="Y221" i="29"/>
  <c r="AA221" i="29"/>
  <c r="AC221" i="29"/>
  <c r="C222" i="29"/>
  <c r="E222" i="29"/>
  <c r="G222" i="29"/>
  <c r="I222" i="29"/>
  <c r="K222" i="29"/>
  <c r="M222" i="29"/>
  <c r="O222" i="29"/>
  <c r="Q222" i="29"/>
  <c r="S222" i="29"/>
  <c r="U222" i="29"/>
  <c r="W222" i="29"/>
  <c r="Y222" i="29"/>
  <c r="AA222" i="29"/>
  <c r="AC222" i="29"/>
  <c r="C223" i="29"/>
  <c r="E223" i="29"/>
  <c r="G223" i="29"/>
  <c r="I223" i="29"/>
  <c r="K223" i="29"/>
  <c r="M223" i="29"/>
  <c r="O223" i="29"/>
  <c r="Q223" i="29"/>
  <c r="S223" i="29"/>
  <c r="U223" i="29"/>
  <c r="W223" i="29"/>
  <c r="Y223" i="29"/>
  <c r="AA223" i="29"/>
  <c r="AC223" i="29"/>
  <c r="C224" i="29"/>
  <c r="E224" i="29"/>
  <c r="G224" i="29"/>
  <c r="I224" i="29"/>
  <c r="K224" i="29"/>
  <c r="M224" i="29"/>
  <c r="O224" i="29"/>
  <c r="Q224" i="29"/>
  <c r="S224" i="29"/>
  <c r="U224" i="29"/>
  <c r="W224" i="29"/>
  <c r="Y224" i="29"/>
  <c r="AA224" i="29"/>
  <c r="AC224" i="29"/>
  <c r="C225" i="29"/>
  <c r="E225" i="29"/>
  <c r="G225" i="29"/>
  <c r="I225" i="29"/>
  <c r="K225" i="29"/>
  <c r="M225" i="29"/>
  <c r="O225" i="29"/>
  <c r="Q225" i="29"/>
  <c r="S225" i="29"/>
  <c r="U225" i="29"/>
  <c r="W225" i="29"/>
  <c r="Y225" i="29"/>
  <c r="AA225" i="29"/>
  <c r="AC225" i="29"/>
  <c r="C226" i="29"/>
  <c r="E226" i="29"/>
  <c r="G226" i="29"/>
  <c r="I226" i="29"/>
  <c r="K226" i="29"/>
  <c r="M226" i="29"/>
  <c r="O226" i="29"/>
  <c r="Q226" i="29"/>
  <c r="S226" i="29"/>
  <c r="U226" i="29"/>
  <c r="W226" i="29"/>
  <c r="Y226" i="29"/>
  <c r="AA226" i="29"/>
  <c r="AC226" i="29"/>
  <c r="C227" i="29"/>
  <c r="E227" i="29"/>
  <c r="G227" i="29"/>
  <c r="I227" i="29"/>
  <c r="K227" i="29"/>
  <c r="M227" i="29"/>
  <c r="O227" i="29"/>
  <c r="Q227" i="29"/>
  <c r="S227" i="29"/>
  <c r="U227" i="29"/>
  <c r="W227" i="29"/>
  <c r="Y227" i="29"/>
  <c r="AA227" i="29"/>
  <c r="AC227" i="29"/>
  <c r="C228" i="29"/>
  <c r="E228" i="29"/>
  <c r="G228" i="29"/>
  <c r="I228" i="29"/>
  <c r="K228" i="29"/>
  <c r="M228" i="29"/>
  <c r="O228" i="29"/>
  <c r="Q228" i="29"/>
  <c r="S228" i="29"/>
  <c r="U228" i="29"/>
  <c r="W228" i="29"/>
  <c r="Y228" i="29"/>
  <c r="AA228" i="29"/>
  <c r="AC228" i="29"/>
  <c r="C229" i="29"/>
  <c r="E229" i="29"/>
  <c r="G229" i="29"/>
  <c r="I229" i="29"/>
  <c r="K229" i="29"/>
  <c r="M229" i="29"/>
  <c r="O229" i="29"/>
  <c r="Q229" i="29"/>
  <c r="S229" i="29"/>
  <c r="U229" i="29"/>
  <c r="W229" i="29"/>
  <c r="Y229" i="29"/>
  <c r="AA229" i="29"/>
  <c r="AC229" i="29"/>
  <c r="C230" i="29"/>
  <c r="E230" i="29"/>
  <c r="G230" i="29"/>
  <c r="I230" i="29"/>
  <c r="K230" i="29"/>
  <c r="M230" i="29"/>
  <c r="O230" i="29"/>
  <c r="Q230" i="29"/>
  <c r="S230" i="29"/>
  <c r="U230" i="29"/>
  <c r="W230" i="29"/>
  <c r="Y230" i="29"/>
  <c r="AA230" i="29"/>
  <c r="AC230" i="29"/>
  <c r="C231" i="29"/>
  <c r="E231" i="29"/>
  <c r="G231" i="29"/>
  <c r="I231" i="29"/>
  <c r="K231" i="29"/>
  <c r="M231" i="29"/>
  <c r="O231" i="29"/>
  <c r="Q231" i="29"/>
  <c r="S231" i="29"/>
  <c r="U231" i="29"/>
  <c r="W231" i="29"/>
  <c r="Y231" i="29"/>
  <c r="AA231" i="29"/>
  <c r="AC231" i="29"/>
  <c r="C232" i="29"/>
  <c r="E232" i="29"/>
  <c r="G232" i="29"/>
  <c r="I232" i="29"/>
  <c r="K232" i="29"/>
  <c r="M232" i="29"/>
  <c r="O232" i="29"/>
  <c r="Q232" i="29"/>
  <c r="S232" i="29"/>
  <c r="U232" i="29"/>
  <c r="W232" i="29"/>
  <c r="Y232" i="29"/>
  <c r="AA232" i="29"/>
  <c r="AC232" i="29"/>
  <c r="C233" i="29"/>
  <c r="E233" i="29"/>
  <c r="G233" i="29"/>
  <c r="I233" i="29"/>
  <c r="K233" i="29"/>
  <c r="M233" i="29"/>
  <c r="O233" i="29"/>
  <c r="Q233" i="29"/>
  <c r="S233" i="29"/>
  <c r="U233" i="29"/>
  <c r="W233" i="29"/>
  <c r="Y233" i="29"/>
  <c r="AA233" i="29"/>
  <c r="AC233" i="29"/>
  <c r="C234" i="29"/>
  <c r="E234" i="29"/>
  <c r="G234" i="29"/>
  <c r="I234" i="29"/>
  <c r="K234" i="29"/>
  <c r="M234" i="29"/>
  <c r="O234" i="29"/>
  <c r="Q234" i="29"/>
  <c r="S234" i="29"/>
  <c r="U234" i="29"/>
  <c r="W234" i="29"/>
  <c r="Y234" i="29"/>
  <c r="AA234" i="29"/>
  <c r="AC234" i="29"/>
  <c r="C235" i="29"/>
  <c r="E235" i="29"/>
  <c r="G235" i="29"/>
  <c r="I235" i="29"/>
  <c r="K235" i="29"/>
  <c r="M235" i="29"/>
  <c r="O235" i="29"/>
  <c r="Q235" i="29"/>
  <c r="S235" i="29"/>
  <c r="U235" i="29"/>
  <c r="W235" i="29"/>
  <c r="Y235" i="29"/>
  <c r="AA235" i="29"/>
  <c r="AC235" i="29"/>
  <c r="C236" i="29"/>
  <c r="E236" i="29"/>
  <c r="G236" i="29"/>
  <c r="I236" i="29"/>
  <c r="K236" i="29"/>
  <c r="M236" i="29"/>
  <c r="O236" i="29"/>
  <c r="Q236" i="29"/>
  <c r="S236" i="29"/>
  <c r="U236" i="29"/>
  <c r="W236" i="29"/>
  <c r="Y236" i="29"/>
  <c r="AA236" i="29"/>
  <c r="AC236" i="29"/>
  <c r="C237" i="29"/>
  <c r="E237" i="29"/>
  <c r="G237" i="29"/>
  <c r="I237" i="29"/>
  <c r="K237" i="29"/>
  <c r="M237" i="29"/>
  <c r="O237" i="29"/>
  <c r="Q237" i="29"/>
  <c r="S237" i="29"/>
  <c r="U237" i="29"/>
  <c r="W237" i="29"/>
  <c r="Y237" i="29"/>
  <c r="AA237" i="29"/>
  <c r="AC237" i="29"/>
  <c r="C238" i="29"/>
  <c r="E238" i="29"/>
  <c r="G238" i="29"/>
  <c r="I238" i="29"/>
  <c r="K238" i="29"/>
  <c r="M238" i="29"/>
  <c r="O238" i="29"/>
  <c r="Q238" i="29"/>
  <c r="S238" i="29"/>
  <c r="U238" i="29"/>
  <c r="W238" i="29"/>
  <c r="Y238" i="29"/>
  <c r="AA238" i="29"/>
  <c r="AC238" i="29"/>
  <c r="C239" i="29"/>
  <c r="E239" i="29"/>
  <c r="G239" i="29"/>
  <c r="I239" i="29"/>
  <c r="K239" i="29"/>
  <c r="M239" i="29"/>
  <c r="O239" i="29"/>
  <c r="Q239" i="29"/>
  <c r="S239" i="29"/>
  <c r="U239" i="29"/>
  <c r="W239" i="29"/>
  <c r="Y239" i="29"/>
  <c r="AA239" i="29"/>
  <c r="AC239" i="29"/>
  <c r="C240" i="29"/>
  <c r="E240" i="29"/>
  <c r="G240" i="29"/>
  <c r="I240" i="29"/>
  <c r="K240" i="29"/>
  <c r="M240" i="29"/>
  <c r="O240" i="29"/>
  <c r="Q240" i="29"/>
  <c r="S240" i="29"/>
  <c r="U240" i="29"/>
  <c r="W240" i="29"/>
  <c r="Y240" i="29"/>
  <c r="AA240" i="29"/>
  <c r="AC240" i="29"/>
  <c r="C241" i="29"/>
  <c r="E241" i="29"/>
  <c r="G241" i="29"/>
  <c r="I241" i="29"/>
  <c r="K241" i="29"/>
  <c r="M241" i="29"/>
  <c r="O241" i="29"/>
  <c r="Q241" i="29"/>
  <c r="S241" i="29"/>
  <c r="U241" i="29"/>
  <c r="W241" i="29"/>
  <c r="Y241" i="29"/>
  <c r="AA241" i="29"/>
  <c r="AC241" i="29"/>
  <c r="C242" i="29"/>
  <c r="E242" i="29"/>
  <c r="G242" i="29"/>
  <c r="I242" i="29"/>
  <c r="K242" i="29"/>
  <c r="M242" i="29"/>
  <c r="O242" i="29"/>
  <c r="Q242" i="29"/>
  <c r="S242" i="29"/>
  <c r="U242" i="29"/>
  <c r="W242" i="29"/>
  <c r="Y242" i="29"/>
  <c r="AA242" i="29"/>
  <c r="AC242" i="29"/>
  <c r="C243" i="29"/>
  <c r="E243" i="29"/>
  <c r="G243" i="29"/>
  <c r="I243" i="29"/>
  <c r="K243" i="29"/>
  <c r="M243" i="29"/>
  <c r="O243" i="29"/>
  <c r="Q243" i="29"/>
  <c r="S243" i="29"/>
  <c r="U243" i="29"/>
  <c r="W243" i="29"/>
  <c r="Y243" i="29"/>
  <c r="AA243" i="29"/>
  <c r="AC243" i="29"/>
  <c r="C244" i="29"/>
  <c r="E244" i="29"/>
  <c r="G244" i="29"/>
  <c r="I244" i="29"/>
  <c r="K244" i="29"/>
  <c r="M244" i="29"/>
  <c r="O244" i="29"/>
  <c r="Q244" i="29"/>
  <c r="S244" i="29"/>
  <c r="U244" i="29"/>
  <c r="W244" i="29"/>
  <c r="Y244" i="29"/>
  <c r="AA244" i="29"/>
  <c r="AC244" i="29"/>
  <c r="C245" i="29"/>
  <c r="E245" i="29"/>
  <c r="G245" i="29"/>
  <c r="I245" i="29"/>
  <c r="K245" i="29"/>
  <c r="M245" i="29"/>
  <c r="O245" i="29"/>
  <c r="Q245" i="29"/>
  <c r="S245" i="29"/>
  <c r="U245" i="29"/>
  <c r="W245" i="29"/>
  <c r="Y245" i="29"/>
  <c r="AA245" i="29"/>
  <c r="AC245" i="29"/>
  <c r="C246" i="29"/>
  <c r="E246" i="29"/>
  <c r="G246" i="29"/>
  <c r="I246" i="29"/>
  <c r="K246" i="29"/>
  <c r="M246" i="29"/>
  <c r="O246" i="29"/>
  <c r="Q246" i="29"/>
  <c r="S246" i="29"/>
  <c r="U246" i="29"/>
  <c r="W246" i="29"/>
  <c r="Y246" i="29"/>
  <c r="AA246" i="29"/>
  <c r="AC246" i="29"/>
  <c r="C247" i="29"/>
  <c r="E247" i="29"/>
  <c r="G247" i="29"/>
  <c r="I247" i="29"/>
  <c r="K247" i="29"/>
  <c r="M247" i="29"/>
  <c r="O247" i="29"/>
  <c r="Q247" i="29"/>
  <c r="S247" i="29"/>
  <c r="U247" i="29"/>
  <c r="W247" i="29"/>
  <c r="Y247" i="29"/>
  <c r="AA247" i="29"/>
  <c r="AC247" i="29"/>
  <c r="C248" i="29"/>
  <c r="E248" i="29"/>
  <c r="G248" i="29"/>
  <c r="I248" i="29"/>
  <c r="K248" i="29"/>
  <c r="M248" i="29"/>
  <c r="O248" i="29"/>
  <c r="Q248" i="29"/>
  <c r="S248" i="29"/>
  <c r="U248" i="29"/>
  <c r="W248" i="29"/>
  <c r="Y248" i="29"/>
  <c r="AA248" i="29"/>
  <c r="AC248" i="29"/>
  <c r="C249" i="29"/>
  <c r="E249" i="29"/>
  <c r="G249" i="29"/>
  <c r="I249" i="29"/>
  <c r="K249" i="29"/>
  <c r="M249" i="29"/>
  <c r="O249" i="29"/>
  <c r="Q249" i="29"/>
  <c r="S249" i="29"/>
  <c r="U249" i="29"/>
  <c r="W249" i="29"/>
  <c r="Y249" i="29"/>
  <c r="AA249" i="29"/>
  <c r="AC249" i="29"/>
  <c r="C250" i="29"/>
  <c r="E250" i="29"/>
  <c r="G250" i="29"/>
  <c r="I250" i="29"/>
  <c r="K250" i="29"/>
  <c r="M250" i="29"/>
  <c r="O250" i="29"/>
  <c r="Q250" i="29"/>
  <c r="S250" i="29"/>
  <c r="U250" i="29"/>
  <c r="W250" i="29"/>
  <c r="Y250" i="29"/>
  <c r="AA250" i="29"/>
  <c r="AC250" i="29"/>
  <c r="C251" i="29"/>
  <c r="E251" i="29"/>
  <c r="G251" i="29"/>
  <c r="I251" i="29"/>
  <c r="K251" i="29"/>
  <c r="M251" i="29"/>
  <c r="O251" i="29"/>
  <c r="Q251" i="29"/>
  <c r="S251" i="29"/>
  <c r="U251" i="29"/>
  <c r="W251" i="29"/>
  <c r="Y251" i="29"/>
  <c r="AA251" i="29"/>
  <c r="AC251" i="29"/>
  <c r="C252" i="29"/>
  <c r="E252" i="29"/>
  <c r="G252" i="29"/>
  <c r="I252" i="29"/>
  <c r="K252" i="29"/>
  <c r="M252" i="29"/>
  <c r="O252" i="29"/>
  <c r="Q252" i="29"/>
  <c r="S252" i="29"/>
  <c r="U252" i="29"/>
  <c r="W252" i="29"/>
  <c r="Y252" i="29"/>
  <c r="AA252" i="29"/>
  <c r="AC252" i="29"/>
  <c r="C253" i="29"/>
  <c r="E253" i="29"/>
  <c r="G253" i="29"/>
  <c r="I253" i="29"/>
  <c r="K253" i="29"/>
  <c r="M253" i="29"/>
  <c r="O253" i="29"/>
  <c r="Q253" i="29"/>
  <c r="S253" i="29"/>
  <c r="U253" i="29"/>
  <c r="W253" i="29"/>
  <c r="Y253" i="29"/>
  <c r="AA253" i="29"/>
  <c r="AC253" i="29"/>
  <c r="C44" i="30"/>
  <c r="E44" i="30"/>
  <c r="G44" i="30"/>
  <c r="I44" i="30"/>
  <c r="K44" i="30"/>
  <c r="M44" i="30"/>
  <c r="O44" i="30"/>
  <c r="Q44" i="30"/>
  <c r="S44" i="30"/>
  <c r="U44" i="30"/>
  <c r="W44" i="30"/>
  <c r="Y44" i="30"/>
  <c r="AA44" i="30"/>
  <c r="AC44" i="30"/>
  <c r="AD44" i="30"/>
  <c r="C45" i="30"/>
  <c r="E45" i="30"/>
  <c r="G45" i="30"/>
  <c r="I45" i="30"/>
  <c r="K45" i="30"/>
  <c r="M45" i="30"/>
  <c r="O45" i="30"/>
  <c r="Q45" i="30"/>
  <c r="S45" i="30"/>
  <c r="U45" i="30"/>
  <c r="W45" i="30"/>
  <c r="Y45" i="30"/>
  <c r="AA45" i="30"/>
  <c r="AC45" i="30"/>
  <c r="C46" i="30"/>
  <c r="E46" i="30"/>
  <c r="G46" i="30"/>
  <c r="I46" i="30"/>
  <c r="K46" i="30"/>
  <c r="M46" i="30"/>
  <c r="O46" i="30"/>
  <c r="Q46" i="30"/>
  <c r="S46" i="30"/>
  <c r="U46" i="30"/>
  <c r="W46" i="30"/>
  <c r="Y46" i="30"/>
  <c r="AA46" i="30"/>
  <c r="AC46" i="30"/>
  <c r="C47" i="30"/>
  <c r="E47" i="30"/>
  <c r="G47" i="30"/>
  <c r="I47" i="30"/>
  <c r="K47" i="30"/>
  <c r="M47" i="30"/>
  <c r="O47" i="30"/>
  <c r="Q47" i="30"/>
  <c r="S47" i="30"/>
  <c r="U47" i="30"/>
  <c r="W47" i="30"/>
  <c r="Y47" i="30"/>
  <c r="AA47" i="30"/>
  <c r="AC47" i="30"/>
  <c r="C48" i="30"/>
  <c r="E48" i="30"/>
  <c r="G48" i="30"/>
  <c r="I48" i="30"/>
  <c r="K48" i="30"/>
  <c r="M48" i="30"/>
  <c r="O48" i="30"/>
  <c r="Q48" i="30"/>
  <c r="S48" i="30"/>
  <c r="U48" i="30"/>
  <c r="W48" i="30"/>
  <c r="Y48" i="30"/>
  <c r="AA48" i="30"/>
  <c r="AC48" i="30"/>
  <c r="C49" i="30"/>
  <c r="E49" i="30"/>
  <c r="G49" i="30"/>
  <c r="I49" i="30"/>
  <c r="K49" i="30"/>
  <c r="M49" i="30"/>
  <c r="O49" i="30"/>
  <c r="Q49" i="30"/>
  <c r="S49" i="30"/>
  <c r="U49" i="30"/>
  <c r="W49" i="30"/>
  <c r="Y49" i="30"/>
  <c r="AA49" i="30"/>
  <c r="AC49" i="30"/>
  <c r="C50" i="30"/>
  <c r="E50" i="30"/>
  <c r="G50" i="30"/>
  <c r="I50" i="30"/>
  <c r="K50" i="30"/>
  <c r="M50" i="30"/>
  <c r="O50" i="30"/>
  <c r="Q50" i="30"/>
  <c r="S50" i="30"/>
  <c r="U50" i="30"/>
  <c r="W50" i="30"/>
  <c r="Y50" i="30"/>
  <c r="AA50" i="30"/>
  <c r="AC50" i="30"/>
  <c r="C51" i="30"/>
  <c r="E51" i="30"/>
  <c r="G51" i="30"/>
  <c r="I51" i="30"/>
  <c r="K51" i="30"/>
  <c r="M51" i="30"/>
  <c r="O51" i="30"/>
  <c r="Q51" i="30"/>
  <c r="S51" i="30"/>
  <c r="U51" i="30"/>
  <c r="W51" i="30"/>
  <c r="Y51" i="30"/>
  <c r="AA51" i="30"/>
  <c r="AC51" i="30"/>
  <c r="C52" i="30"/>
  <c r="E52" i="30"/>
  <c r="G52" i="30"/>
  <c r="I52" i="30"/>
  <c r="K52" i="30"/>
  <c r="M52" i="30"/>
  <c r="O52" i="30"/>
  <c r="Q52" i="30"/>
  <c r="S52" i="30"/>
  <c r="U52" i="30"/>
  <c r="W52" i="30"/>
  <c r="Y52" i="30"/>
  <c r="AA52" i="30"/>
  <c r="AC52" i="30"/>
  <c r="C53" i="30"/>
  <c r="E53" i="30"/>
  <c r="G53" i="30"/>
  <c r="I53" i="30"/>
  <c r="K53" i="30"/>
  <c r="M53" i="30"/>
  <c r="O53" i="30"/>
  <c r="Q53" i="30"/>
  <c r="S53" i="30"/>
  <c r="U53" i="30"/>
  <c r="W53" i="30"/>
  <c r="Y53" i="30"/>
  <c r="AA53" i="30"/>
  <c r="AC53" i="30"/>
  <c r="C54" i="30"/>
  <c r="E54" i="30"/>
  <c r="G54" i="30"/>
  <c r="I54" i="30"/>
  <c r="K54" i="30"/>
  <c r="M54" i="30"/>
  <c r="O54" i="30"/>
  <c r="Q54" i="30"/>
  <c r="S54" i="30"/>
  <c r="U54" i="30"/>
  <c r="W54" i="30"/>
  <c r="Y54" i="30"/>
  <c r="AA54" i="30"/>
  <c r="AC54" i="30"/>
  <c r="C55" i="30"/>
  <c r="E55" i="30"/>
  <c r="G55" i="30"/>
  <c r="I55" i="30"/>
  <c r="K55" i="30"/>
  <c r="M55" i="30"/>
  <c r="O55" i="30"/>
  <c r="Q55" i="30"/>
  <c r="S55" i="30"/>
  <c r="U55" i="30"/>
  <c r="W55" i="30"/>
  <c r="Y55" i="30"/>
  <c r="AA55" i="30"/>
  <c r="AC55" i="30"/>
  <c r="C56" i="30"/>
  <c r="E56" i="30"/>
  <c r="G56" i="30"/>
  <c r="I56" i="30"/>
  <c r="K56" i="30"/>
  <c r="M56" i="30"/>
  <c r="O56" i="30"/>
  <c r="Q56" i="30"/>
  <c r="S56" i="30"/>
  <c r="U56" i="30"/>
  <c r="W56" i="30"/>
  <c r="Y56" i="30"/>
  <c r="AA56" i="30"/>
  <c r="AC56" i="30"/>
  <c r="C57" i="30"/>
  <c r="E57" i="30"/>
  <c r="G57" i="30"/>
  <c r="I57" i="30"/>
  <c r="K57" i="30"/>
  <c r="M57" i="30"/>
  <c r="O57" i="30"/>
  <c r="Q57" i="30"/>
  <c r="S57" i="30"/>
  <c r="U57" i="30"/>
  <c r="W57" i="30"/>
  <c r="Y57" i="30"/>
  <c r="AA57" i="30"/>
  <c r="AC57" i="30"/>
  <c r="C58" i="30"/>
  <c r="E58" i="30"/>
  <c r="G58" i="30"/>
  <c r="I58" i="30"/>
  <c r="K58" i="30"/>
  <c r="M58" i="30"/>
  <c r="O58" i="30"/>
  <c r="Q58" i="30"/>
  <c r="S58" i="30"/>
  <c r="U58" i="30"/>
  <c r="W58" i="30"/>
  <c r="Y58" i="30"/>
  <c r="AA58" i="30"/>
  <c r="AC58" i="30"/>
  <c r="C59" i="30"/>
  <c r="E59" i="30"/>
  <c r="G59" i="30"/>
  <c r="I59" i="30"/>
  <c r="K59" i="30"/>
  <c r="M59" i="30"/>
  <c r="O59" i="30"/>
  <c r="Q59" i="30"/>
  <c r="S59" i="30"/>
  <c r="U59" i="30"/>
  <c r="W59" i="30"/>
  <c r="Y59" i="30"/>
  <c r="AA59" i="30"/>
  <c r="AC59" i="30"/>
  <c r="C60" i="30"/>
  <c r="E60" i="30"/>
  <c r="G60" i="30"/>
  <c r="I60" i="30"/>
  <c r="K60" i="30"/>
  <c r="M60" i="30"/>
  <c r="O60" i="30"/>
  <c r="Q60" i="30"/>
  <c r="S60" i="30"/>
  <c r="U60" i="30"/>
  <c r="W60" i="30"/>
  <c r="Y60" i="30"/>
  <c r="AA60" i="30"/>
  <c r="AC60" i="30"/>
  <c r="C61" i="30"/>
  <c r="E61" i="30"/>
  <c r="G61" i="30"/>
  <c r="I61" i="30"/>
  <c r="K61" i="30"/>
  <c r="M61" i="30"/>
  <c r="O61" i="30"/>
  <c r="Q61" i="30"/>
  <c r="S61" i="30"/>
  <c r="U61" i="30"/>
  <c r="W61" i="30"/>
  <c r="Y61" i="30"/>
  <c r="AA61" i="30"/>
  <c r="AC61" i="30"/>
  <c r="C62" i="30"/>
  <c r="E62" i="30"/>
  <c r="G62" i="30"/>
  <c r="I62" i="30"/>
  <c r="K62" i="30"/>
  <c r="M62" i="30"/>
  <c r="O62" i="30"/>
  <c r="Q62" i="30"/>
  <c r="S62" i="30"/>
  <c r="U62" i="30"/>
  <c r="W62" i="30"/>
  <c r="Y62" i="30"/>
  <c r="AA62" i="30"/>
  <c r="AC62" i="30"/>
  <c r="C63" i="30"/>
  <c r="E63" i="30"/>
  <c r="G63" i="30"/>
  <c r="I63" i="30"/>
  <c r="K63" i="30"/>
  <c r="M63" i="30"/>
  <c r="O63" i="30"/>
  <c r="Q63" i="30"/>
  <c r="S63" i="30"/>
  <c r="U63" i="30"/>
  <c r="W63" i="30"/>
  <c r="Y63" i="30"/>
  <c r="AA63" i="30"/>
  <c r="AC63" i="30"/>
  <c r="C64" i="30"/>
  <c r="E64" i="30"/>
  <c r="G64" i="30"/>
  <c r="I64" i="30"/>
  <c r="K64" i="30"/>
  <c r="M64" i="30"/>
  <c r="O64" i="30"/>
  <c r="Q64" i="30"/>
  <c r="S64" i="30"/>
  <c r="U64" i="30"/>
  <c r="W64" i="30"/>
  <c r="Y64" i="30"/>
  <c r="AA64" i="30"/>
  <c r="AC64" i="30"/>
  <c r="C65" i="30"/>
  <c r="E65" i="30"/>
  <c r="G65" i="30"/>
  <c r="I65" i="30"/>
  <c r="K65" i="30"/>
  <c r="M65" i="30"/>
  <c r="O65" i="30"/>
  <c r="Q65" i="30"/>
  <c r="S65" i="30"/>
  <c r="U65" i="30"/>
  <c r="W65" i="30"/>
  <c r="Y65" i="30"/>
  <c r="AA65" i="30"/>
  <c r="AC65" i="30"/>
  <c r="C66" i="30"/>
  <c r="E66" i="30"/>
  <c r="G66" i="30"/>
  <c r="I66" i="30"/>
  <c r="K66" i="30"/>
  <c r="M66" i="30"/>
  <c r="O66" i="30"/>
  <c r="Q66" i="30"/>
  <c r="S66" i="30"/>
  <c r="U66" i="30"/>
  <c r="W66" i="30"/>
  <c r="Y66" i="30"/>
  <c r="AA66" i="30"/>
  <c r="AC66" i="30"/>
  <c r="C67" i="30"/>
  <c r="E67" i="30"/>
  <c r="G67" i="30"/>
  <c r="I67" i="30"/>
  <c r="K67" i="30"/>
  <c r="M67" i="30"/>
  <c r="O67" i="30"/>
  <c r="Q67" i="30"/>
  <c r="S67" i="30"/>
  <c r="U67" i="30"/>
  <c r="W67" i="30"/>
  <c r="Y67" i="30"/>
  <c r="AA67" i="30"/>
  <c r="AC67" i="30"/>
  <c r="C68" i="30"/>
  <c r="E68" i="30"/>
  <c r="G68" i="30"/>
  <c r="I68" i="30"/>
  <c r="K68" i="30"/>
  <c r="M68" i="30"/>
  <c r="O68" i="30"/>
  <c r="Q68" i="30"/>
  <c r="S68" i="30"/>
  <c r="U68" i="30"/>
  <c r="W68" i="30"/>
  <c r="Y68" i="30"/>
  <c r="AA68" i="30"/>
  <c r="AC68" i="30"/>
  <c r="C69" i="30"/>
  <c r="E69" i="30"/>
  <c r="G69" i="30"/>
  <c r="I69" i="30"/>
  <c r="K69" i="30"/>
  <c r="M69" i="30"/>
  <c r="O69" i="30"/>
  <c r="Q69" i="30"/>
  <c r="S69" i="30"/>
  <c r="U69" i="30"/>
  <c r="W69" i="30"/>
  <c r="Y69" i="30"/>
  <c r="AA69" i="30"/>
  <c r="AC69" i="30"/>
  <c r="C70" i="30"/>
  <c r="E70" i="30"/>
  <c r="G70" i="30"/>
  <c r="I70" i="30"/>
  <c r="K70" i="30"/>
  <c r="M70" i="30"/>
  <c r="O70" i="30"/>
  <c r="Q70" i="30"/>
  <c r="S70" i="30"/>
  <c r="U70" i="30"/>
  <c r="W70" i="30"/>
  <c r="Y70" i="30"/>
  <c r="AA70" i="30"/>
  <c r="AC70" i="30"/>
  <c r="C71" i="30"/>
  <c r="E71" i="30"/>
  <c r="G71" i="30"/>
  <c r="I71" i="30"/>
  <c r="K71" i="30"/>
  <c r="M71" i="30"/>
  <c r="O71" i="30"/>
  <c r="Q71" i="30"/>
  <c r="S71" i="30"/>
  <c r="U71" i="30"/>
  <c r="W71" i="30"/>
  <c r="Y71" i="30"/>
  <c r="AA71" i="30"/>
  <c r="AC71" i="30"/>
  <c r="C72" i="30"/>
  <c r="E72" i="30"/>
  <c r="G72" i="30"/>
  <c r="I72" i="30"/>
  <c r="K72" i="30"/>
  <c r="M72" i="30"/>
  <c r="O72" i="30"/>
  <c r="Q72" i="30"/>
  <c r="S72" i="30"/>
  <c r="U72" i="30"/>
  <c r="W72" i="30"/>
  <c r="Y72" i="30"/>
  <c r="AA72" i="30"/>
  <c r="AC72" i="30"/>
  <c r="C73" i="30"/>
  <c r="E73" i="30"/>
  <c r="G73" i="30"/>
  <c r="I73" i="30"/>
  <c r="K73" i="30"/>
  <c r="M73" i="30"/>
  <c r="O73" i="30"/>
  <c r="Q73" i="30"/>
  <c r="S73" i="30"/>
  <c r="U73" i="30"/>
  <c r="W73" i="30"/>
  <c r="Y73" i="30"/>
  <c r="AA73" i="30"/>
  <c r="AC73" i="30"/>
  <c r="C74" i="30"/>
  <c r="E74" i="30"/>
  <c r="G74" i="30"/>
  <c r="I74" i="30"/>
  <c r="K74" i="30"/>
  <c r="M74" i="30"/>
  <c r="O74" i="30"/>
  <c r="Q74" i="30"/>
  <c r="S74" i="30"/>
  <c r="U74" i="30"/>
  <c r="W74" i="30"/>
  <c r="Y74" i="30"/>
  <c r="AA74" i="30"/>
  <c r="AC74" i="30"/>
  <c r="C75" i="30"/>
  <c r="E75" i="30"/>
  <c r="G75" i="30"/>
  <c r="I75" i="30"/>
  <c r="K75" i="30"/>
  <c r="M75" i="30"/>
  <c r="O75" i="30"/>
  <c r="Q75" i="30"/>
  <c r="S75" i="30"/>
  <c r="U75" i="30"/>
  <c r="W75" i="30"/>
  <c r="Y75" i="30"/>
  <c r="AA75" i="30"/>
  <c r="AC75" i="30"/>
  <c r="C76" i="30"/>
  <c r="E76" i="30"/>
  <c r="G76" i="30"/>
  <c r="I76" i="30"/>
  <c r="K76" i="30"/>
  <c r="M76" i="30"/>
  <c r="O76" i="30"/>
  <c r="Q76" i="30"/>
  <c r="S76" i="30"/>
  <c r="U76" i="30"/>
  <c r="W76" i="30"/>
  <c r="Y76" i="30"/>
  <c r="AA76" i="30"/>
  <c r="AC76" i="30"/>
  <c r="C77" i="30"/>
  <c r="E77" i="30"/>
  <c r="G77" i="30"/>
  <c r="I77" i="30"/>
  <c r="K77" i="30"/>
  <c r="M77" i="30"/>
  <c r="O77" i="30"/>
  <c r="Q77" i="30"/>
  <c r="S77" i="30"/>
  <c r="U77" i="30"/>
  <c r="W77" i="30"/>
  <c r="Y77" i="30"/>
  <c r="AA77" i="30"/>
  <c r="AC77" i="30"/>
  <c r="C78" i="30"/>
  <c r="E78" i="30"/>
  <c r="G78" i="30"/>
  <c r="I78" i="30"/>
  <c r="K78" i="30"/>
  <c r="M78" i="30"/>
  <c r="O78" i="30"/>
  <c r="Q78" i="30"/>
  <c r="S78" i="30"/>
  <c r="U78" i="30"/>
  <c r="W78" i="30"/>
  <c r="Y78" i="30"/>
  <c r="AA78" i="30"/>
  <c r="AC78" i="30"/>
  <c r="C79" i="30"/>
  <c r="E79" i="30"/>
  <c r="G79" i="30"/>
  <c r="I79" i="30"/>
  <c r="K79" i="30"/>
  <c r="M79" i="30"/>
  <c r="O79" i="30"/>
  <c r="Q79" i="30"/>
  <c r="S79" i="30"/>
  <c r="U79" i="30"/>
  <c r="W79" i="30"/>
  <c r="Y79" i="30"/>
  <c r="AA79" i="30"/>
  <c r="AC79" i="30"/>
  <c r="AD79" i="30"/>
  <c r="AH79" i="30"/>
  <c r="C80" i="30"/>
  <c r="E80" i="30"/>
  <c r="G80" i="30"/>
  <c r="I80" i="30"/>
  <c r="K80" i="30"/>
  <c r="M80" i="30"/>
  <c r="O80" i="30"/>
  <c r="Q80" i="30"/>
  <c r="S80" i="30"/>
  <c r="U80" i="30"/>
  <c r="W80" i="30"/>
  <c r="Y80" i="30"/>
  <c r="AA80" i="30"/>
  <c r="AC80" i="30"/>
  <c r="C81" i="30"/>
  <c r="E81" i="30"/>
  <c r="G81" i="30"/>
  <c r="I81" i="30"/>
  <c r="K81" i="30"/>
  <c r="M81" i="30"/>
  <c r="O81" i="30"/>
  <c r="Q81" i="30"/>
  <c r="S81" i="30"/>
  <c r="U81" i="30"/>
  <c r="W81" i="30"/>
  <c r="Y81" i="30"/>
  <c r="AA81" i="30"/>
  <c r="AC81" i="30"/>
  <c r="C82" i="30"/>
  <c r="E82" i="30"/>
  <c r="G82" i="30"/>
  <c r="I82" i="30"/>
  <c r="K82" i="30"/>
  <c r="M82" i="30"/>
  <c r="O82" i="30"/>
  <c r="Q82" i="30"/>
  <c r="S82" i="30"/>
  <c r="U82" i="30"/>
  <c r="W82" i="30"/>
  <c r="Y82" i="30"/>
  <c r="AA82" i="30"/>
  <c r="AC82" i="30"/>
  <c r="C83" i="30"/>
  <c r="E83" i="30"/>
  <c r="G83" i="30"/>
  <c r="I83" i="30"/>
  <c r="K83" i="30"/>
  <c r="M83" i="30"/>
  <c r="O83" i="30"/>
  <c r="Q83" i="30"/>
  <c r="S83" i="30"/>
  <c r="U83" i="30"/>
  <c r="W83" i="30"/>
  <c r="Y83" i="30"/>
  <c r="AA83" i="30"/>
  <c r="AC83" i="30"/>
  <c r="C84" i="30"/>
  <c r="E84" i="30"/>
  <c r="G84" i="30"/>
  <c r="I84" i="30"/>
  <c r="K84" i="30"/>
  <c r="M84" i="30"/>
  <c r="O84" i="30"/>
  <c r="Q84" i="30"/>
  <c r="S84" i="30"/>
  <c r="U84" i="30"/>
  <c r="W84" i="30"/>
  <c r="Y84" i="30"/>
  <c r="AA84" i="30"/>
  <c r="AC84" i="30"/>
  <c r="C85" i="30"/>
  <c r="E85" i="30"/>
  <c r="G85" i="30"/>
  <c r="I85" i="30"/>
  <c r="K85" i="30"/>
  <c r="M85" i="30"/>
  <c r="O85" i="30"/>
  <c r="Q85" i="30"/>
  <c r="S85" i="30"/>
  <c r="U85" i="30"/>
  <c r="W85" i="30"/>
  <c r="Y85" i="30"/>
  <c r="AA85" i="30"/>
  <c r="AC85" i="30"/>
  <c r="C86" i="30"/>
  <c r="E86" i="30"/>
  <c r="G86" i="30"/>
  <c r="I86" i="30"/>
  <c r="K86" i="30"/>
  <c r="M86" i="30"/>
  <c r="O86" i="30"/>
  <c r="Q86" i="30"/>
  <c r="S86" i="30"/>
  <c r="U86" i="30"/>
  <c r="W86" i="30"/>
  <c r="Y86" i="30"/>
  <c r="AA86" i="30"/>
  <c r="AC86" i="30"/>
  <c r="C87" i="30"/>
  <c r="E87" i="30"/>
  <c r="G87" i="30"/>
  <c r="I87" i="30"/>
  <c r="K87" i="30"/>
  <c r="M87" i="30"/>
  <c r="O87" i="30"/>
  <c r="Q87" i="30"/>
  <c r="S87" i="30"/>
  <c r="U87" i="30"/>
  <c r="W87" i="30"/>
  <c r="Y87" i="30"/>
  <c r="AA87" i="30"/>
  <c r="AC87" i="30"/>
  <c r="C88" i="30"/>
  <c r="E88" i="30"/>
  <c r="G88" i="30"/>
  <c r="I88" i="30"/>
  <c r="K88" i="30"/>
  <c r="M88" i="30"/>
  <c r="O88" i="30"/>
  <c r="Q88" i="30"/>
  <c r="S88" i="30"/>
  <c r="U88" i="30"/>
  <c r="W88" i="30"/>
  <c r="Y88" i="30"/>
  <c r="AA88" i="30"/>
  <c r="AC88" i="30"/>
  <c r="C89" i="30"/>
  <c r="E89" i="30"/>
  <c r="G89" i="30"/>
  <c r="I89" i="30"/>
  <c r="K89" i="30"/>
  <c r="M89" i="30"/>
  <c r="O89" i="30"/>
  <c r="Q89" i="30"/>
  <c r="S89" i="30"/>
  <c r="U89" i="30"/>
  <c r="W89" i="30"/>
  <c r="Y89" i="30"/>
  <c r="AA89" i="30"/>
  <c r="AC89" i="30"/>
  <c r="C90" i="30"/>
  <c r="E90" i="30"/>
  <c r="G90" i="30"/>
  <c r="I90" i="30"/>
  <c r="K90" i="30"/>
  <c r="M90" i="30"/>
  <c r="O90" i="30"/>
  <c r="Q90" i="30"/>
  <c r="S90" i="30"/>
  <c r="U90" i="30"/>
  <c r="W90" i="30"/>
  <c r="Y90" i="30"/>
  <c r="AA90" i="30"/>
  <c r="AC90" i="30"/>
  <c r="C91" i="30"/>
  <c r="E91" i="30"/>
  <c r="G91" i="30"/>
  <c r="I91" i="30"/>
  <c r="K91" i="30"/>
  <c r="M91" i="30"/>
  <c r="O91" i="30"/>
  <c r="Q91" i="30"/>
  <c r="S91" i="30"/>
  <c r="U91" i="30"/>
  <c r="W91" i="30"/>
  <c r="Y91" i="30"/>
  <c r="AA91" i="30"/>
  <c r="AC91" i="30"/>
  <c r="C92" i="30"/>
  <c r="E92" i="30"/>
  <c r="G92" i="30"/>
  <c r="I92" i="30"/>
  <c r="K92" i="30"/>
  <c r="M92" i="30"/>
  <c r="O92" i="30"/>
  <c r="Q92" i="30"/>
  <c r="S92" i="30"/>
  <c r="U92" i="30"/>
  <c r="W92" i="30"/>
  <c r="Y92" i="30"/>
  <c r="AA92" i="30"/>
  <c r="AC92" i="30"/>
  <c r="C93" i="30"/>
  <c r="E93" i="30"/>
  <c r="G93" i="30"/>
  <c r="I93" i="30"/>
  <c r="K93" i="30"/>
  <c r="M93" i="30"/>
  <c r="O93" i="30"/>
  <c r="Q93" i="30"/>
  <c r="S93" i="30"/>
  <c r="U93" i="30"/>
  <c r="W93" i="30"/>
  <c r="Y93" i="30"/>
  <c r="AA93" i="30"/>
  <c r="AC93" i="30"/>
  <c r="C94" i="30"/>
  <c r="E94" i="30"/>
  <c r="G94" i="30"/>
  <c r="I94" i="30"/>
  <c r="K94" i="30"/>
  <c r="M94" i="30"/>
  <c r="O94" i="30"/>
  <c r="Q94" i="30"/>
  <c r="S94" i="30"/>
  <c r="U94" i="30"/>
  <c r="W94" i="30"/>
  <c r="Y94" i="30"/>
  <c r="AA94" i="30"/>
  <c r="AC94" i="30"/>
  <c r="C95" i="30"/>
  <c r="E95" i="30"/>
  <c r="G95" i="30"/>
  <c r="I95" i="30"/>
  <c r="K95" i="30"/>
  <c r="M95" i="30"/>
  <c r="O95" i="30"/>
  <c r="Q95" i="30"/>
  <c r="S95" i="30"/>
  <c r="U95" i="30"/>
  <c r="W95" i="30"/>
  <c r="Y95" i="30"/>
  <c r="AA95" i="30"/>
  <c r="AC95" i="30"/>
  <c r="C96" i="30"/>
  <c r="E96" i="30"/>
  <c r="G96" i="30"/>
  <c r="I96" i="30"/>
  <c r="K96" i="30"/>
  <c r="M96" i="30"/>
  <c r="O96" i="30"/>
  <c r="Q96" i="30"/>
  <c r="S96" i="30"/>
  <c r="U96" i="30"/>
  <c r="W96" i="30"/>
  <c r="Y96" i="30"/>
  <c r="AA96" i="30"/>
  <c r="AC96" i="30"/>
  <c r="C97" i="30"/>
  <c r="E97" i="30"/>
  <c r="G97" i="30"/>
  <c r="I97" i="30"/>
  <c r="K97" i="30"/>
  <c r="M97" i="30"/>
  <c r="O97" i="30"/>
  <c r="Q97" i="30"/>
  <c r="S97" i="30"/>
  <c r="U97" i="30"/>
  <c r="W97" i="30"/>
  <c r="Y97" i="30"/>
  <c r="AA97" i="30"/>
  <c r="AC97" i="30"/>
  <c r="C98" i="30"/>
  <c r="E98" i="30"/>
  <c r="G98" i="30"/>
  <c r="I98" i="30"/>
  <c r="K98" i="30"/>
  <c r="M98" i="30"/>
  <c r="O98" i="30"/>
  <c r="Q98" i="30"/>
  <c r="S98" i="30"/>
  <c r="U98" i="30"/>
  <c r="W98" i="30"/>
  <c r="Y98" i="30"/>
  <c r="AA98" i="30"/>
  <c r="AC98" i="30"/>
  <c r="C99" i="30"/>
  <c r="E99" i="30"/>
  <c r="G99" i="30"/>
  <c r="I99" i="30"/>
  <c r="K99" i="30"/>
  <c r="M99" i="30"/>
  <c r="O99" i="30"/>
  <c r="Q99" i="30"/>
  <c r="S99" i="30"/>
  <c r="U99" i="30"/>
  <c r="W99" i="30"/>
  <c r="Y99" i="30"/>
  <c r="AA99" i="30"/>
  <c r="AC99" i="30"/>
  <c r="C100" i="30"/>
  <c r="E100" i="30"/>
  <c r="G100" i="30"/>
  <c r="I100" i="30"/>
  <c r="K100" i="30"/>
  <c r="M100" i="30"/>
  <c r="O100" i="30"/>
  <c r="Q100" i="30"/>
  <c r="S100" i="30"/>
  <c r="U100" i="30"/>
  <c r="W100" i="30"/>
  <c r="Y100" i="30"/>
  <c r="AA100" i="30"/>
  <c r="AC100" i="30"/>
  <c r="C101" i="30"/>
  <c r="E101" i="30"/>
  <c r="G101" i="30"/>
  <c r="I101" i="30"/>
  <c r="K101" i="30"/>
  <c r="M101" i="30"/>
  <c r="O101" i="30"/>
  <c r="Q101" i="30"/>
  <c r="S101" i="30"/>
  <c r="U101" i="30"/>
  <c r="W101" i="30"/>
  <c r="Y101" i="30"/>
  <c r="AA101" i="30"/>
  <c r="AC101" i="30"/>
  <c r="C102" i="30"/>
  <c r="E102" i="30"/>
  <c r="G102" i="30"/>
  <c r="I102" i="30"/>
  <c r="K102" i="30"/>
  <c r="M102" i="30"/>
  <c r="O102" i="30"/>
  <c r="Q102" i="30"/>
  <c r="S102" i="30"/>
  <c r="U102" i="30"/>
  <c r="W102" i="30"/>
  <c r="Y102" i="30"/>
  <c r="AA102" i="30"/>
  <c r="AC102" i="30"/>
  <c r="C103" i="30"/>
  <c r="E103" i="30"/>
  <c r="G103" i="30"/>
  <c r="I103" i="30"/>
  <c r="K103" i="30"/>
  <c r="M103" i="30"/>
  <c r="O103" i="30"/>
  <c r="Q103" i="30"/>
  <c r="S103" i="30"/>
  <c r="U103" i="30"/>
  <c r="W103" i="30"/>
  <c r="Y103" i="30"/>
  <c r="AA103" i="30"/>
  <c r="AC103" i="30"/>
  <c r="C104" i="30"/>
  <c r="E104" i="30"/>
  <c r="G104" i="30"/>
  <c r="I104" i="30"/>
  <c r="K104" i="30"/>
  <c r="M104" i="30"/>
  <c r="O104" i="30"/>
  <c r="Q104" i="30"/>
  <c r="S104" i="30"/>
  <c r="U104" i="30"/>
  <c r="W104" i="30"/>
  <c r="Y104" i="30"/>
  <c r="AA104" i="30"/>
  <c r="AC104" i="30"/>
  <c r="C105" i="30"/>
  <c r="E105" i="30"/>
  <c r="G105" i="30"/>
  <c r="I105" i="30"/>
  <c r="K105" i="30"/>
  <c r="M105" i="30"/>
  <c r="O105" i="30"/>
  <c r="Q105" i="30"/>
  <c r="S105" i="30"/>
  <c r="U105" i="30"/>
  <c r="W105" i="30"/>
  <c r="Y105" i="30"/>
  <c r="AA105" i="30"/>
  <c r="AC105" i="30"/>
  <c r="C106" i="30"/>
  <c r="E106" i="30"/>
  <c r="G106" i="30"/>
  <c r="I106" i="30"/>
  <c r="K106" i="30"/>
  <c r="M106" i="30"/>
  <c r="O106" i="30"/>
  <c r="Q106" i="30"/>
  <c r="S106" i="30"/>
  <c r="U106" i="30"/>
  <c r="W106" i="30"/>
  <c r="Y106" i="30"/>
  <c r="AA106" i="30"/>
  <c r="AC106" i="30"/>
  <c r="C107" i="30"/>
  <c r="E107" i="30"/>
  <c r="G107" i="30"/>
  <c r="I107" i="30"/>
  <c r="K107" i="30"/>
  <c r="M107" i="30"/>
  <c r="O107" i="30"/>
  <c r="Q107" i="30"/>
  <c r="S107" i="30"/>
  <c r="U107" i="30"/>
  <c r="W107" i="30"/>
  <c r="Y107" i="30"/>
  <c r="AA107" i="30"/>
  <c r="AC107" i="30"/>
  <c r="C108" i="30"/>
  <c r="E108" i="30"/>
  <c r="G108" i="30"/>
  <c r="I108" i="30"/>
  <c r="K108" i="30"/>
  <c r="M108" i="30"/>
  <c r="O108" i="30"/>
  <c r="Q108" i="30"/>
  <c r="S108" i="30"/>
  <c r="U108" i="30"/>
  <c r="W108" i="30"/>
  <c r="Y108" i="30"/>
  <c r="AA108" i="30"/>
  <c r="AC108" i="30"/>
  <c r="C109" i="30"/>
  <c r="E109" i="30"/>
  <c r="G109" i="30"/>
  <c r="I109" i="30"/>
  <c r="K109" i="30"/>
  <c r="M109" i="30"/>
  <c r="O109" i="30"/>
  <c r="Q109" i="30"/>
  <c r="S109" i="30"/>
  <c r="U109" i="30"/>
  <c r="W109" i="30"/>
  <c r="Y109" i="30"/>
  <c r="AA109" i="30"/>
  <c r="AC109" i="30"/>
  <c r="C110" i="30"/>
  <c r="E110" i="30"/>
  <c r="G110" i="30"/>
  <c r="I110" i="30"/>
  <c r="K110" i="30"/>
  <c r="M110" i="30"/>
  <c r="O110" i="30"/>
  <c r="Q110" i="30"/>
  <c r="S110" i="30"/>
  <c r="U110" i="30"/>
  <c r="W110" i="30"/>
  <c r="Y110" i="30"/>
  <c r="AA110" i="30"/>
  <c r="AC110" i="30"/>
  <c r="C111" i="30"/>
  <c r="E111" i="30"/>
  <c r="G111" i="30"/>
  <c r="I111" i="30"/>
  <c r="K111" i="30"/>
  <c r="M111" i="30"/>
  <c r="O111" i="30"/>
  <c r="Q111" i="30"/>
  <c r="S111" i="30"/>
  <c r="U111" i="30"/>
  <c r="W111" i="30"/>
  <c r="Y111" i="30"/>
  <c r="AA111" i="30"/>
  <c r="AC111" i="30"/>
  <c r="C112" i="30"/>
  <c r="E112" i="30"/>
  <c r="G112" i="30"/>
  <c r="I112" i="30"/>
  <c r="K112" i="30"/>
  <c r="M112" i="30"/>
  <c r="O112" i="30"/>
  <c r="Q112" i="30"/>
  <c r="S112" i="30"/>
  <c r="U112" i="30"/>
  <c r="W112" i="30"/>
  <c r="Y112" i="30"/>
  <c r="AA112" i="30"/>
  <c r="AC112" i="30"/>
  <c r="C113" i="30"/>
  <c r="E113" i="30"/>
  <c r="G113" i="30"/>
  <c r="I113" i="30"/>
  <c r="K113" i="30"/>
  <c r="M113" i="30"/>
  <c r="O113" i="30"/>
  <c r="Q113" i="30"/>
  <c r="S113" i="30"/>
  <c r="U113" i="30"/>
  <c r="W113" i="30"/>
  <c r="Y113" i="30"/>
  <c r="AA113" i="30"/>
  <c r="AC113" i="30"/>
  <c r="C114" i="30"/>
  <c r="E114" i="30"/>
  <c r="G114" i="30"/>
  <c r="I114" i="30"/>
  <c r="K114" i="30"/>
  <c r="M114" i="30"/>
  <c r="O114" i="30"/>
  <c r="S114" i="30"/>
  <c r="U114" i="30"/>
  <c r="W114" i="30"/>
  <c r="Y114" i="30"/>
  <c r="AA114" i="30"/>
  <c r="AC114" i="30"/>
  <c r="AD114" i="30"/>
  <c r="AH114" i="30"/>
  <c r="C115" i="30"/>
  <c r="E115" i="30"/>
  <c r="G115" i="30"/>
  <c r="I115" i="30"/>
  <c r="K115" i="30"/>
  <c r="M115" i="30"/>
  <c r="O115" i="30"/>
  <c r="S115" i="30"/>
  <c r="U115" i="30"/>
  <c r="W115" i="30"/>
  <c r="Y115" i="30"/>
  <c r="AA115" i="30"/>
  <c r="AC115" i="30"/>
  <c r="C116" i="30"/>
  <c r="E116" i="30"/>
  <c r="G116" i="30"/>
  <c r="I116" i="30"/>
  <c r="K116" i="30"/>
  <c r="M116" i="30"/>
  <c r="O116" i="30"/>
  <c r="S116" i="30"/>
  <c r="U116" i="30"/>
  <c r="W116" i="30"/>
  <c r="Y116" i="30"/>
  <c r="AA116" i="30"/>
  <c r="AC116" i="30"/>
  <c r="C117" i="30"/>
  <c r="E117" i="30"/>
  <c r="G117" i="30"/>
  <c r="I117" i="30"/>
  <c r="K117" i="30"/>
  <c r="M117" i="30"/>
  <c r="O117" i="30"/>
  <c r="S117" i="30"/>
  <c r="U117" i="30"/>
  <c r="W117" i="30"/>
  <c r="Y117" i="30"/>
  <c r="AA117" i="30"/>
  <c r="AC117" i="30"/>
  <c r="C118" i="30"/>
  <c r="E118" i="30"/>
  <c r="G118" i="30"/>
  <c r="I118" i="30"/>
  <c r="K118" i="30"/>
  <c r="M118" i="30"/>
  <c r="O118" i="30"/>
  <c r="S118" i="30"/>
  <c r="U118" i="30"/>
  <c r="W118" i="30"/>
  <c r="Y118" i="30"/>
  <c r="AA118" i="30"/>
  <c r="AC118" i="30"/>
  <c r="C119" i="30"/>
  <c r="E119" i="30"/>
  <c r="G119" i="30"/>
  <c r="I119" i="30"/>
  <c r="K119" i="30"/>
  <c r="M119" i="30"/>
  <c r="O119" i="30"/>
  <c r="S119" i="30"/>
  <c r="U119" i="30"/>
  <c r="W119" i="30"/>
  <c r="Y119" i="30"/>
  <c r="AA119" i="30"/>
  <c r="AC119" i="30"/>
  <c r="C120" i="30"/>
  <c r="E120" i="30"/>
  <c r="G120" i="30"/>
  <c r="I120" i="30"/>
  <c r="K120" i="30"/>
  <c r="M120" i="30"/>
  <c r="O120" i="30"/>
  <c r="S120" i="30"/>
  <c r="U120" i="30"/>
  <c r="W120" i="30"/>
  <c r="Y120" i="30"/>
  <c r="AA120" i="30"/>
  <c r="AC120" i="30"/>
  <c r="C121" i="30"/>
  <c r="E121" i="30"/>
  <c r="G121" i="30"/>
  <c r="I121" i="30"/>
  <c r="K121" i="30"/>
  <c r="M121" i="30"/>
  <c r="O121" i="30"/>
  <c r="S121" i="30"/>
  <c r="U121" i="30"/>
  <c r="W121" i="30"/>
  <c r="Y121" i="30"/>
  <c r="AA121" i="30"/>
  <c r="AC121" i="30"/>
  <c r="C122" i="30"/>
  <c r="E122" i="30"/>
  <c r="G122" i="30"/>
  <c r="I122" i="30"/>
  <c r="K122" i="30"/>
  <c r="M122" i="30"/>
  <c r="O122" i="30"/>
  <c r="S122" i="30"/>
  <c r="U122" i="30"/>
  <c r="W122" i="30"/>
  <c r="Y122" i="30"/>
  <c r="AA122" i="30"/>
  <c r="AC122" i="30"/>
  <c r="C123" i="30"/>
  <c r="E123" i="30"/>
  <c r="G123" i="30"/>
  <c r="I123" i="30"/>
  <c r="K123" i="30"/>
  <c r="M123" i="30"/>
  <c r="O123" i="30"/>
  <c r="S123" i="30"/>
  <c r="U123" i="30"/>
  <c r="W123" i="30"/>
  <c r="Y123" i="30"/>
  <c r="AA123" i="30"/>
  <c r="AC123" i="30"/>
  <c r="C124" i="30"/>
  <c r="E124" i="30"/>
  <c r="G124" i="30"/>
  <c r="I124" i="30"/>
  <c r="K124" i="30"/>
  <c r="M124" i="30"/>
  <c r="O124" i="30"/>
  <c r="S124" i="30"/>
  <c r="U124" i="30"/>
  <c r="W124" i="30"/>
  <c r="Y124" i="30"/>
  <c r="AA124" i="30"/>
  <c r="AC124" i="30"/>
  <c r="C125" i="30"/>
  <c r="E125" i="30"/>
  <c r="G125" i="30"/>
  <c r="I125" i="30"/>
  <c r="K125" i="30"/>
  <c r="M125" i="30"/>
  <c r="O125" i="30"/>
  <c r="S125" i="30"/>
  <c r="U125" i="30"/>
  <c r="W125" i="30"/>
  <c r="Y125" i="30"/>
  <c r="AA125" i="30"/>
  <c r="AC125" i="30"/>
  <c r="C126" i="30"/>
  <c r="E126" i="30"/>
  <c r="G126" i="30"/>
  <c r="I126" i="30"/>
  <c r="K126" i="30"/>
  <c r="M126" i="30"/>
  <c r="O126" i="30"/>
  <c r="S126" i="30"/>
  <c r="U126" i="30"/>
  <c r="W126" i="30"/>
  <c r="Y126" i="30"/>
  <c r="AA126" i="30"/>
  <c r="AC126" i="30"/>
  <c r="C127" i="30"/>
  <c r="E127" i="30"/>
  <c r="G127" i="30"/>
  <c r="I127" i="30"/>
  <c r="K127" i="30"/>
  <c r="M127" i="30"/>
  <c r="O127" i="30"/>
  <c r="S127" i="30"/>
  <c r="U127" i="30"/>
  <c r="W127" i="30"/>
  <c r="Y127" i="30"/>
  <c r="AA127" i="30"/>
  <c r="AC127" i="30"/>
  <c r="C128" i="30"/>
  <c r="E128" i="30"/>
  <c r="G128" i="30"/>
  <c r="I128" i="30"/>
  <c r="K128" i="30"/>
  <c r="M128" i="30"/>
  <c r="O128" i="30"/>
  <c r="S128" i="30"/>
  <c r="U128" i="30"/>
  <c r="W128" i="30"/>
  <c r="Y128" i="30"/>
  <c r="AA128" i="30"/>
  <c r="AC128" i="30"/>
  <c r="C129" i="30"/>
  <c r="E129" i="30"/>
  <c r="G129" i="30"/>
  <c r="I129" i="30"/>
  <c r="K129" i="30"/>
  <c r="M129" i="30"/>
  <c r="O129" i="30"/>
  <c r="S129" i="30"/>
  <c r="U129" i="30"/>
  <c r="W129" i="30"/>
  <c r="Y129" i="30"/>
  <c r="AA129" i="30"/>
  <c r="AC129" i="30"/>
  <c r="C130" i="30"/>
  <c r="E130" i="30"/>
  <c r="G130" i="30"/>
  <c r="I130" i="30"/>
  <c r="K130" i="30"/>
  <c r="M130" i="30"/>
  <c r="O130" i="30"/>
  <c r="S130" i="30"/>
  <c r="U130" i="30"/>
  <c r="W130" i="30"/>
  <c r="Y130" i="30"/>
  <c r="AA130" i="30"/>
  <c r="AC130" i="30"/>
  <c r="C131" i="30"/>
  <c r="E131" i="30"/>
  <c r="G131" i="30"/>
  <c r="I131" i="30"/>
  <c r="K131" i="30"/>
  <c r="M131" i="30"/>
  <c r="O131" i="30"/>
  <c r="S131" i="30"/>
  <c r="U131" i="30"/>
  <c r="W131" i="30"/>
  <c r="Y131" i="30"/>
  <c r="AA131" i="30"/>
  <c r="AC131" i="30"/>
  <c r="C132" i="30"/>
  <c r="E132" i="30"/>
  <c r="G132" i="30"/>
  <c r="I132" i="30"/>
  <c r="K132" i="30"/>
  <c r="M132" i="30"/>
  <c r="O132" i="30"/>
  <c r="S132" i="30"/>
  <c r="U132" i="30"/>
  <c r="W132" i="30"/>
  <c r="Y132" i="30"/>
  <c r="AA132" i="30"/>
  <c r="AC132" i="30"/>
  <c r="C133" i="30"/>
  <c r="E133" i="30"/>
  <c r="G133" i="30"/>
  <c r="I133" i="30"/>
  <c r="K133" i="30"/>
  <c r="M133" i="30"/>
  <c r="O133" i="30"/>
  <c r="S133" i="30"/>
  <c r="U133" i="30"/>
  <c r="W133" i="30"/>
  <c r="Y133" i="30"/>
  <c r="AA133" i="30"/>
  <c r="AC133" i="30"/>
  <c r="C134" i="30"/>
  <c r="E134" i="30"/>
  <c r="G134" i="30"/>
  <c r="I134" i="30"/>
  <c r="K134" i="30"/>
  <c r="M134" i="30"/>
  <c r="O134" i="30"/>
  <c r="S134" i="30"/>
  <c r="U134" i="30"/>
  <c r="W134" i="30"/>
  <c r="Y134" i="30"/>
  <c r="AA134" i="30"/>
  <c r="AC134" i="30"/>
  <c r="C135" i="30"/>
  <c r="E135" i="30"/>
  <c r="G135" i="30"/>
  <c r="I135" i="30"/>
  <c r="K135" i="30"/>
  <c r="M135" i="30"/>
  <c r="O135" i="30"/>
  <c r="S135" i="30"/>
  <c r="U135" i="30"/>
  <c r="W135" i="30"/>
  <c r="Y135" i="30"/>
  <c r="AA135" i="30"/>
  <c r="AC135" i="30"/>
  <c r="C136" i="30"/>
  <c r="E136" i="30"/>
  <c r="G136" i="30"/>
  <c r="I136" i="30"/>
  <c r="K136" i="30"/>
  <c r="M136" i="30"/>
  <c r="O136" i="30"/>
  <c r="S136" i="30"/>
  <c r="U136" i="30"/>
  <c r="W136" i="30"/>
  <c r="Y136" i="30"/>
  <c r="AA136" i="30"/>
  <c r="AC136" i="30"/>
  <c r="C137" i="30"/>
  <c r="E137" i="30"/>
  <c r="G137" i="30"/>
  <c r="I137" i="30"/>
  <c r="K137" i="30"/>
  <c r="M137" i="30"/>
  <c r="O137" i="30"/>
  <c r="S137" i="30"/>
  <c r="U137" i="30"/>
  <c r="W137" i="30"/>
  <c r="Y137" i="30"/>
  <c r="AA137" i="30"/>
  <c r="AC137" i="30"/>
  <c r="C138" i="30"/>
  <c r="E138" i="30"/>
  <c r="G138" i="30"/>
  <c r="I138" i="30"/>
  <c r="K138" i="30"/>
  <c r="M138" i="30"/>
  <c r="O138" i="30"/>
  <c r="S138" i="30"/>
  <c r="U138" i="30"/>
  <c r="W138" i="30"/>
  <c r="Y138" i="30"/>
  <c r="AA138" i="30"/>
  <c r="AC138" i="30"/>
  <c r="C139" i="30"/>
  <c r="E139" i="30"/>
  <c r="G139" i="30"/>
  <c r="I139" i="30"/>
  <c r="K139" i="30"/>
  <c r="M139" i="30"/>
  <c r="O139" i="30"/>
  <c r="S139" i="30"/>
  <c r="U139" i="30"/>
  <c r="W139" i="30"/>
  <c r="Y139" i="30"/>
  <c r="AA139" i="30"/>
  <c r="AC139" i="30"/>
  <c r="C140" i="30"/>
  <c r="E140" i="30"/>
  <c r="G140" i="30"/>
  <c r="I140" i="30"/>
  <c r="K140" i="30"/>
  <c r="M140" i="30"/>
  <c r="O140" i="30"/>
  <c r="S140" i="30"/>
  <c r="U140" i="30"/>
  <c r="W140" i="30"/>
  <c r="Y140" i="30"/>
  <c r="AA140" i="30"/>
  <c r="AC140" i="30"/>
  <c r="C141" i="30"/>
  <c r="E141" i="30"/>
  <c r="G141" i="30"/>
  <c r="I141" i="30"/>
  <c r="K141" i="30"/>
  <c r="M141" i="30"/>
  <c r="O141" i="30"/>
  <c r="S141" i="30"/>
  <c r="U141" i="30"/>
  <c r="W141" i="30"/>
  <c r="Y141" i="30"/>
  <c r="AA141" i="30"/>
  <c r="AC141" i="30"/>
  <c r="C142" i="30"/>
  <c r="E142" i="30"/>
  <c r="G142" i="30"/>
  <c r="I142" i="30"/>
  <c r="K142" i="30"/>
  <c r="M142" i="30"/>
  <c r="O142" i="30"/>
  <c r="S142" i="30"/>
  <c r="U142" i="30"/>
  <c r="W142" i="30"/>
  <c r="Y142" i="30"/>
  <c r="AA142" i="30"/>
  <c r="AC142" i="30"/>
  <c r="C143" i="30"/>
  <c r="E143" i="30"/>
  <c r="G143" i="30"/>
  <c r="I143" i="30"/>
  <c r="K143" i="30"/>
  <c r="M143" i="30"/>
  <c r="O143" i="30"/>
  <c r="S143" i="30"/>
  <c r="U143" i="30"/>
  <c r="W143" i="30"/>
  <c r="Y143" i="30"/>
  <c r="AA143" i="30"/>
  <c r="AC143" i="30"/>
  <c r="C144" i="30"/>
  <c r="E144" i="30"/>
  <c r="G144" i="30"/>
  <c r="I144" i="30"/>
  <c r="K144" i="30"/>
  <c r="M144" i="30"/>
  <c r="O144" i="30"/>
  <c r="S144" i="30"/>
  <c r="U144" i="30"/>
  <c r="W144" i="30"/>
  <c r="Y144" i="30"/>
  <c r="AA144" i="30"/>
  <c r="AC144" i="30"/>
  <c r="C145" i="30"/>
  <c r="E145" i="30"/>
  <c r="G145" i="30"/>
  <c r="I145" i="30"/>
  <c r="K145" i="30"/>
  <c r="M145" i="30"/>
  <c r="O145" i="30"/>
  <c r="S145" i="30"/>
  <c r="U145" i="30"/>
  <c r="W145" i="30"/>
  <c r="Y145" i="30"/>
  <c r="AA145" i="30"/>
  <c r="AC145" i="30"/>
  <c r="C146" i="30"/>
  <c r="E146" i="30"/>
  <c r="G146" i="30"/>
  <c r="I146" i="30"/>
  <c r="K146" i="30"/>
  <c r="M146" i="30"/>
  <c r="O146" i="30"/>
  <c r="S146" i="30"/>
  <c r="U146" i="30"/>
  <c r="W146" i="30"/>
  <c r="Y146" i="30"/>
  <c r="AA146" i="30"/>
  <c r="AC146" i="30"/>
  <c r="C147" i="30"/>
  <c r="E147" i="30"/>
  <c r="G147" i="30"/>
  <c r="I147" i="30"/>
  <c r="K147" i="30"/>
  <c r="M147" i="30"/>
  <c r="O147" i="30"/>
  <c r="S147" i="30"/>
  <c r="U147" i="30"/>
  <c r="W147" i="30"/>
  <c r="Y147" i="30"/>
  <c r="AA147" i="30"/>
  <c r="AC147" i="30"/>
  <c r="C148" i="30"/>
  <c r="E148" i="30"/>
  <c r="G148" i="30"/>
  <c r="I148" i="30"/>
  <c r="K148" i="30"/>
  <c r="M148" i="30"/>
  <c r="O148" i="30"/>
  <c r="S148" i="30"/>
  <c r="U148" i="30"/>
  <c r="W148" i="30"/>
  <c r="Y148" i="30"/>
  <c r="AA148" i="30"/>
  <c r="AC148" i="30"/>
  <c r="C149" i="30"/>
  <c r="E149" i="30"/>
  <c r="G149" i="30"/>
  <c r="I149" i="30"/>
  <c r="K149" i="30"/>
  <c r="M149" i="30"/>
  <c r="O149" i="30"/>
  <c r="S149" i="30"/>
  <c r="U149" i="30"/>
  <c r="W149" i="30"/>
  <c r="Y149" i="30"/>
  <c r="AA149" i="30"/>
  <c r="AC149" i="30"/>
  <c r="AD149" i="30"/>
  <c r="AH149" i="30"/>
  <c r="C150" i="30"/>
  <c r="E150" i="30"/>
  <c r="G150" i="30"/>
  <c r="I150" i="30"/>
  <c r="K150" i="30"/>
  <c r="O150" i="30"/>
  <c r="Q150" i="30"/>
  <c r="S150" i="30"/>
  <c r="U150" i="30"/>
  <c r="W150" i="30"/>
  <c r="Y150" i="30"/>
  <c r="AA150" i="30"/>
  <c r="AC150" i="30"/>
  <c r="C151" i="30"/>
  <c r="E151" i="30"/>
  <c r="G151" i="30"/>
  <c r="I151" i="30"/>
  <c r="K151" i="30"/>
  <c r="O151" i="30"/>
  <c r="Q151" i="30"/>
  <c r="S151" i="30"/>
  <c r="U151" i="30"/>
  <c r="W151" i="30"/>
  <c r="Y151" i="30"/>
  <c r="AA151" i="30"/>
  <c r="AC151" i="30"/>
  <c r="C152" i="30"/>
  <c r="E152" i="30"/>
  <c r="G152" i="30"/>
  <c r="I152" i="30"/>
  <c r="K152" i="30"/>
  <c r="O152" i="30"/>
  <c r="Q152" i="30"/>
  <c r="S152" i="30"/>
  <c r="U152" i="30"/>
  <c r="W152" i="30"/>
  <c r="Y152" i="30"/>
  <c r="AA152" i="30"/>
  <c r="AC152" i="30"/>
  <c r="C153" i="30"/>
  <c r="E153" i="30"/>
  <c r="G153" i="30"/>
  <c r="I153" i="30"/>
  <c r="K153" i="30"/>
  <c r="O153" i="30"/>
  <c r="Q153" i="30"/>
  <c r="S153" i="30"/>
  <c r="U153" i="30"/>
  <c r="W153" i="30"/>
  <c r="Y153" i="30"/>
  <c r="AA153" i="30"/>
  <c r="AC153" i="30"/>
  <c r="C154" i="30"/>
  <c r="E154" i="30"/>
  <c r="G154" i="30"/>
  <c r="I154" i="30"/>
  <c r="K154" i="30"/>
  <c r="O154" i="30"/>
  <c r="Q154" i="30"/>
  <c r="S154" i="30"/>
  <c r="U154" i="30"/>
  <c r="W154" i="30"/>
  <c r="Y154" i="30"/>
  <c r="AA154" i="30"/>
  <c r="AC154" i="30"/>
  <c r="C155" i="30"/>
  <c r="E155" i="30"/>
  <c r="G155" i="30"/>
  <c r="I155" i="30"/>
  <c r="K155" i="30"/>
  <c r="O155" i="30"/>
  <c r="Q155" i="30"/>
  <c r="S155" i="30"/>
  <c r="U155" i="30"/>
  <c r="W155" i="30"/>
  <c r="Y155" i="30"/>
  <c r="AA155" i="30"/>
  <c r="AC155" i="30"/>
  <c r="C156" i="30"/>
  <c r="E156" i="30"/>
  <c r="G156" i="30"/>
  <c r="I156" i="30"/>
  <c r="K156" i="30"/>
  <c r="O156" i="30"/>
  <c r="Q156" i="30"/>
  <c r="S156" i="30"/>
  <c r="U156" i="30"/>
  <c r="W156" i="30"/>
  <c r="Y156" i="30"/>
  <c r="AA156" i="30"/>
  <c r="AC156" i="30"/>
  <c r="C157" i="30"/>
  <c r="E157" i="30"/>
  <c r="G157" i="30"/>
  <c r="I157" i="30"/>
  <c r="K157" i="30"/>
  <c r="O157" i="30"/>
  <c r="Q157" i="30"/>
  <c r="S157" i="30"/>
  <c r="U157" i="30"/>
  <c r="W157" i="30"/>
  <c r="Y157" i="30"/>
  <c r="AA157" i="30"/>
  <c r="AC157" i="30"/>
  <c r="C158" i="30"/>
  <c r="E158" i="30"/>
  <c r="G158" i="30"/>
  <c r="I158" i="30"/>
  <c r="K158" i="30"/>
  <c r="O158" i="30"/>
  <c r="Q158" i="30"/>
  <c r="S158" i="30"/>
  <c r="U158" i="30"/>
  <c r="W158" i="30"/>
  <c r="Y158" i="30"/>
  <c r="AA158" i="30"/>
  <c r="AC158" i="30"/>
  <c r="C159" i="30"/>
  <c r="E159" i="30"/>
  <c r="G159" i="30"/>
  <c r="I159" i="30"/>
  <c r="K159" i="30"/>
  <c r="O159" i="30"/>
  <c r="Q159" i="30"/>
  <c r="S159" i="30"/>
  <c r="U159" i="30"/>
  <c r="W159" i="30"/>
  <c r="Y159" i="30"/>
  <c r="AA159" i="30"/>
  <c r="AC159" i="30"/>
  <c r="C160" i="30"/>
  <c r="E160" i="30"/>
  <c r="G160" i="30"/>
  <c r="I160" i="30"/>
  <c r="K160" i="30"/>
  <c r="O160" i="30"/>
  <c r="Q160" i="30"/>
  <c r="S160" i="30"/>
  <c r="U160" i="30"/>
  <c r="W160" i="30"/>
  <c r="Y160" i="30"/>
  <c r="AA160" i="30"/>
  <c r="AC160" i="30"/>
  <c r="C161" i="30"/>
  <c r="E161" i="30"/>
  <c r="G161" i="30"/>
  <c r="I161" i="30"/>
  <c r="K161" i="30"/>
  <c r="O161" i="30"/>
  <c r="Q161" i="30"/>
  <c r="S161" i="30"/>
  <c r="U161" i="30"/>
  <c r="W161" i="30"/>
  <c r="Y161" i="30"/>
  <c r="AA161" i="30"/>
  <c r="AC161" i="30"/>
  <c r="C162" i="30"/>
  <c r="E162" i="30"/>
  <c r="G162" i="30"/>
  <c r="I162" i="30"/>
  <c r="K162" i="30"/>
  <c r="O162" i="30"/>
  <c r="Q162" i="30"/>
  <c r="S162" i="30"/>
  <c r="U162" i="30"/>
  <c r="W162" i="30"/>
  <c r="Y162" i="30"/>
  <c r="AA162" i="30"/>
  <c r="AC162" i="30"/>
  <c r="C163" i="30"/>
  <c r="E163" i="30"/>
  <c r="G163" i="30"/>
  <c r="I163" i="30"/>
  <c r="K163" i="30"/>
  <c r="O163" i="30"/>
  <c r="Q163" i="30"/>
  <c r="S163" i="30"/>
  <c r="U163" i="30"/>
  <c r="W163" i="30"/>
  <c r="Y163" i="30"/>
  <c r="AA163" i="30"/>
  <c r="AC163" i="30"/>
  <c r="C164" i="30"/>
  <c r="E164" i="30"/>
  <c r="G164" i="30"/>
  <c r="I164" i="30"/>
  <c r="K164" i="30"/>
  <c r="O164" i="30"/>
  <c r="Q164" i="30"/>
  <c r="S164" i="30"/>
  <c r="U164" i="30"/>
  <c r="W164" i="30"/>
  <c r="Y164" i="30"/>
  <c r="AA164" i="30"/>
  <c r="AC164" i="30"/>
  <c r="C165" i="30"/>
  <c r="E165" i="30"/>
  <c r="G165" i="30"/>
  <c r="I165" i="30"/>
  <c r="K165" i="30"/>
  <c r="O165" i="30"/>
  <c r="Q165" i="30"/>
  <c r="S165" i="30"/>
  <c r="U165" i="30"/>
  <c r="W165" i="30"/>
  <c r="Y165" i="30"/>
  <c r="AA165" i="30"/>
  <c r="AC165" i="30"/>
  <c r="C166" i="30"/>
  <c r="E166" i="30"/>
  <c r="G166" i="30"/>
  <c r="I166" i="30"/>
  <c r="K166" i="30"/>
  <c r="O166" i="30"/>
  <c r="Q166" i="30"/>
  <c r="S166" i="30"/>
  <c r="U166" i="30"/>
  <c r="W166" i="30"/>
  <c r="Y166" i="30"/>
  <c r="AA166" i="30"/>
  <c r="AC166" i="30"/>
  <c r="C167" i="30"/>
  <c r="E167" i="30"/>
  <c r="G167" i="30"/>
  <c r="I167" i="30"/>
  <c r="K167" i="30"/>
  <c r="O167" i="30"/>
  <c r="Q167" i="30"/>
  <c r="S167" i="30"/>
  <c r="U167" i="30"/>
  <c r="W167" i="30"/>
  <c r="Y167" i="30"/>
  <c r="AA167" i="30"/>
  <c r="AC167" i="30"/>
  <c r="C168" i="30"/>
  <c r="E168" i="30"/>
  <c r="G168" i="30"/>
  <c r="I168" i="30"/>
  <c r="K168" i="30"/>
  <c r="O168" i="30"/>
  <c r="Q168" i="30"/>
  <c r="S168" i="30"/>
  <c r="U168" i="30"/>
  <c r="W168" i="30"/>
  <c r="Y168" i="30"/>
  <c r="AA168" i="30"/>
  <c r="AC168" i="30"/>
  <c r="C169" i="30"/>
  <c r="E169" i="30"/>
  <c r="G169" i="30"/>
  <c r="I169" i="30"/>
  <c r="K169" i="30"/>
  <c r="O169" i="30"/>
  <c r="Q169" i="30"/>
  <c r="S169" i="30"/>
  <c r="U169" i="30"/>
  <c r="W169" i="30"/>
  <c r="Y169" i="30"/>
  <c r="AA169" i="30"/>
  <c r="AC169" i="30"/>
  <c r="C170" i="30"/>
  <c r="E170" i="30"/>
  <c r="G170" i="30"/>
  <c r="I170" i="30"/>
  <c r="K170" i="30"/>
  <c r="O170" i="30"/>
  <c r="Q170" i="30"/>
  <c r="S170" i="30"/>
  <c r="U170" i="30"/>
  <c r="W170" i="30"/>
  <c r="Y170" i="30"/>
  <c r="AA170" i="30"/>
  <c r="AC170" i="30"/>
  <c r="C171" i="30"/>
  <c r="E171" i="30"/>
  <c r="G171" i="30"/>
  <c r="I171" i="30"/>
  <c r="K171" i="30"/>
  <c r="O171" i="30"/>
  <c r="Q171" i="30"/>
  <c r="S171" i="30"/>
  <c r="U171" i="30"/>
  <c r="W171" i="30"/>
  <c r="Y171" i="30"/>
  <c r="AA171" i="30"/>
  <c r="AC171" i="30"/>
  <c r="C172" i="30"/>
  <c r="E172" i="30"/>
  <c r="G172" i="30"/>
  <c r="I172" i="30"/>
  <c r="K172" i="30"/>
  <c r="O172" i="30"/>
  <c r="Q172" i="30"/>
  <c r="S172" i="30"/>
  <c r="U172" i="30"/>
  <c r="W172" i="30"/>
  <c r="Y172" i="30"/>
  <c r="AA172" i="30"/>
  <c r="AC172" i="30"/>
  <c r="C173" i="30"/>
  <c r="E173" i="30"/>
  <c r="G173" i="30"/>
  <c r="I173" i="30"/>
  <c r="K173" i="30"/>
  <c r="O173" i="30"/>
  <c r="Q173" i="30"/>
  <c r="S173" i="30"/>
  <c r="U173" i="30"/>
  <c r="W173" i="30"/>
  <c r="Y173" i="30"/>
  <c r="AA173" i="30"/>
  <c r="AC173" i="30"/>
  <c r="C174" i="30"/>
  <c r="E174" i="30"/>
  <c r="G174" i="30"/>
  <c r="I174" i="30"/>
  <c r="K174" i="30"/>
  <c r="O174" i="30"/>
  <c r="Q174" i="30"/>
  <c r="S174" i="30"/>
  <c r="U174" i="30"/>
  <c r="W174" i="30"/>
  <c r="Y174" i="30"/>
  <c r="AA174" i="30"/>
  <c r="AC174" i="30"/>
  <c r="C175" i="30"/>
  <c r="E175" i="30"/>
  <c r="G175" i="30"/>
  <c r="I175" i="30"/>
  <c r="K175" i="30"/>
  <c r="O175" i="30"/>
  <c r="Q175" i="30"/>
  <c r="S175" i="30"/>
  <c r="U175" i="30"/>
  <c r="W175" i="30"/>
  <c r="Y175" i="30"/>
  <c r="AA175" i="30"/>
  <c r="AC175" i="30"/>
  <c r="C176" i="30"/>
  <c r="E176" i="30"/>
  <c r="G176" i="30"/>
  <c r="I176" i="30"/>
  <c r="K176" i="30"/>
  <c r="O176" i="30"/>
  <c r="Q176" i="30"/>
  <c r="S176" i="30"/>
  <c r="U176" i="30"/>
  <c r="W176" i="30"/>
  <c r="Y176" i="30"/>
  <c r="AA176" i="30"/>
  <c r="AC176" i="30"/>
  <c r="C177" i="30"/>
  <c r="E177" i="30"/>
  <c r="G177" i="30"/>
  <c r="I177" i="30"/>
  <c r="K177" i="30"/>
  <c r="O177" i="30"/>
  <c r="Q177" i="30"/>
  <c r="S177" i="30"/>
  <c r="U177" i="30"/>
  <c r="W177" i="30"/>
  <c r="Y177" i="30"/>
  <c r="AA177" i="30"/>
  <c r="AC177" i="30"/>
  <c r="C178" i="30"/>
  <c r="E178" i="30"/>
  <c r="G178" i="30"/>
  <c r="I178" i="30"/>
  <c r="K178" i="30"/>
  <c r="O178" i="30"/>
  <c r="Q178" i="30"/>
  <c r="S178" i="30"/>
  <c r="U178" i="30"/>
  <c r="W178" i="30"/>
  <c r="Y178" i="30"/>
  <c r="AA178" i="30"/>
  <c r="AC178" i="30"/>
  <c r="C179" i="30"/>
  <c r="E179" i="30"/>
  <c r="G179" i="30"/>
  <c r="I179" i="30"/>
  <c r="K179" i="30"/>
  <c r="O179" i="30"/>
  <c r="Q179" i="30"/>
  <c r="S179" i="30"/>
  <c r="U179" i="30"/>
  <c r="W179" i="30"/>
  <c r="Y179" i="30"/>
  <c r="AA179" i="30"/>
  <c r="AC179" i="30"/>
  <c r="C180" i="30"/>
  <c r="E180" i="30"/>
  <c r="G180" i="30"/>
  <c r="I180" i="30"/>
  <c r="K180" i="30"/>
  <c r="O180" i="30"/>
  <c r="Q180" i="30"/>
  <c r="S180" i="30"/>
  <c r="U180" i="30"/>
  <c r="W180" i="30"/>
  <c r="Y180" i="30"/>
  <c r="AA180" i="30"/>
  <c r="AC180" i="30"/>
  <c r="C181" i="30"/>
  <c r="E181" i="30"/>
  <c r="G181" i="30"/>
  <c r="I181" i="30"/>
  <c r="K181" i="30"/>
  <c r="O181" i="30"/>
  <c r="Q181" i="30"/>
  <c r="S181" i="30"/>
  <c r="U181" i="30"/>
  <c r="W181" i="30"/>
  <c r="Y181" i="30"/>
  <c r="AA181" i="30"/>
  <c r="AC181" i="30"/>
  <c r="C182" i="30"/>
  <c r="E182" i="30"/>
  <c r="G182" i="30"/>
  <c r="I182" i="30"/>
  <c r="K182" i="30"/>
  <c r="O182" i="30"/>
  <c r="Q182" i="30"/>
  <c r="S182" i="30"/>
  <c r="U182" i="30"/>
  <c r="W182" i="30"/>
  <c r="Y182" i="30"/>
  <c r="AA182" i="30"/>
  <c r="AC182" i="30"/>
  <c r="C183" i="30"/>
  <c r="E183" i="30"/>
  <c r="G183" i="30"/>
  <c r="I183" i="30"/>
  <c r="K183" i="30"/>
  <c r="O183" i="30"/>
  <c r="Q183" i="30"/>
  <c r="S183" i="30"/>
  <c r="U183" i="30"/>
  <c r="W183" i="30"/>
  <c r="Y183" i="30"/>
  <c r="AA183" i="30"/>
  <c r="AC183" i="30"/>
  <c r="C184" i="30"/>
  <c r="E184" i="30"/>
  <c r="G184" i="30"/>
  <c r="I184" i="30"/>
  <c r="K184" i="30"/>
  <c r="M184" i="30"/>
  <c r="O184" i="30"/>
  <c r="Q184" i="30"/>
  <c r="S184" i="30"/>
  <c r="U184" i="30"/>
  <c r="W184" i="30"/>
  <c r="Y184" i="30"/>
  <c r="AA184" i="30"/>
  <c r="AC184" i="30"/>
  <c r="AD184" i="30"/>
  <c r="AH184" i="30"/>
  <c r="C185" i="30"/>
  <c r="E185" i="30"/>
  <c r="G185" i="30"/>
  <c r="I185" i="30"/>
  <c r="K185" i="30"/>
  <c r="M185" i="30"/>
  <c r="O185" i="30"/>
  <c r="Q185" i="30"/>
  <c r="S185" i="30"/>
  <c r="U185" i="30"/>
  <c r="W185" i="30"/>
  <c r="Y185" i="30"/>
  <c r="AA185" i="30"/>
  <c r="AC185" i="30"/>
  <c r="C186" i="30"/>
  <c r="E186" i="30"/>
  <c r="G186" i="30"/>
  <c r="I186" i="30"/>
  <c r="K186" i="30"/>
  <c r="M186" i="30"/>
  <c r="O186" i="30"/>
  <c r="Q186" i="30"/>
  <c r="S186" i="30"/>
  <c r="U186" i="30"/>
  <c r="W186" i="30"/>
  <c r="Y186" i="30"/>
  <c r="AA186" i="30"/>
  <c r="AC186" i="30"/>
  <c r="C187" i="30"/>
  <c r="E187" i="30"/>
  <c r="G187" i="30"/>
  <c r="I187" i="30"/>
  <c r="K187" i="30"/>
  <c r="M187" i="30"/>
  <c r="O187" i="30"/>
  <c r="Q187" i="30"/>
  <c r="S187" i="30"/>
  <c r="U187" i="30"/>
  <c r="W187" i="30"/>
  <c r="Y187" i="30"/>
  <c r="AA187" i="30"/>
  <c r="AC187" i="30"/>
  <c r="C188" i="30"/>
  <c r="E188" i="30"/>
  <c r="G188" i="30"/>
  <c r="I188" i="30"/>
  <c r="K188" i="30"/>
  <c r="M188" i="30"/>
  <c r="O188" i="30"/>
  <c r="Q188" i="30"/>
  <c r="S188" i="30"/>
  <c r="U188" i="30"/>
  <c r="W188" i="30"/>
  <c r="Y188" i="30"/>
  <c r="AA188" i="30"/>
  <c r="AC188" i="30"/>
  <c r="C189" i="30"/>
  <c r="E189" i="30"/>
  <c r="G189" i="30"/>
  <c r="I189" i="30"/>
  <c r="K189" i="30"/>
  <c r="M189" i="30"/>
  <c r="O189" i="30"/>
  <c r="Q189" i="30"/>
  <c r="S189" i="30"/>
  <c r="U189" i="30"/>
  <c r="W189" i="30"/>
  <c r="Y189" i="30"/>
  <c r="AA189" i="30"/>
  <c r="AC189" i="30"/>
  <c r="C190" i="30"/>
  <c r="E190" i="30"/>
  <c r="G190" i="30"/>
  <c r="I190" i="30"/>
  <c r="K190" i="30"/>
  <c r="M190" i="30"/>
  <c r="O190" i="30"/>
  <c r="Q190" i="30"/>
  <c r="S190" i="30"/>
  <c r="U190" i="30"/>
  <c r="W190" i="30"/>
  <c r="Y190" i="30"/>
  <c r="AA190" i="30"/>
  <c r="AC190" i="30"/>
  <c r="C191" i="30"/>
  <c r="E191" i="30"/>
  <c r="G191" i="30"/>
  <c r="I191" i="30"/>
  <c r="K191" i="30"/>
  <c r="M191" i="30"/>
  <c r="O191" i="30"/>
  <c r="Q191" i="30"/>
  <c r="S191" i="30"/>
  <c r="U191" i="30"/>
  <c r="W191" i="30"/>
  <c r="Y191" i="30"/>
  <c r="AA191" i="30"/>
  <c r="AC191" i="30"/>
  <c r="C192" i="30"/>
  <c r="E192" i="30"/>
  <c r="G192" i="30"/>
  <c r="I192" i="30"/>
  <c r="K192" i="30"/>
  <c r="M192" i="30"/>
  <c r="O192" i="30"/>
  <c r="Q192" i="30"/>
  <c r="S192" i="30"/>
  <c r="U192" i="30"/>
  <c r="W192" i="30"/>
  <c r="Y192" i="30"/>
  <c r="AA192" i="30"/>
  <c r="AC192" i="30"/>
  <c r="C193" i="30"/>
  <c r="E193" i="30"/>
  <c r="G193" i="30"/>
  <c r="I193" i="30"/>
  <c r="K193" i="30"/>
  <c r="M193" i="30"/>
  <c r="O193" i="30"/>
  <c r="Q193" i="30"/>
  <c r="S193" i="30"/>
  <c r="U193" i="30"/>
  <c r="W193" i="30"/>
  <c r="Y193" i="30"/>
  <c r="AA193" i="30"/>
  <c r="AC193" i="30"/>
  <c r="C194" i="30"/>
  <c r="E194" i="30"/>
  <c r="G194" i="30"/>
  <c r="I194" i="30"/>
  <c r="K194" i="30"/>
  <c r="M194" i="30"/>
  <c r="O194" i="30"/>
  <c r="Q194" i="30"/>
  <c r="S194" i="30"/>
  <c r="U194" i="30"/>
  <c r="W194" i="30"/>
  <c r="Y194" i="30"/>
  <c r="AA194" i="30"/>
  <c r="AC194" i="30"/>
  <c r="C195" i="30"/>
  <c r="E195" i="30"/>
  <c r="G195" i="30"/>
  <c r="I195" i="30"/>
  <c r="K195" i="30"/>
  <c r="M195" i="30"/>
  <c r="O195" i="30"/>
  <c r="Q195" i="30"/>
  <c r="S195" i="30"/>
  <c r="U195" i="30"/>
  <c r="W195" i="30"/>
  <c r="Y195" i="30"/>
  <c r="AA195" i="30"/>
  <c r="AC195" i="30"/>
  <c r="C196" i="30"/>
  <c r="E196" i="30"/>
  <c r="G196" i="30"/>
  <c r="I196" i="30"/>
  <c r="K196" i="30"/>
  <c r="M196" i="30"/>
  <c r="O196" i="30"/>
  <c r="Q196" i="30"/>
  <c r="S196" i="30"/>
  <c r="U196" i="30"/>
  <c r="W196" i="30"/>
  <c r="Y196" i="30"/>
  <c r="AA196" i="30"/>
  <c r="AC196" i="30"/>
  <c r="C197" i="30"/>
  <c r="E197" i="30"/>
  <c r="G197" i="30"/>
  <c r="I197" i="30"/>
  <c r="K197" i="30"/>
  <c r="M197" i="30"/>
  <c r="O197" i="30"/>
  <c r="Q197" i="30"/>
  <c r="S197" i="30"/>
  <c r="U197" i="30"/>
  <c r="W197" i="30"/>
  <c r="Y197" i="30"/>
  <c r="AA197" i="30"/>
  <c r="AC197" i="30"/>
  <c r="C198" i="30"/>
  <c r="E198" i="30"/>
  <c r="G198" i="30"/>
  <c r="I198" i="30"/>
  <c r="K198" i="30"/>
  <c r="M198" i="30"/>
  <c r="O198" i="30"/>
  <c r="Q198" i="30"/>
  <c r="S198" i="30"/>
  <c r="U198" i="30"/>
  <c r="W198" i="30"/>
  <c r="Y198" i="30"/>
  <c r="AA198" i="30"/>
  <c r="AC198" i="30"/>
  <c r="C199" i="30"/>
  <c r="E199" i="30"/>
  <c r="G199" i="30"/>
  <c r="I199" i="30"/>
  <c r="K199" i="30"/>
  <c r="M199" i="30"/>
  <c r="O199" i="30"/>
  <c r="Q199" i="30"/>
  <c r="S199" i="30"/>
  <c r="U199" i="30"/>
  <c r="W199" i="30"/>
  <c r="Y199" i="30"/>
  <c r="AA199" i="30"/>
  <c r="AC199" i="30"/>
  <c r="C200" i="30"/>
  <c r="E200" i="30"/>
  <c r="G200" i="30"/>
  <c r="I200" i="30"/>
  <c r="K200" i="30"/>
  <c r="M200" i="30"/>
  <c r="O200" i="30"/>
  <c r="Q200" i="30"/>
  <c r="S200" i="30"/>
  <c r="U200" i="30"/>
  <c r="W200" i="30"/>
  <c r="Y200" i="30"/>
  <c r="AA200" i="30"/>
  <c r="AC200" i="30"/>
  <c r="C201" i="30"/>
  <c r="E201" i="30"/>
  <c r="G201" i="30"/>
  <c r="I201" i="30"/>
  <c r="K201" i="30"/>
  <c r="M201" i="30"/>
  <c r="O201" i="30"/>
  <c r="Q201" i="30"/>
  <c r="S201" i="30"/>
  <c r="U201" i="30"/>
  <c r="W201" i="30"/>
  <c r="Y201" i="30"/>
  <c r="AA201" i="30"/>
  <c r="AC201" i="30"/>
  <c r="C202" i="30"/>
  <c r="E202" i="30"/>
  <c r="G202" i="30"/>
  <c r="I202" i="30"/>
  <c r="K202" i="30"/>
  <c r="M202" i="30"/>
  <c r="O202" i="30"/>
  <c r="Q202" i="30"/>
  <c r="S202" i="30"/>
  <c r="U202" i="30"/>
  <c r="W202" i="30"/>
  <c r="Y202" i="30"/>
  <c r="AA202" i="30"/>
  <c r="AC202" i="30"/>
  <c r="C203" i="30"/>
  <c r="E203" i="30"/>
  <c r="G203" i="30"/>
  <c r="I203" i="30"/>
  <c r="K203" i="30"/>
  <c r="M203" i="30"/>
  <c r="O203" i="30"/>
  <c r="Q203" i="30"/>
  <c r="S203" i="30"/>
  <c r="U203" i="30"/>
  <c r="W203" i="30"/>
  <c r="Y203" i="30"/>
  <c r="AA203" i="30"/>
  <c r="AC203" i="30"/>
  <c r="C204" i="30"/>
  <c r="E204" i="30"/>
  <c r="G204" i="30"/>
  <c r="I204" i="30"/>
  <c r="K204" i="30"/>
  <c r="M204" i="30"/>
  <c r="O204" i="30"/>
  <c r="Q204" i="30"/>
  <c r="S204" i="30"/>
  <c r="U204" i="30"/>
  <c r="W204" i="30"/>
  <c r="Y204" i="30"/>
  <c r="AA204" i="30"/>
  <c r="AC204" i="30"/>
  <c r="C205" i="30"/>
  <c r="E205" i="30"/>
  <c r="G205" i="30"/>
  <c r="I205" i="30"/>
  <c r="K205" i="30"/>
  <c r="M205" i="30"/>
  <c r="O205" i="30"/>
  <c r="Q205" i="30"/>
  <c r="S205" i="30"/>
  <c r="U205" i="30"/>
  <c r="W205" i="30"/>
  <c r="Y205" i="30"/>
  <c r="AA205" i="30"/>
  <c r="AC205" i="30"/>
  <c r="C206" i="30"/>
  <c r="E206" i="30"/>
  <c r="G206" i="30"/>
  <c r="I206" i="30"/>
  <c r="K206" i="30"/>
  <c r="M206" i="30"/>
  <c r="O206" i="30"/>
  <c r="Q206" i="30"/>
  <c r="S206" i="30"/>
  <c r="U206" i="30"/>
  <c r="W206" i="30"/>
  <c r="Y206" i="30"/>
  <c r="AA206" i="30"/>
  <c r="AC206" i="30"/>
  <c r="C207" i="30"/>
  <c r="E207" i="30"/>
  <c r="G207" i="30"/>
  <c r="I207" i="30"/>
  <c r="K207" i="30"/>
  <c r="M207" i="30"/>
  <c r="O207" i="30"/>
  <c r="Q207" i="30"/>
  <c r="S207" i="30"/>
  <c r="U207" i="30"/>
  <c r="W207" i="30"/>
  <c r="Y207" i="30"/>
  <c r="AA207" i="30"/>
  <c r="AC207" i="30"/>
  <c r="C208" i="30"/>
  <c r="E208" i="30"/>
  <c r="G208" i="30"/>
  <c r="I208" i="30"/>
  <c r="K208" i="30"/>
  <c r="M208" i="30"/>
  <c r="O208" i="30"/>
  <c r="Q208" i="30"/>
  <c r="S208" i="30"/>
  <c r="U208" i="30"/>
  <c r="W208" i="30"/>
  <c r="Y208" i="30"/>
  <c r="AA208" i="30"/>
  <c r="AC208" i="30"/>
  <c r="C209" i="30"/>
  <c r="E209" i="30"/>
  <c r="G209" i="30"/>
  <c r="I209" i="30"/>
  <c r="K209" i="30"/>
  <c r="M209" i="30"/>
  <c r="O209" i="30"/>
  <c r="Q209" i="30"/>
  <c r="S209" i="30"/>
  <c r="U209" i="30"/>
  <c r="W209" i="30"/>
  <c r="Y209" i="30"/>
  <c r="AA209" i="30"/>
  <c r="AC209" i="30"/>
  <c r="C210" i="30"/>
  <c r="E210" i="30"/>
  <c r="G210" i="30"/>
  <c r="I210" i="30"/>
  <c r="K210" i="30"/>
  <c r="M210" i="30"/>
  <c r="O210" i="30"/>
  <c r="Q210" i="30"/>
  <c r="S210" i="30"/>
  <c r="U210" i="30"/>
  <c r="W210" i="30"/>
  <c r="Y210" i="30"/>
  <c r="AA210" i="30"/>
  <c r="AC210" i="30"/>
  <c r="C211" i="30"/>
  <c r="E211" i="30"/>
  <c r="G211" i="30"/>
  <c r="I211" i="30"/>
  <c r="K211" i="30"/>
  <c r="M211" i="30"/>
  <c r="O211" i="30"/>
  <c r="Q211" i="30"/>
  <c r="S211" i="30"/>
  <c r="U211" i="30"/>
  <c r="W211" i="30"/>
  <c r="Y211" i="30"/>
  <c r="AA211" i="30"/>
  <c r="AC211" i="30"/>
  <c r="C212" i="30"/>
  <c r="E212" i="30"/>
  <c r="G212" i="30"/>
  <c r="I212" i="30"/>
  <c r="K212" i="30"/>
  <c r="M212" i="30"/>
  <c r="O212" i="30"/>
  <c r="Q212" i="30"/>
  <c r="S212" i="30"/>
  <c r="U212" i="30"/>
  <c r="W212" i="30"/>
  <c r="Y212" i="30"/>
  <c r="AA212" i="30"/>
  <c r="AC212" i="30"/>
  <c r="C213" i="30"/>
  <c r="E213" i="30"/>
  <c r="G213" i="30"/>
  <c r="I213" i="30"/>
  <c r="K213" i="30"/>
  <c r="M213" i="30"/>
  <c r="O213" i="30"/>
  <c r="Q213" i="30"/>
  <c r="S213" i="30"/>
  <c r="U213" i="30"/>
  <c r="W213" i="30"/>
  <c r="Y213" i="30"/>
  <c r="AA213" i="30"/>
  <c r="AC213" i="30"/>
  <c r="C214" i="30"/>
  <c r="E214" i="30"/>
  <c r="G214" i="30"/>
  <c r="I214" i="30"/>
  <c r="K214" i="30"/>
  <c r="M214" i="30"/>
  <c r="O214" i="30"/>
  <c r="Q214" i="30"/>
  <c r="S214" i="30"/>
  <c r="U214" i="30"/>
  <c r="W214" i="30"/>
  <c r="Y214" i="30"/>
  <c r="AA214" i="30"/>
  <c r="AC214" i="30"/>
  <c r="C215" i="30"/>
  <c r="E215" i="30"/>
  <c r="G215" i="30"/>
  <c r="I215" i="30"/>
  <c r="K215" i="30"/>
  <c r="M215" i="30"/>
  <c r="O215" i="30"/>
  <c r="Q215" i="30"/>
  <c r="S215" i="30"/>
  <c r="U215" i="30"/>
  <c r="W215" i="30"/>
  <c r="Y215" i="30"/>
  <c r="AA215" i="30"/>
  <c r="AC215" i="30"/>
  <c r="C216" i="30"/>
  <c r="E216" i="30"/>
  <c r="G216" i="30"/>
  <c r="I216" i="30"/>
  <c r="K216" i="30"/>
  <c r="M216" i="30"/>
  <c r="O216" i="30"/>
  <c r="Q216" i="30"/>
  <c r="S216" i="30"/>
  <c r="U216" i="30"/>
  <c r="W216" i="30"/>
  <c r="Y216" i="30"/>
  <c r="AA216" i="30"/>
  <c r="AC216" i="30"/>
  <c r="C217" i="30"/>
  <c r="E217" i="30"/>
  <c r="G217" i="30"/>
  <c r="I217" i="30"/>
  <c r="K217" i="30"/>
  <c r="M217" i="30"/>
  <c r="O217" i="30"/>
  <c r="Q217" i="30"/>
  <c r="S217" i="30"/>
  <c r="U217" i="30"/>
  <c r="W217" i="30"/>
  <c r="Y217" i="30"/>
  <c r="AA217" i="30"/>
  <c r="AC217" i="30"/>
  <c r="C218" i="30"/>
  <c r="E218" i="30"/>
  <c r="G218" i="30"/>
  <c r="I218" i="30"/>
  <c r="K218" i="30"/>
  <c r="M218" i="30"/>
  <c r="O218" i="30"/>
  <c r="Q218" i="30"/>
  <c r="S218" i="30"/>
  <c r="U218" i="30"/>
  <c r="W218" i="30"/>
  <c r="Y218" i="30"/>
  <c r="AA218" i="30"/>
  <c r="AC218" i="30"/>
  <c r="C219" i="30"/>
  <c r="E219" i="30"/>
  <c r="G219" i="30"/>
  <c r="I219" i="30"/>
  <c r="K219" i="30"/>
  <c r="M219" i="30"/>
  <c r="O219" i="30"/>
  <c r="Q219" i="30"/>
  <c r="S219" i="30"/>
  <c r="U219" i="30"/>
  <c r="W219" i="30"/>
  <c r="Y219" i="30"/>
  <c r="AA219" i="30"/>
  <c r="AC219" i="30"/>
  <c r="AD219" i="30"/>
  <c r="AH219" i="30"/>
  <c r="C220" i="30"/>
  <c r="E220" i="30"/>
  <c r="G220" i="30"/>
  <c r="I220" i="30"/>
  <c r="K220" i="30"/>
  <c r="M220" i="30"/>
  <c r="O220" i="30"/>
  <c r="Q220" i="30"/>
  <c r="S220" i="30"/>
  <c r="U220" i="30"/>
  <c r="W220" i="30"/>
  <c r="Y220" i="30"/>
  <c r="AA220" i="30"/>
  <c r="AC220" i="30"/>
  <c r="C221" i="30"/>
  <c r="E221" i="30"/>
  <c r="G221" i="30"/>
  <c r="I221" i="30"/>
  <c r="K221" i="30"/>
  <c r="M221" i="30"/>
  <c r="O221" i="30"/>
  <c r="Q221" i="30"/>
  <c r="S221" i="30"/>
  <c r="U221" i="30"/>
  <c r="W221" i="30"/>
  <c r="Y221" i="30"/>
  <c r="AA221" i="30"/>
  <c r="AC221" i="30"/>
  <c r="C222" i="30"/>
  <c r="E222" i="30"/>
  <c r="G222" i="30"/>
  <c r="I222" i="30"/>
  <c r="K222" i="30"/>
  <c r="M222" i="30"/>
  <c r="O222" i="30"/>
  <c r="Q222" i="30"/>
  <c r="S222" i="30"/>
  <c r="U222" i="30"/>
  <c r="W222" i="30"/>
  <c r="Y222" i="30"/>
  <c r="AA222" i="30"/>
  <c r="AC222" i="30"/>
  <c r="C223" i="30"/>
  <c r="E223" i="30"/>
  <c r="G223" i="30"/>
  <c r="I223" i="30"/>
  <c r="K223" i="30"/>
  <c r="M223" i="30"/>
  <c r="O223" i="30"/>
  <c r="Q223" i="30"/>
  <c r="S223" i="30"/>
  <c r="U223" i="30"/>
  <c r="W223" i="30"/>
  <c r="Y223" i="30"/>
  <c r="AA223" i="30"/>
  <c r="AC223" i="30"/>
  <c r="C224" i="30"/>
  <c r="E224" i="30"/>
  <c r="G224" i="30"/>
  <c r="I224" i="30"/>
  <c r="K224" i="30"/>
  <c r="M224" i="30"/>
  <c r="O224" i="30"/>
  <c r="Q224" i="30"/>
  <c r="S224" i="30"/>
  <c r="U224" i="30"/>
  <c r="W224" i="30"/>
  <c r="Y224" i="30"/>
  <c r="AA224" i="30"/>
  <c r="AC224" i="30"/>
  <c r="C225" i="30"/>
  <c r="E225" i="30"/>
  <c r="G225" i="30"/>
  <c r="I225" i="30"/>
  <c r="K225" i="30"/>
  <c r="M225" i="30"/>
  <c r="O225" i="30"/>
  <c r="Q225" i="30"/>
  <c r="S225" i="30"/>
  <c r="U225" i="30"/>
  <c r="W225" i="30"/>
  <c r="Y225" i="30"/>
  <c r="AA225" i="30"/>
  <c r="AC225" i="30"/>
  <c r="C226" i="30"/>
  <c r="E226" i="30"/>
  <c r="G226" i="30"/>
  <c r="I226" i="30"/>
  <c r="K226" i="30"/>
  <c r="M226" i="30"/>
  <c r="O226" i="30"/>
  <c r="Q226" i="30"/>
  <c r="S226" i="30"/>
  <c r="U226" i="30"/>
  <c r="W226" i="30"/>
  <c r="Y226" i="30"/>
  <c r="AA226" i="30"/>
  <c r="AC226" i="30"/>
  <c r="C227" i="30"/>
  <c r="E227" i="30"/>
  <c r="G227" i="30"/>
  <c r="I227" i="30"/>
  <c r="K227" i="30"/>
  <c r="M227" i="30"/>
  <c r="O227" i="30"/>
  <c r="Q227" i="30"/>
  <c r="S227" i="30"/>
  <c r="U227" i="30"/>
  <c r="W227" i="30"/>
  <c r="Y227" i="30"/>
  <c r="AA227" i="30"/>
  <c r="AC227" i="30"/>
  <c r="C228" i="30"/>
  <c r="E228" i="30"/>
  <c r="G228" i="30"/>
  <c r="I228" i="30"/>
  <c r="K228" i="30"/>
  <c r="M228" i="30"/>
  <c r="O228" i="30"/>
  <c r="Q228" i="30"/>
  <c r="S228" i="30"/>
  <c r="U228" i="30"/>
  <c r="W228" i="30"/>
  <c r="Y228" i="30"/>
  <c r="AA228" i="30"/>
  <c r="AC228" i="30"/>
  <c r="C229" i="30"/>
  <c r="E229" i="30"/>
  <c r="G229" i="30"/>
  <c r="I229" i="30"/>
  <c r="K229" i="30"/>
  <c r="M229" i="30"/>
  <c r="O229" i="30"/>
  <c r="Q229" i="30"/>
  <c r="S229" i="30"/>
  <c r="U229" i="30"/>
  <c r="W229" i="30"/>
  <c r="Y229" i="30"/>
  <c r="AA229" i="30"/>
  <c r="AC229" i="30"/>
  <c r="C230" i="30"/>
  <c r="E230" i="30"/>
  <c r="G230" i="30"/>
  <c r="I230" i="30"/>
  <c r="K230" i="30"/>
  <c r="M230" i="30"/>
  <c r="O230" i="30"/>
  <c r="Q230" i="30"/>
  <c r="S230" i="30"/>
  <c r="U230" i="30"/>
  <c r="W230" i="30"/>
  <c r="Y230" i="30"/>
  <c r="AA230" i="30"/>
  <c r="AC230" i="30"/>
  <c r="C231" i="30"/>
  <c r="E231" i="30"/>
  <c r="G231" i="30"/>
  <c r="I231" i="30"/>
  <c r="K231" i="30"/>
  <c r="M231" i="30"/>
  <c r="O231" i="30"/>
  <c r="Q231" i="30"/>
  <c r="S231" i="30"/>
  <c r="U231" i="30"/>
  <c r="W231" i="30"/>
  <c r="Y231" i="30"/>
  <c r="AA231" i="30"/>
  <c r="AC231" i="30"/>
  <c r="C232" i="30"/>
  <c r="E232" i="30"/>
  <c r="G232" i="30"/>
  <c r="I232" i="30"/>
  <c r="K232" i="30"/>
  <c r="M232" i="30"/>
  <c r="O232" i="30"/>
  <c r="Q232" i="30"/>
  <c r="S232" i="30"/>
  <c r="U232" i="30"/>
  <c r="W232" i="30"/>
  <c r="Y232" i="30"/>
  <c r="AA232" i="30"/>
  <c r="AC232" i="30"/>
  <c r="C233" i="30"/>
  <c r="E233" i="30"/>
  <c r="G233" i="30"/>
  <c r="I233" i="30"/>
  <c r="K233" i="30"/>
  <c r="M233" i="30"/>
  <c r="O233" i="30"/>
  <c r="Q233" i="30"/>
  <c r="S233" i="30"/>
  <c r="U233" i="30"/>
  <c r="W233" i="30"/>
  <c r="Y233" i="30"/>
  <c r="AA233" i="30"/>
  <c r="AC233" i="30"/>
  <c r="C234" i="30"/>
  <c r="E234" i="30"/>
  <c r="G234" i="30"/>
  <c r="I234" i="30"/>
  <c r="K234" i="30"/>
  <c r="M234" i="30"/>
  <c r="O234" i="30"/>
  <c r="Q234" i="30"/>
  <c r="S234" i="30"/>
  <c r="U234" i="30"/>
  <c r="W234" i="30"/>
  <c r="Y234" i="30"/>
  <c r="AA234" i="30"/>
  <c r="AC234" i="30"/>
  <c r="C235" i="30"/>
  <c r="E235" i="30"/>
  <c r="G235" i="30"/>
  <c r="I235" i="30"/>
  <c r="K235" i="30"/>
  <c r="M235" i="30"/>
  <c r="O235" i="30"/>
  <c r="Q235" i="30"/>
  <c r="S235" i="30"/>
  <c r="U235" i="30"/>
  <c r="W235" i="30"/>
  <c r="Y235" i="30"/>
  <c r="AA235" i="30"/>
  <c r="AC235" i="30"/>
  <c r="C236" i="30"/>
  <c r="E236" i="30"/>
  <c r="G236" i="30"/>
  <c r="I236" i="30"/>
  <c r="K236" i="30"/>
  <c r="M236" i="30"/>
  <c r="O236" i="30"/>
  <c r="Q236" i="30"/>
  <c r="S236" i="30"/>
  <c r="U236" i="30"/>
  <c r="W236" i="30"/>
  <c r="Y236" i="30"/>
  <c r="AA236" i="30"/>
  <c r="AC236" i="30"/>
  <c r="C237" i="30"/>
  <c r="E237" i="30"/>
  <c r="G237" i="30"/>
  <c r="I237" i="30"/>
  <c r="K237" i="30"/>
  <c r="M237" i="30"/>
  <c r="O237" i="30"/>
  <c r="Q237" i="30"/>
  <c r="S237" i="30"/>
  <c r="U237" i="30"/>
  <c r="W237" i="30"/>
  <c r="Y237" i="30"/>
  <c r="AA237" i="30"/>
  <c r="AC237" i="30"/>
  <c r="C238" i="30"/>
  <c r="E238" i="30"/>
  <c r="G238" i="30"/>
  <c r="I238" i="30"/>
  <c r="K238" i="30"/>
  <c r="M238" i="30"/>
  <c r="O238" i="30"/>
  <c r="Q238" i="30"/>
  <c r="S238" i="30"/>
  <c r="U238" i="30"/>
  <c r="W238" i="30"/>
  <c r="Y238" i="30"/>
  <c r="AA238" i="30"/>
  <c r="AC238" i="30"/>
  <c r="C239" i="30"/>
  <c r="E239" i="30"/>
  <c r="G239" i="30"/>
  <c r="I239" i="30"/>
  <c r="K239" i="30"/>
  <c r="M239" i="30"/>
  <c r="O239" i="30"/>
  <c r="Q239" i="30"/>
  <c r="S239" i="30"/>
  <c r="U239" i="30"/>
  <c r="W239" i="30"/>
  <c r="Y239" i="30"/>
  <c r="AA239" i="30"/>
  <c r="AC239" i="30"/>
  <c r="C240" i="30"/>
  <c r="E240" i="30"/>
  <c r="G240" i="30"/>
  <c r="I240" i="30"/>
  <c r="K240" i="30"/>
  <c r="M240" i="30"/>
  <c r="O240" i="30"/>
  <c r="Q240" i="30"/>
  <c r="S240" i="30"/>
  <c r="U240" i="30"/>
  <c r="W240" i="30"/>
  <c r="Y240" i="30"/>
  <c r="AA240" i="30"/>
  <c r="AC240" i="30"/>
  <c r="C241" i="30"/>
  <c r="E241" i="30"/>
  <c r="G241" i="30"/>
  <c r="I241" i="30"/>
  <c r="K241" i="30"/>
  <c r="M241" i="30"/>
  <c r="O241" i="30"/>
  <c r="Q241" i="30"/>
  <c r="S241" i="30"/>
  <c r="U241" i="30"/>
  <c r="W241" i="30"/>
  <c r="Y241" i="30"/>
  <c r="AA241" i="30"/>
  <c r="AC241" i="30"/>
  <c r="C242" i="30"/>
  <c r="E242" i="30"/>
  <c r="G242" i="30"/>
  <c r="I242" i="30"/>
  <c r="K242" i="30"/>
  <c r="M242" i="30"/>
  <c r="O242" i="30"/>
  <c r="Q242" i="30"/>
  <c r="S242" i="30"/>
  <c r="U242" i="30"/>
  <c r="W242" i="30"/>
  <c r="Y242" i="30"/>
  <c r="AA242" i="30"/>
  <c r="AC242" i="30"/>
  <c r="C243" i="30"/>
  <c r="E243" i="30"/>
  <c r="G243" i="30"/>
  <c r="I243" i="30"/>
  <c r="K243" i="30"/>
  <c r="M243" i="30"/>
  <c r="O243" i="30"/>
  <c r="Q243" i="30"/>
  <c r="S243" i="30"/>
  <c r="U243" i="30"/>
  <c r="W243" i="30"/>
  <c r="Y243" i="30"/>
  <c r="AA243" i="30"/>
  <c r="AC243" i="30"/>
  <c r="C244" i="30"/>
  <c r="E244" i="30"/>
  <c r="G244" i="30"/>
  <c r="I244" i="30"/>
  <c r="K244" i="30"/>
  <c r="M244" i="30"/>
  <c r="O244" i="30"/>
  <c r="Q244" i="30"/>
  <c r="S244" i="30"/>
  <c r="U244" i="30"/>
  <c r="W244" i="30"/>
  <c r="Y244" i="30"/>
  <c r="AA244" i="30"/>
  <c r="AC244" i="30"/>
  <c r="C245" i="30"/>
  <c r="E245" i="30"/>
  <c r="G245" i="30"/>
  <c r="I245" i="30"/>
  <c r="K245" i="30"/>
  <c r="M245" i="30"/>
  <c r="O245" i="30"/>
  <c r="Q245" i="30"/>
  <c r="S245" i="30"/>
  <c r="U245" i="30"/>
  <c r="W245" i="30"/>
  <c r="Y245" i="30"/>
  <c r="AA245" i="30"/>
  <c r="AC245" i="30"/>
  <c r="C246" i="30"/>
  <c r="E246" i="30"/>
  <c r="G246" i="30"/>
  <c r="I246" i="30"/>
  <c r="K246" i="30"/>
  <c r="M246" i="30"/>
  <c r="O246" i="30"/>
  <c r="Q246" i="30"/>
  <c r="S246" i="30"/>
  <c r="U246" i="30"/>
  <c r="W246" i="30"/>
  <c r="Y246" i="30"/>
  <c r="AA246" i="30"/>
  <c r="AC246" i="30"/>
  <c r="C247" i="30"/>
  <c r="E247" i="30"/>
  <c r="G247" i="30"/>
  <c r="I247" i="30"/>
  <c r="K247" i="30"/>
  <c r="M247" i="30"/>
  <c r="O247" i="30"/>
  <c r="Q247" i="30"/>
  <c r="S247" i="30"/>
  <c r="U247" i="30"/>
  <c r="W247" i="30"/>
  <c r="Y247" i="30"/>
  <c r="AA247" i="30"/>
  <c r="AC247" i="30"/>
  <c r="C248" i="30"/>
  <c r="E248" i="30"/>
  <c r="G248" i="30"/>
  <c r="I248" i="30"/>
  <c r="K248" i="30"/>
  <c r="M248" i="30"/>
  <c r="O248" i="30"/>
  <c r="Q248" i="30"/>
  <c r="S248" i="30"/>
  <c r="U248" i="30"/>
  <c r="W248" i="30"/>
  <c r="Y248" i="30"/>
  <c r="AA248" i="30"/>
  <c r="AC248" i="30"/>
  <c r="C249" i="30"/>
  <c r="E249" i="30"/>
  <c r="G249" i="30"/>
  <c r="I249" i="30"/>
  <c r="K249" i="30"/>
  <c r="M249" i="30"/>
  <c r="O249" i="30"/>
  <c r="Q249" i="30"/>
  <c r="S249" i="30"/>
  <c r="U249" i="30"/>
  <c r="W249" i="30"/>
  <c r="Y249" i="30"/>
  <c r="AA249" i="30"/>
  <c r="AC249" i="30"/>
  <c r="C250" i="30"/>
  <c r="E250" i="30"/>
  <c r="G250" i="30"/>
  <c r="I250" i="30"/>
  <c r="K250" i="30"/>
  <c r="M250" i="30"/>
  <c r="O250" i="30"/>
  <c r="Q250" i="30"/>
  <c r="S250" i="30"/>
  <c r="U250" i="30"/>
  <c r="W250" i="30"/>
  <c r="Y250" i="30"/>
  <c r="AA250" i="30"/>
  <c r="AC250" i="30"/>
  <c r="C251" i="30"/>
  <c r="E251" i="30"/>
  <c r="G251" i="30"/>
  <c r="I251" i="30"/>
  <c r="K251" i="30"/>
  <c r="M251" i="30"/>
  <c r="O251" i="30"/>
  <c r="Q251" i="30"/>
  <c r="S251" i="30"/>
  <c r="U251" i="30"/>
  <c r="W251" i="30"/>
  <c r="Y251" i="30"/>
  <c r="AA251" i="30"/>
  <c r="AC251" i="30"/>
  <c r="C252" i="30"/>
  <c r="E252" i="30"/>
  <c r="G252" i="30"/>
  <c r="I252" i="30"/>
  <c r="K252" i="30"/>
  <c r="M252" i="30"/>
  <c r="O252" i="30"/>
  <c r="Q252" i="30"/>
  <c r="S252" i="30"/>
  <c r="U252" i="30"/>
  <c r="W252" i="30"/>
  <c r="Y252" i="30"/>
  <c r="AA252" i="30"/>
  <c r="AC252" i="30"/>
  <c r="C253" i="30"/>
  <c r="E253" i="30"/>
  <c r="G253" i="30"/>
  <c r="I253" i="30"/>
  <c r="K253" i="30"/>
  <c r="M253" i="30"/>
  <c r="O253" i="30"/>
  <c r="Q253" i="30"/>
  <c r="S253" i="30"/>
  <c r="U253" i="30"/>
  <c r="W253" i="30"/>
  <c r="Y253" i="30"/>
  <c r="AA253" i="30"/>
  <c r="AC253" i="30"/>
  <c r="C44" i="31"/>
  <c r="E44" i="31"/>
  <c r="G44" i="31"/>
  <c r="I44" i="31"/>
  <c r="K44" i="31"/>
  <c r="M44" i="31"/>
  <c r="O44" i="31"/>
  <c r="Q44" i="31"/>
  <c r="S44" i="31"/>
  <c r="U44" i="31"/>
  <c r="W44" i="31"/>
  <c r="Y44" i="31"/>
  <c r="AA44" i="31"/>
  <c r="AC44" i="31"/>
  <c r="AD44" i="31"/>
  <c r="C45" i="31"/>
  <c r="E45" i="31"/>
  <c r="G45" i="31"/>
  <c r="I45" i="31"/>
  <c r="K45" i="31"/>
  <c r="M45" i="31"/>
  <c r="O45" i="31"/>
  <c r="Q45" i="31"/>
  <c r="S45" i="31"/>
  <c r="U45" i="31"/>
  <c r="W45" i="31"/>
  <c r="Y45" i="31"/>
  <c r="AA45" i="31"/>
  <c r="AC45" i="31"/>
  <c r="C46" i="31"/>
  <c r="E46" i="31"/>
  <c r="G46" i="31"/>
  <c r="I46" i="31"/>
  <c r="K46" i="31"/>
  <c r="M46" i="31"/>
  <c r="O46" i="31"/>
  <c r="Q46" i="31"/>
  <c r="S46" i="31"/>
  <c r="U46" i="31"/>
  <c r="W46" i="31"/>
  <c r="Y46" i="31"/>
  <c r="AA46" i="31"/>
  <c r="AC46" i="31"/>
  <c r="C47" i="31"/>
  <c r="E47" i="31"/>
  <c r="G47" i="31"/>
  <c r="I47" i="31"/>
  <c r="K47" i="31"/>
  <c r="M47" i="31"/>
  <c r="O47" i="31"/>
  <c r="Q47" i="31"/>
  <c r="S47" i="31"/>
  <c r="U47" i="31"/>
  <c r="W47" i="31"/>
  <c r="Y47" i="31"/>
  <c r="AA47" i="31"/>
  <c r="AC47" i="31"/>
  <c r="C48" i="31"/>
  <c r="E48" i="31"/>
  <c r="G48" i="31"/>
  <c r="I48" i="31"/>
  <c r="K48" i="31"/>
  <c r="M48" i="31"/>
  <c r="O48" i="31"/>
  <c r="Q48" i="31"/>
  <c r="S48" i="31"/>
  <c r="U48" i="31"/>
  <c r="W48" i="31"/>
  <c r="Y48" i="31"/>
  <c r="AA48" i="31"/>
  <c r="AC48" i="31"/>
  <c r="C49" i="31"/>
  <c r="E49" i="31"/>
  <c r="G49" i="31"/>
  <c r="I49" i="31"/>
  <c r="K49" i="31"/>
  <c r="M49" i="31"/>
  <c r="O49" i="31"/>
  <c r="Q49" i="31"/>
  <c r="S49" i="31"/>
  <c r="U49" i="31"/>
  <c r="W49" i="31"/>
  <c r="Y49" i="31"/>
  <c r="AA49" i="31"/>
  <c r="AC49" i="31"/>
  <c r="C50" i="31"/>
  <c r="E50" i="31"/>
  <c r="G50" i="31"/>
  <c r="I50" i="31"/>
  <c r="K50" i="31"/>
  <c r="M50" i="31"/>
  <c r="O50" i="31"/>
  <c r="Q50" i="31"/>
  <c r="S50" i="31"/>
  <c r="U50" i="31"/>
  <c r="W50" i="31"/>
  <c r="Y50" i="31"/>
  <c r="AA50" i="31"/>
  <c r="AC50" i="31"/>
  <c r="C51" i="31"/>
  <c r="E51" i="31"/>
  <c r="G51" i="31"/>
  <c r="I51" i="31"/>
  <c r="K51" i="31"/>
  <c r="M51" i="31"/>
  <c r="O51" i="31"/>
  <c r="Q51" i="31"/>
  <c r="S51" i="31"/>
  <c r="U51" i="31"/>
  <c r="W51" i="31"/>
  <c r="Y51" i="31"/>
  <c r="AA51" i="31"/>
  <c r="AC51" i="31"/>
  <c r="C52" i="31"/>
  <c r="E52" i="31"/>
  <c r="G52" i="31"/>
  <c r="I52" i="31"/>
  <c r="K52" i="31"/>
  <c r="M52" i="31"/>
  <c r="O52" i="31"/>
  <c r="Q52" i="31"/>
  <c r="S52" i="31"/>
  <c r="U52" i="31"/>
  <c r="W52" i="31"/>
  <c r="Y52" i="31"/>
  <c r="AA52" i="31"/>
  <c r="AC52" i="31"/>
  <c r="C53" i="31"/>
  <c r="E53" i="31"/>
  <c r="G53" i="31"/>
  <c r="I53" i="31"/>
  <c r="K53" i="31"/>
  <c r="M53" i="31"/>
  <c r="O53" i="31"/>
  <c r="Q53" i="31"/>
  <c r="S53" i="31"/>
  <c r="U53" i="31"/>
  <c r="W53" i="31"/>
  <c r="Y53" i="31"/>
  <c r="AA53" i="31"/>
  <c r="AC53" i="31"/>
  <c r="C54" i="31"/>
  <c r="E54" i="31"/>
  <c r="G54" i="31"/>
  <c r="I54" i="31"/>
  <c r="K54" i="31"/>
  <c r="M54" i="31"/>
  <c r="O54" i="31"/>
  <c r="Q54" i="31"/>
  <c r="S54" i="31"/>
  <c r="U54" i="31"/>
  <c r="W54" i="31"/>
  <c r="Y54" i="31"/>
  <c r="AA54" i="31"/>
  <c r="AC54" i="31"/>
  <c r="C55" i="31"/>
  <c r="E55" i="31"/>
  <c r="G55" i="31"/>
  <c r="I55" i="31"/>
  <c r="K55" i="31"/>
  <c r="M55" i="31"/>
  <c r="O55" i="31"/>
  <c r="Q55" i="31"/>
  <c r="S55" i="31"/>
  <c r="U55" i="31"/>
  <c r="W55" i="31"/>
  <c r="Y55" i="31"/>
  <c r="AA55" i="31"/>
  <c r="AC55" i="31"/>
  <c r="C56" i="31"/>
  <c r="E56" i="31"/>
  <c r="G56" i="31"/>
  <c r="I56" i="31"/>
  <c r="K56" i="31"/>
  <c r="M56" i="31"/>
  <c r="O56" i="31"/>
  <c r="Q56" i="31"/>
  <c r="S56" i="31"/>
  <c r="U56" i="31"/>
  <c r="W56" i="31"/>
  <c r="Y56" i="31"/>
  <c r="AA56" i="31"/>
  <c r="AC56" i="31"/>
  <c r="C57" i="31"/>
  <c r="E57" i="31"/>
  <c r="G57" i="31"/>
  <c r="I57" i="31"/>
  <c r="K57" i="31"/>
  <c r="M57" i="31"/>
  <c r="O57" i="31"/>
  <c r="Q57" i="31"/>
  <c r="S57" i="31"/>
  <c r="U57" i="31"/>
  <c r="W57" i="31"/>
  <c r="Y57" i="31"/>
  <c r="AA57" i="31"/>
  <c r="AC57" i="31"/>
  <c r="C58" i="31"/>
  <c r="E58" i="31"/>
  <c r="G58" i="31"/>
  <c r="I58" i="31"/>
  <c r="K58" i="31"/>
  <c r="M58" i="31"/>
  <c r="O58" i="31"/>
  <c r="Q58" i="31"/>
  <c r="S58" i="31"/>
  <c r="U58" i="31"/>
  <c r="W58" i="31"/>
  <c r="Y58" i="31"/>
  <c r="AA58" i="31"/>
  <c r="AC58" i="31"/>
  <c r="C59" i="31"/>
  <c r="E59" i="31"/>
  <c r="G59" i="31"/>
  <c r="I59" i="31"/>
  <c r="K59" i="31"/>
  <c r="M59" i="31"/>
  <c r="O59" i="31"/>
  <c r="Q59" i="31"/>
  <c r="S59" i="31"/>
  <c r="U59" i="31"/>
  <c r="W59" i="31"/>
  <c r="Y59" i="31"/>
  <c r="AA59" i="31"/>
  <c r="AC59" i="31"/>
  <c r="C60" i="31"/>
  <c r="E60" i="31"/>
  <c r="G60" i="31"/>
  <c r="I60" i="31"/>
  <c r="K60" i="31"/>
  <c r="M60" i="31"/>
  <c r="O60" i="31"/>
  <c r="Q60" i="31"/>
  <c r="S60" i="31"/>
  <c r="U60" i="31"/>
  <c r="W60" i="31"/>
  <c r="Y60" i="31"/>
  <c r="AA60" i="31"/>
  <c r="AC60" i="31"/>
  <c r="C61" i="31"/>
  <c r="E61" i="31"/>
  <c r="G61" i="31"/>
  <c r="I61" i="31"/>
  <c r="K61" i="31"/>
  <c r="M61" i="31"/>
  <c r="O61" i="31"/>
  <c r="Q61" i="31"/>
  <c r="S61" i="31"/>
  <c r="U61" i="31"/>
  <c r="W61" i="31"/>
  <c r="Y61" i="31"/>
  <c r="AA61" i="31"/>
  <c r="AC61" i="31"/>
  <c r="C62" i="31"/>
  <c r="E62" i="31"/>
  <c r="G62" i="31"/>
  <c r="I62" i="31"/>
  <c r="K62" i="31"/>
  <c r="M62" i="31"/>
  <c r="O62" i="31"/>
  <c r="Q62" i="31"/>
  <c r="S62" i="31"/>
  <c r="U62" i="31"/>
  <c r="W62" i="31"/>
  <c r="Y62" i="31"/>
  <c r="AA62" i="31"/>
  <c r="AC62" i="31"/>
  <c r="C63" i="31"/>
  <c r="E63" i="31"/>
  <c r="G63" i="31"/>
  <c r="I63" i="31"/>
  <c r="K63" i="31"/>
  <c r="M63" i="31"/>
  <c r="O63" i="31"/>
  <c r="Q63" i="31"/>
  <c r="S63" i="31"/>
  <c r="U63" i="31"/>
  <c r="W63" i="31"/>
  <c r="Y63" i="31"/>
  <c r="AA63" i="31"/>
  <c r="AC63" i="31"/>
  <c r="C64" i="31"/>
  <c r="E64" i="31"/>
  <c r="G64" i="31"/>
  <c r="I64" i="31"/>
  <c r="K64" i="31"/>
  <c r="M64" i="31"/>
  <c r="O64" i="31"/>
  <c r="Q64" i="31"/>
  <c r="S64" i="31"/>
  <c r="U64" i="31"/>
  <c r="W64" i="31"/>
  <c r="Y64" i="31"/>
  <c r="AA64" i="31"/>
  <c r="AC64" i="31"/>
  <c r="C65" i="31"/>
  <c r="E65" i="31"/>
  <c r="G65" i="31"/>
  <c r="I65" i="31"/>
  <c r="K65" i="31"/>
  <c r="M65" i="31"/>
  <c r="O65" i="31"/>
  <c r="Q65" i="31"/>
  <c r="S65" i="31"/>
  <c r="U65" i="31"/>
  <c r="W65" i="31"/>
  <c r="Y65" i="31"/>
  <c r="AA65" i="31"/>
  <c r="AC65" i="31"/>
  <c r="C66" i="31"/>
  <c r="E66" i="31"/>
  <c r="G66" i="31"/>
  <c r="I66" i="31"/>
  <c r="K66" i="31"/>
  <c r="M66" i="31"/>
  <c r="O66" i="31"/>
  <c r="Q66" i="31"/>
  <c r="S66" i="31"/>
  <c r="U66" i="31"/>
  <c r="W66" i="31"/>
  <c r="Y66" i="31"/>
  <c r="AA66" i="31"/>
  <c r="AC66" i="31"/>
  <c r="C67" i="31"/>
  <c r="E67" i="31"/>
  <c r="G67" i="31"/>
  <c r="I67" i="31"/>
  <c r="K67" i="31"/>
  <c r="M67" i="31"/>
  <c r="O67" i="31"/>
  <c r="Q67" i="31"/>
  <c r="S67" i="31"/>
  <c r="U67" i="31"/>
  <c r="W67" i="31"/>
  <c r="Y67" i="31"/>
  <c r="AA67" i="31"/>
  <c r="AC67" i="31"/>
  <c r="C68" i="31"/>
  <c r="E68" i="31"/>
  <c r="G68" i="31"/>
  <c r="I68" i="31"/>
  <c r="K68" i="31"/>
  <c r="M68" i="31"/>
  <c r="O68" i="31"/>
  <c r="Q68" i="31"/>
  <c r="S68" i="31"/>
  <c r="U68" i="31"/>
  <c r="W68" i="31"/>
  <c r="Y68" i="31"/>
  <c r="AA68" i="31"/>
  <c r="AC68" i="31"/>
  <c r="C69" i="31"/>
  <c r="E69" i="31"/>
  <c r="G69" i="31"/>
  <c r="I69" i="31"/>
  <c r="K69" i="31"/>
  <c r="M69" i="31"/>
  <c r="O69" i="31"/>
  <c r="Q69" i="31"/>
  <c r="S69" i="31"/>
  <c r="U69" i="31"/>
  <c r="W69" i="31"/>
  <c r="Y69" i="31"/>
  <c r="AA69" i="31"/>
  <c r="AC69" i="31"/>
  <c r="C70" i="31"/>
  <c r="E70" i="31"/>
  <c r="G70" i="31"/>
  <c r="I70" i="31"/>
  <c r="K70" i="31"/>
  <c r="M70" i="31"/>
  <c r="O70" i="31"/>
  <c r="Q70" i="31"/>
  <c r="S70" i="31"/>
  <c r="U70" i="31"/>
  <c r="W70" i="31"/>
  <c r="Y70" i="31"/>
  <c r="AA70" i="31"/>
  <c r="AC70" i="31"/>
  <c r="C71" i="31"/>
  <c r="E71" i="31"/>
  <c r="G71" i="31"/>
  <c r="I71" i="31"/>
  <c r="K71" i="31"/>
  <c r="M71" i="31"/>
  <c r="O71" i="31"/>
  <c r="Q71" i="31"/>
  <c r="S71" i="31"/>
  <c r="U71" i="31"/>
  <c r="W71" i="31"/>
  <c r="Y71" i="31"/>
  <c r="AA71" i="31"/>
  <c r="AC71" i="31"/>
  <c r="C72" i="31"/>
  <c r="E72" i="31"/>
  <c r="G72" i="31"/>
  <c r="I72" i="31"/>
  <c r="K72" i="31"/>
  <c r="M72" i="31"/>
  <c r="O72" i="31"/>
  <c r="Q72" i="31"/>
  <c r="S72" i="31"/>
  <c r="U72" i="31"/>
  <c r="W72" i="31"/>
  <c r="Y72" i="31"/>
  <c r="AA72" i="31"/>
  <c r="AC72" i="31"/>
  <c r="C73" i="31"/>
  <c r="E73" i="31"/>
  <c r="G73" i="31"/>
  <c r="I73" i="31"/>
  <c r="K73" i="31"/>
  <c r="M73" i="31"/>
  <c r="O73" i="31"/>
  <c r="Q73" i="31"/>
  <c r="S73" i="31"/>
  <c r="U73" i="31"/>
  <c r="W73" i="31"/>
  <c r="Y73" i="31"/>
  <c r="AA73" i="31"/>
  <c r="AC73" i="31"/>
  <c r="C74" i="31"/>
  <c r="E74" i="31"/>
  <c r="G74" i="31"/>
  <c r="I74" i="31"/>
  <c r="K74" i="31"/>
  <c r="M74" i="31"/>
  <c r="O74" i="31"/>
  <c r="Q74" i="31"/>
  <c r="S74" i="31"/>
  <c r="U74" i="31"/>
  <c r="W74" i="31"/>
  <c r="Y74" i="31"/>
  <c r="AA74" i="31"/>
  <c r="AC74" i="31"/>
  <c r="C75" i="31"/>
  <c r="E75" i="31"/>
  <c r="G75" i="31"/>
  <c r="I75" i="31"/>
  <c r="K75" i="31"/>
  <c r="M75" i="31"/>
  <c r="O75" i="31"/>
  <c r="Q75" i="31"/>
  <c r="S75" i="31"/>
  <c r="U75" i="31"/>
  <c r="W75" i="31"/>
  <c r="Y75" i="31"/>
  <c r="AA75" i="31"/>
  <c r="AC75" i="31"/>
  <c r="C76" i="31"/>
  <c r="E76" i="31"/>
  <c r="G76" i="31"/>
  <c r="I76" i="31"/>
  <c r="K76" i="31"/>
  <c r="M76" i="31"/>
  <c r="O76" i="31"/>
  <c r="Q76" i="31"/>
  <c r="S76" i="31"/>
  <c r="U76" i="31"/>
  <c r="W76" i="31"/>
  <c r="Y76" i="31"/>
  <c r="AA76" i="31"/>
  <c r="AC76" i="31"/>
  <c r="C77" i="31"/>
  <c r="E77" i="31"/>
  <c r="G77" i="31"/>
  <c r="I77" i="31"/>
  <c r="K77" i="31"/>
  <c r="M77" i="31"/>
  <c r="O77" i="31"/>
  <c r="Q77" i="31"/>
  <c r="S77" i="31"/>
  <c r="U77" i="31"/>
  <c r="W77" i="31"/>
  <c r="Y77" i="31"/>
  <c r="AA77" i="31"/>
  <c r="AC77" i="31"/>
  <c r="C78" i="31"/>
  <c r="E78" i="31"/>
  <c r="G78" i="31"/>
  <c r="I78" i="31"/>
  <c r="K78" i="31"/>
  <c r="M78" i="31"/>
  <c r="O78" i="31"/>
  <c r="Q78" i="31"/>
  <c r="S78" i="31"/>
  <c r="U78" i="31"/>
  <c r="W78" i="31"/>
  <c r="Y78" i="31"/>
  <c r="AA78" i="31"/>
  <c r="AC78" i="31"/>
  <c r="C79" i="31"/>
  <c r="E79" i="31"/>
  <c r="G79" i="31"/>
  <c r="I79" i="31"/>
  <c r="K79" i="31"/>
  <c r="M79" i="31"/>
  <c r="O79" i="31"/>
  <c r="Q79" i="31"/>
  <c r="S79" i="31"/>
  <c r="U79" i="31"/>
  <c r="W79" i="31"/>
  <c r="Y79" i="31"/>
  <c r="AA79" i="31"/>
  <c r="AC79" i="31"/>
  <c r="AD79" i="31"/>
  <c r="AH79" i="31"/>
  <c r="C80" i="31"/>
  <c r="E80" i="31"/>
  <c r="G80" i="31"/>
  <c r="I80" i="31"/>
  <c r="K80" i="31"/>
  <c r="M80" i="31"/>
  <c r="O80" i="31"/>
  <c r="Q80" i="31"/>
  <c r="S80" i="31"/>
  <c r="U80" i="31"/>
  <c r="W80" i="31"/>
  <c r="Y80" i="31"/>
  <c r="AA80" i="31"/>
  <c r="AC80" i="31"/>
  <c r="C81" i="31"/>
  <c r="E81" i="31"/>
  <c r="G81" i="31"/>
  <c r="I81" i="31"/>
  <c r="K81" i="31"/>
  <c r="M81" i="31"/>
  <c r="O81" i="31"/>
  <c r="Q81" i="31"/>
  <c r="S81" i="31"/>
  <c r="U81" i="31"/>
  <c r="W81" i="31"/>
  <c r="Y81" i="31"/>
  <c r="AA81" i="31"/>
  <c r="AC81" i="31"/>
  <c r="C82" i="31"/>
  <c r="E82" i="31"/>
  <c r="G82" i="31"/>
  <c r="I82" i="31"/>
  <c r="K82" i="31"/>
  <c r="M82" i="31"/>
  <c r="O82" i="31"/>
  <c r="Q82" i="31"/>
  <c r="S82" i="31"/>
  <c r="U82" i="31"/>
  <c r="W82" i="31"/>
  <c r="Y82" i="31"/>
  <c r="AA82" i="31"/>
  <c r="AC82" i="31"/>
  <c r="C83" i="31"/>
  <c r="E83" i="31"/>
  <c r="G83" i="31"/>
  <c r="I83" i="31"/>
  <c r="K83" i="31"/>
  <c r="M83" i="31"/>
  <c r="O83" i="31"/>
  <c r="Q83" i="31"/>
  <c r="S83" i="31"/>
  <c r="U83" i="31"/>
  <c r="W83" i="31"/>
  <c r="Y83" i="31"/>
  <c r="AA83" i="31"/>
  <c r="AC83" i="31"/>
  <c r="C84" i="31"/>
  <c r="E84" i="31"/>
  <c r="G84" i="31"/>
  <c r="I84" i="31"/>
  <c r="K84" i="31"/>
  <c r="M84" i="31"/>
  <c r="O84" i="31"/>
  <c r="Q84" i="31"/>
  <c r="S84" i="31"/>
  <c r="U84" i="31"/>
  <c r="W84" i="31"/>
  <c r="Y84" i="31"/>
  <c r="AA84" i="31"/>
  <c r="AC84" i="31"/>
  <c r="C85" i="31"/>
  <c r="E85" i="31"/>
  <c r="G85" i="31"/>
  <c r="I85" i="31"/>
  <c r="K85" i="31"/>
  <c r="M85" i="31"/>
  <c r="O85" i="31"/>
  <c r="Q85" i="31"/>
  <c r="S85" i="31"/>
  <c r="U85" i="31"/>
  <c r="W85" i="31"/>
  <c r="Y85" i="31"/>
  <c r="AA85" i="31"/>
  <c r="AC85" i="31"/>
  <c r="C86" i="31"/>
  <c r="E86" i="31"/>
  <c r="G86" i="31"/>
  <c r="I86" i="31"/>
  <c r="K86" i="31"/>
  <c r="M86" i="31"/>
  <c r="O86" i="31"/>
  <c r="Q86" i="31"/>
  <c r="S86" i="31"/>
  <c r="U86" i="31"/>
  <c r="W86" i="31"/>
  <c r="Y86" i="31"/>
  <c r="AA86" i="31"/>
  <c r="AC86" i="31"/>
  <c r="C87" i="31"/>
  <c r="E87" i="31"/>
  <c r="G87" i="31"/>
  <c r="I87" i="31"/>
  <c r="K87" i="31"/>
  <c r="M87" i="31"/>
  <c r="O87" i="31"/>
  <c r="Q87" i="31"/>
  <c r="S87" i="31"/>
  <c r="U87" i="31"/>
  <c r="W87" i="31"/>
  <c r="Y87" i="31"/>
  <c r="AA87" i="31"/>
  <c r="AC87" i="31"/>
  <c r="C88" i="31"/>
  <c r="E88" i="31"/>
  <c r="G88" i="31"/>
  <c r="I88" i="31"/>
  <c r="K88" i="31"/>
  <c r="M88" i="31"/>
  <c r="O88" i="31"/>
  <c r="Q88" i="31"/>
  <c r="S88" i="31"/>
  <c r="U88" i="31"/>
  <c r="W88" i="31"/>
  <c r="Y88" i="31"/>
  <c r="AA88" i="31"/>
  <c r="AC88" i="31"/>
  <c r="C89" i="31"/>
  <c r="E89" i="31"/>
  <c r="G89" i="31"/>
  <c r="I89" i="31"/>
  <c r="K89" i="31"/>
  <c r="M89" i="31"/>
  <c r="O89" i="31"/>
  <c r="Q89" i="31"/>
  <c r="S89" i="31"/>
  <c r="U89" i="31"/>
  <c r="W89" i="31"/>
  <c r="Y89" i="31"/>
  <c r="AA89" i="31"/>
  <c r="AC89" i="31"/>
  <c r="C90" i="31"/>
  <c r="E90" i="31"/>
  <c r="G90" i="31"/>
  <c r="I90" i="31"/>
  <c r="K90" i="31"/>
  <c r="M90" i="31"/>
  <c r="O90" i="31"/>
  <c r="Q90" i="31"/>
  <c r="S90" i="31"/>
  <c r="U90" i="31"/>
  <c r="W90" i="31"/>
  <c r="Y90" i="31"/>
  <c r="AA90" i="31"/>
  <c r="AC90" i="31"/>
  <c r="C91" i="31"/>
  <c r="E91" i="31"/>
  <c r="G91" i="31"/>
  <c r="I91" i="31"/>
  <c r="K91" i="31"/>
  <c r="M91" i="31"/>
  <c r="O91" i="31"/>
  <c r="Q91" i="31"/>
  <c r="S91" i="31"/>
  <c r="U91" i="31"/>
  <c r="W91" i="31"/>
  <c r="Y91" i="31"/>
  <c r="AA91" i="31"/>
  <c r="AC91" i="31"/>
  <c r="C92" i="31"/>
  <c r="E92" i="31"/>
  <c r="G92" i="31"/>
  <c r="I92" i="31"/>
  <c r="K92" i="31"/>
  <c r="M92" i="31"/>
  <c r="O92" i="31"/>
  <c r="Q92" i="31"/>
  <c r="S92" i="31"/>
  <c r="U92" i="31"/>
  <c r="W92" i="31"/>
  <c r="Y92" i="31"/>
  <c r="AA92" i="31"/>
  <c r="AC92" i="31"/>
  <c r="C93" i="31"/>
  <c r="E93" i="31"/>
  <c r="G93" i="31"/>
  <c r="I93" i="31"/>
  <c r="K93" i="31"/>
  <c r="M93" i="31"/>
  <c r="O93" i="31"/>
  <c r="Q93" i="31"/>
  <c r="S93" i="31"/>
  <c r="U93" i="31"/>
  <c r="W93" i="31"/>
  <c r="Y93" i="31"/>
  <c r="AA93" i="31"/>
  <c r="AC93" i="31"/>
  <c r="C94" i="31"/>
  <c r="E94" i="31"/>
  <c r="G94" i="31"/>
  <c r="I94" i="31"/>
  <c r="K94" i="31"/>
  <c r="M94" i="31"/>
  <c r="O94" i="31"/>
  <c r="Q94" i="31"/>
  <c r="S94" i="31"/>
  <c r="U94" i="31"/>
  <c r="W94" i="31"/>
  <c r="Y94" i="31"/>
  <c r="AA94" i="31"/>
  <c r="AC94" i="31"/>
  <c r="C95" i="31"/>
  <c r="E95" i="31"/>
  <c r="G95" i="31"/>
  <c r="I95" i="31"/>
  <c r="K95" i="31"/>
  <c r="M95" i="31"/>
  <c r="O95" i="31"/>
  <c r="Q95" i="31"/>
  <c r="S95" i="31"/>
  <c r="U95" i="31"/>
  <c r="W95" i="31"/>
  <c r="Y95" i="31"/>
  <c r="AA95" i="31"/>
  <c r="AC95" i="31"/>
  <c r="C96" i="31"/>
  <c r="E96" i="31"/>
  <c r="G96" i="31"/>
  <c r="I96" i="31"/>
  <c r="K96" i="31"/>
  <c r="M96" i="31"/>
  <c r="O96" i="31"/>
  <c r="Q96" i="31"/>
  <c r="S96" i="31"/>
  <c r="U96" i="31"/>
  <c r="W96" i="31"/>
  <c r="Y96" i="31"/>
  <c r="AA96" i="31"/>
  <c r="AC96" i="31"/>
  <c r="C97" i="31"/>
  <c r="E97" i="31"/>
  <c r="G97" i="31"/>
  <c r="I97" i="31"/>
  <c r="K97" i="31"/>
  <c r="M97" i="31"/>
  <c r="O97" i="31"/>
  <c r="Q97" i="31"/>
  <c r="S97" i="31"/>
  <c r="U97" i="31"/>
  <c r="W97" i="31"/>
  <c r="Y97" i="31"/>
  <c r="AA97" i="31"/>
  <c r="AC97" i="31"/>
  <c r="C98" i="31"/>
  <c r="E98" i="31"/>
  <c r="G98" i="31"/>
  <c r="I98" i="31"/>
  <c r="K98" i="31"/>
  <c r="M98" i="31"/>
  <c r="O98" i="31"/>
  <c r="Q98" i="31"/>
  <c r="S98" i="31"/>
  <c r="U98" i="31"/>
  <c r="W98" i="31"/>
  <c r="Y98" i="31"/>
  <c r="AA98" i="31"/>
  <c r="AC98" i="31"/>
  <c r="C99" i="31"/>
  <c r="E99" i="31"/>
  <c r="G99" i="31"/>
  <c r="I99" i="31"/>
  <c r="K99" i="31"/>
  <c r="M99" i="31"/>
  <c r="O99" i="31"/>
  <c r="Q99" i="31"/>
  <c r="S99" i="31"/>
  <c r="U99" i="31"/>
  <c r="W99" i="31"/>
  <c r="Y99" i="31"/>
  <c r="AA99" i="31"/>
  <c r="AC99" i="31"/>
  <c r="C100" i="31"/>
  <c r="E100" i="31"/>
  <c r="G100" i="31"/>
  <c r="I100" i="31"/>
  <c r="K100" i="31"/>
  <c r="M100" i="31"/>
  <c r="O100" i="31"/>
  <c r="Q100" i="31"/>
  <c r="S100" i="31"/>
  <c r="U100" i="31"/>
  <c r="W100" i="31"/>
  <c r="Y100" i="31"/>
  <c r="AA100" i="31"/>
  <c r="AC100" i="31"/>
  <c r="C101" i="31"/>
  <c r="E101" i="31"/>
  <c r="G101" i="31"/>
  <c r="I101" i="31"/>
  <c r="K101" i="31"/>
  <c r="M101" i="31"/>
  <c r="O101" i="31"/>
  <c r="Q101" i="31"/>
  <c r="S101" i="31"/>
  <c r="U101" i="31"/>
  <c r="W101" i="31"/>
  <c r="Y101" i="31"/>
  <c r="AA101" i="31"/>
  <c r="AC101" i="31"/>
  <c r="C102" i="31"/>
  <c r="E102" i="31"/>
  <c r="G102" i="31"/>
  <c r="I102" i="31"/>
  <c r="K102" i="31"/>
  <c r="M102" i="31"/>
  <c r="O102" i="31"/>
  <c r="Q102" i="31"/>
  <c r="S102" i="31"/>
  <c r="U102" i="31"/>
  <c r="W102" i="31"/>
  <c r="Y102" i="31"/>
  <c r="AA102" i="31"/>
  <c r="AC102" i="31"/>
  <c r="C103" i="31"/>
  <c r="E103" i="31"/>
  <c r="G103" i="31"/>
  <c r="I103" i="31"/>
  <c r="K103" i="31"/>
  <c r="M103" i="31"/>
  <c r="O103" i="31"/>
  <c r="Q103" i="31"/>
  <c r="S103" i="31"/>
  <c r="U103" i="31"/>
  <c r="W103" i="31"/>
  <c r="Y103" i="31"/>
  <c r="AA103" i="31"/>
  <c r="AC103" i="31"/>
  <c r="C104" i="31"/>
  <c r="E104" i="31"/>
  <c r="G104" i="31"/>
  <c r="I104" i="31"/>
  <c r="K104" i="31"/>
  <c r="M104" i="31"/>
  <c r="O104" i="31"/>
  <c r="Q104" i="31"/>
  <c r="S104" i="31"/>
  <c r="U104" i="31"/>
  <c r="W104" i="31"/>
  <c r="Y104" i="31"/>
  <c r="AA104" i="31"/>
  <c r="AC104" i="31"/>
  <c r="C105" i="31"/>
  <c r="E105" i="31"/>
  <c r="G105" i="31"/>
  <c r="I105" i="31"/>
  <c r="K105" i="31"/>
  <c r="M105" i="31"/>
  <c r="O105" i="31"/>
  <c r="Q105" i="31"/>
  <c r="S105" i="31"/>
  <c r="U105" i="31"/>
  <c r="W105" i="31"/>
  <c r="Y105" i="31"/>
  <c r="AA105" i="31"/>
  <c r="AC105" i="31"/>
  <c r="C106" i="31"/>
  <c r="E106" i="31"/>
  <c r="G106" i="31"/>
  <c r="I106" i="31"/>
  <c r="K106" i="31"/>
  <c r="M106" i="31"/>
  <c r="O106" i="31"/>
  <c r="Q106" i="31"/>
  <c r="S106" i="31"/>
  <c r="U106" i="31"/>
  <c r="W106" i="31"/>
  <c r="Y106" i="31"/>
  <c r="AA106" i="31"/>
  <c r="AC106" i="31"/>
  <c r="C107" i="31"/>
  <c r="E107" i="31"/>
  <c r="G107" i="31"/>
  <c r="I107" i="31"/>
  <c r="K107" i="31"/>
  <c r="M107" i="31"/>
  <c r="O107" i="31"/>
  <c r="Q107" i="31"/>
  <c r="S107" i="31"/>
  <c r="U107" i="31"/>
  <c r="W107" i="31"/>
  <c r="Y107" i="31"/>
  <c r="AA107" i="31"/>
  <c r="AC107" i="31"/>
  <c r="C108" i="31"/>
  <c r="E108" i="31"/>
  <c r="G108" i="31"/>
  <c r="I108" i="31"/>
  <c r="K108" i="31"/>
  <c r="M108" i="31"/>
  <c r="O108" i="31"/>
  <c r="Q108" i="31"/>
  <c r="S108" i="31"/>
  <c r="U108" i="31"/>
  <c r="W108" i="31"/>
  <c r="Y108" i="31"/>
  <c r="AA108" i="31"/>
  <c r="AC108" i="31"/>
  <c r="C109" i="31"/>
  <c r="E109" i="31"/>
  <c r="G109" i="31"/>
  <c r="I109" i="31"/>
  <c r="K109" i="31"/>
  <c r="M109" i="31"/>
  <c r="O109" i="31"/>
  <c r="Q109" i="31"/>
  <c r="S109" i="31"/>
  <c r="U109" i="31"/>
  <c r="W109" i="31"/>
  <c r="Y109" i="31"/>
  <c r="AA109" i="31"/>
  <c r="AC109" i="31"/>
  <c r="C110" i="31"/>
  <c r="E110" i="31"/>
  <c r="G110" i="31"/>
  <c r="I110" i="31"/>
  <c r="K110" i="31"/>
  <c r="M110" i="31"/>
  <c r="O110" i="31"/>
  <c r="Q110" i="31"/>
  <c r="S110" i="31"/>
  <c r="U110" i="31"/>
  <c r="W110" i="31"/>
  <c r="Y110" i="31"/>
  <c r="AA110" i="31"/>
  <c r="AC110" i="31"/>
  <c r="C111" i="31"/>
  <c r="E111" i="31"/>
  <c r="G111" i="31"/>
  <c r="I111" i="31"/>
  <c r="K111" i="31"/>
  <c r="M111" i="31"/>
  <c r="O111" i="31"/>
  <c r="Q111" i="31"/>
  <c r="S111" i="31"/>
  <c r="U111" i="31"/>
  <c r="W111" i="31"/>
  <c r="Y111" i="31"/>
  <c r="AA111" i="31"/>
  <c r="AC111" i="31"/>
  <c r="C112" i="31"/>
  <c r="E112" i="31"/>
  <c r="G112" i="31"/>
  <c r="I112" i="31"/>
  <c r="K112" i="31"/>
  <c r="M112" i="31"/>
  <c r="O112" i="31"/>
  <c r="Q112" i="31"/>
  <c r="S112" i="31"/>
  <c r="U112" i="31"/>
  <c r="W112" i="31"/>
  <c r="Y112" i="31"/>
  <c r="AA112" i="31"/>
  <c r="AC112" i="31"/>
  <c r="C113" i="31"/>
  <c r="E113" i="31"/>
  <c r="G113" i="31"/>
  <c r="I113" i="31"/>
  <c r="K113" i="31"/>
  <c r="M113" i="31"/>
  <c r="O113" i="31"/>
  <c r="Q113" i="31"/>
  <c r="S113" i="31"/>
  <c r="U113" i="31"/>
  <c r="W113" i="31"/>
  <c r="Y113" i="31"/>
  <c r="AA113" i="31"/>
  <c r="AC113" i="31"/>
  <c r="C114" i="31"/>
  <c r="E114" i="31"/>
  <c r="G114" i="31"/>
  <c r="I114" i="31"/>
  <c r="K114" i="31"/>
  <c r="M114" i="31"/>
  <c r="O114" i="31"/>
  <c r="S114" i="31"/>
  <c r="U114" i="31"/>
  <c r="W114" i="31"/>
  <c r="Y114" i="31"/>
  <c r="AA114" i="31"/>
  <c r="AC114" i="31"/>
  <c r="AD114" i="31"/>
  <c r="AH114" i="31"/>
  <c r="C115" i="31"/>
  <c r="E115" i="31"/>
  <c r="G115" i="31"/>
  <c r="I115" i="31"/>
  <c r="K115" i="31"/>
  <c r="M115" i="31"/>
  <c r="O115" i="31"/>
  <c r="S115" i="31"/>
  <c r="U115" i="31"/>
  <c r="W115" i="31"/>
  <c r="Y115" i="31"/>
  <c r="AA115" i="31"/>
  <c r="AC115" i="31"/>
  <c r="C116" i="31"/>
  <c r="E116" i="31"/>
  <c r="G116" i="31"/>
  <c r="I116" i="31"/>
  <c r="K116" i="31"/>
  <c r="M116" i="31"/>
  <c r="O116" i="31"/>
  <c r="S116" i="31"/>
  <c r="U116" i="31"/>
  <c r="W116" i="31"/>
  <c r="Y116" i="31"/>
  <c r="AA116" i="31"/>
  <c r="AC116" i="31"/>
  <c r="C117" i="31"/>
  <c r="E117" i="31"/>
  <c r="G117" i="31"/>
  <c r="I117" i="31"/>
  <c r="K117" i="31"/>
  <c r="M117" i="31"/>
  <c r="O117" i="31"/>
  <c r="S117" i="31"/>
  <c r="U117" i="31"/>
  <c r="W117" i="31"/>
  <c r="Y117" i="31"/>
  <c r="AA117" i="31"/>
  <c r="AC117" i="31"/>
  <c r="C118" i="31"/>
  <c r="E118" i="31"/>
  <c r="G118" i="31"/>
  <c r="I118" i="31"/>
  <c r="K118" i="31"/>
  <c r="M118" i="31"/>
  <c r="O118" i="31"/>
  <c r="S118" i="31"/>
  <c r="U118" i="31"/>
  <c r="W118" i="31"/>
  <c r="Y118" i="31"/>
  <c r="AA118" i="31"/>
  <c r="AC118" i="31"/>
  <c r="C119" i="31"/>
  <c r="E119" i="31"/>
  <c r="G119" i="31"/>
  <c r="I119" i="31"/>
  <c r="K119" i="31"/>
  <c r="M119" i="31"/>
  <c r="O119" i="31"/>
  <c r="S119" i="31"/>
  <c r="U119" i="31"/>
  <c r="W119" i="31"/>
  <c r="Y119" i="31"/>
  <c r="AA119" i="31"/>
  <c r="AC119" i="31"/>
  <c r="C120" i="31"/>
  <c r="E120" i="31"/>
  <c r="G120" i="31"/>
  <c r="I120" i="31"/>
  <c r="K120" i="31"/>
  <c r="M120" i="31"/>
  <c r="O120" i="31"/>
  <c r="S120" i="31"/>
  <c r="U120" i="31"/>
  <c r="W120" i="31"/>
  <c r="Y120" i="31"/>
  <c r="AA120" i="31"/>
  <c r="AC120" i="31"/>
  <c r="C121" i="31"/>
  <c r="E121" i="31"/>
  <c r="G121" i="31"/>
  <c r="I121" i="31"/>
  <c r="K121" i="31"/>
  <c r="M121" i="31"/>
  <c r="O121" i="31"/>
  <c r="S121" i="31"/>
  <c r="U121" i="31"/>
  <c r="W121" i="31"/>
  <c r="Y121" i="31"/>
  <c r="AA121" i="31"/>
  <c r="AC121" i="31"/>
  <c r="C122" i="31"/>
  <c r="E122" i="31"/>
  <c r="G122" i="31"/>
  <c r="I122" i="31"/>
  <c r="K122" i="31"/>
  <c r="M122" i="31"/>
  <c r="O122" i="31"/>
  <c r="S122" i="31"/>
  <c r="U122" i="31"/>
  <c r="W122" i="31"/>
  <c r="Y122" i="31"/>
  <c r="AA122" i="31"/>
  <c r="AC122" i="31"/>
  <c r="C123" i="31"/>
  <c r="E123" i="31"/>
  <c r="G123" i="31"/>
  <c r="I123" i="31"/>
  <c r="K123" i="31"/>
  <c r="M123" i="31"/>
  <c r="O123" i="31"/>
  <c r="S123" i="31"/>
  <c r="U123" i="31"/>
  <c r="W123" i="31"/>
  <c r="Y123" i="31"/>
  <c r="AA123" i="31"/>
  <c r="AC123" i="31"/>
  <c r="C124" i="31"/>
  <c r="E124" i="31"/>
  <c r="G124" i="31"/>
  <c r="I124" i="31"/>
  <c r="K124" i="31"/>
  <c r="M124" i="31"/>
  <c r="O124" i="31"/>
  <c r="S124" i="31"/>
  <c r="U124" i="31"/>
  <c r="W124" i="31"/>
  <c r="Y124" i="31"/>
  <c r="AA124" i="31"/>
  <c r="AC124" i="31"/>
  <c r="C125" i="31"/>
  <c r="E125" i="31"/>
  <c r="G125" i="31"/>
  <c r="I125" i="31"/>
  <c r="K125" i="31"/>
  <c r="M125" i="31"/>
  <c r="O125" i="31"/>
  <c r="S125" i="31"/>
  <c r="U125" i="31"/>
  <c r="W125" i="31"/>
  <c r="Y125" i="31"/>
  <c r="AA125" i="31"/>
  <c r="AC125" i="31"/>
  <c r="C126" i="31"/>
  <c r="E126" i="31"/>
  <c r="G126" i="31"/>
  <c r="I126" i="31"/>
  <c r="K126" i="31"/>
  <c r="M126" i="31"/>
  <c r="O126" i="31"/>
  <c r="S126" i="31"/>
  <c r="U126" i="31"/>
  <c r="W126" i="31"/>
  <c r="Y126" i="31"/>
  <c r="AA126" i="31"/>
  <c r="AC126" i="31"/>
  <c r="C127" i="31"/>
  <c r="E127" i="31"/>
  <c r="G127" i="31"/>
  <c r="I127" i="31"/>
  <c r="K127" i="31"/>
  <c r="M127" i="31"/>
  <c r="O127" i="31"/>
  <c r="S127" i="31"/>
  <c r="U127" i="31"/>
  <c r="W127" i="31"/>
  <c r="Y127" i="31"/>
  <c r="AA127" i="31"/>
  <c r="AC127" i="31"/>
  <c r="C128" i="31"/>
  <c r="E128" i="31"/>
  <c r="G128" i="31"/>
  <c r="I128" i="31"/>
  <c r="K128" i="31"/>
  <c r="M128" i="31"/>
  <c r="O128" i="31"/>
  <c r="S128" i="31"/>
  <c r="U128" i="31"/>
  <c r="W128" i="31"/>
  <c r="Y128" i="31"/>
  <c r="AA128" i="31"/>
  <c r="AC128" i="31"/>
  <c r="C129" i="31"/>
  <c r="E129" i="31"/>
  <c r="G129" i="31"/>
  <c r="I129" i="31"/>
  <c r="K129" i="31"/>
  <c r="M129" i="31"/>
  <c r="O129" i="31"/>
  <c r="S129" i="31"/>
  <c r="U129" i="31"/>
  <c r="W129" i="31"/>
  <c r="Y129" i="31"/>
  <c r="AA129" i="31"/>
  <c r="AC129" i="31"/>
  <c r="C130" i="31"/>
  <c r="E130" i="31"/>
  <c r="G130" i="31"/>
  <c r="I130" i="31"/>
  <c r="K130" i="31"/>
  <c r="M130" i="31"/>
  <c r="O130" i="31"/>
  <c r="S130" i="31"/>
  <c r="U130" i="31"/>
  <c r="W130" i="31"/>
  <c r="Y130" i="31"/>
  <c r="AA130" i="31"/>
  <c r="AC130" i="31"/>
  <c r="C131" i="31"/>
  <c r="E131" i="31"/>
  <c r="G131" i="31"/>
  <c r="I131" i="31"/>
  <c r="K131" i="31"/>
  <c r="M131" i="31"/>
  <c r="O131" i="31"/>
  <c r="S131" i="31"/>
  <c r="U131" i="31"/>
  <c r="W131" i="31"/>
  <c r="Y131" i="31"/>
  <c r="AA131" i="31"/>
  <c r="AC131" i="31"/>
  <c r="C132" i="31"/>
  <c r="E132" i="31"/>
  <c r="G132" i="31"/>
  <c r="I132" i="31"/>
  <c r="K132" i="31"/>
  <c r="M132" i="31"/>
  <c r="O132" i="31"/>
  <c r="S132" i="31"/>
  <c r="U132" i="31"/>
  <c r="W132" i="31"/>
  <c r="Y132" i="31"/>
  <c r="AA132" i="31"/>
  <c r="AC132" i="31"/>
  <c r="C133" i="31"/>
  <c r="E133" i="31"/>
  <c r="G133" i="31"/>
  <c r="I133" i="31"/>
  <c r="K133" i="31"/>
  <c r="M133" i="31"/>
  <c r="O133" i="31"/>
  <c r="S133" i="31"/>
  <c r="U133" i="31"/>
  <c r="W133" i="31"/>
  <c r="Y133" i="31"/>
  <c r="AA133" i="31"/>
  <c r="AC133" i="31"/>
  <c r="C134" i="31"/>
  <c r="E134" i="31"/>
  <c r="G134" i="31"/>
  <c r="I134" i="31"/>
  <c r="K134" i="31"/>
  <c r="M134" i="31"/>
  <c r="O134" i="31"/>
  <c r="S134" i="31"/>
  <c r="U134" i="31"/>
  <c r="W134" i="31"/>
  <c r="Y134" i="31"/>
  <c r="AA134" i="31"/>
  <c r="AC134" i="31"/>
  <c r="C135" i="31"/>
  <c r="E135" i="31"/>
  <c r="G135" i="31"/>
  <c r="I135" i="31"/>
  <c r="K135" i="31"/>
  <c r="M135" i="31"/>
  <c r="O135" i="31"/>
  <c r="S135" i="31"/>
  <c r="U135" i="31"/>
  <c r="W135" i="31"/>
  <c r="Y135" i="31"/>
  <c r="AA135" i="31"/>
  <c r="AC135" i="31"/>
  <c r="C136" i="31"/>
  <c r="E136" i="31"/>
  <c r="G136" i="31"/>
  <c r="I136" i="31"/>
  <c r="K136" i="31"/>
  <c r="M136" i="31"/>
  <c r="O136" i="31"/>
  <c r="S136" i="31"/>
  <c r="U136" i="31"/>
  <c r="W136" i="31"/>
  <c r="Y136" i="31"/>
  <c r="AA136" i="31"/>
  <c r="AC136" i="31"/>
  <c r="C137" i="31"/>
  <c r="E137" i="31"/>
  <c r="G137" i="31"/>
  <c r="I137" i="31"/>
  <c r="K137" i="31"/>
  <c r="M137" i="31"/>
  <c r="O137" i="31"/>
  <c r="S137" i="31"/>
  <c r="U137" i="31"/>
  <c r="W137" i="31"/>
  <c r="Y137" i="31"/>
  <c r="AA137" i="31"/>
  <c r="AC137" i="31"/>
  <c r="C138" i="31"/>
  <c r="E138" i="31"/>
  <c r="G138" i="31"/>
  <c r="I138" i="31"/>
  <c r="K138" i="31"/>
  <c r="M138" i="31"/>
  <c r="O138" i="31"/>
  <c r="S138" i="31"/>
  <c r="U138" i="31"/>
  <c r="W138" i="31"/>
  <c r="Y138" i="31"/>
  <c r="AA138" i="31"/>
  <c r="AC138" i="31"/>
  <c r="C139" i="31"/>
  <c r="E139" i="31"/>
  <c r="G139" i="31"/>
  <c r="I139" i="31"/>
  <c r="K139" i="31"/>
  <c r="M139" i="31"/>
  <c r="O139" i="31"/>
  <c r="S139" i="31"/>
  <c r="U139" i="31"/>
  <c r="W139" i="31"/>
  <c r="Y139" i="31"/>
  <c r="AA139" i="31"/>
  <c r="AC139" i="31"/>
  <c r="C140" i="31"/>
  <c r="E140" i="31"/>
  <c r="G140" i="31"/>
  <c r="I140" i="31"/>
  <c r="K140" i="31"/>
  <c r="M140" i="31"/>
  <c r="O140" i="31"/>
  <c r="S140" i="31"/>
  <c r="U140" i="31"/>
  <c r="W140" i="31"/>
  <c r="Y140" i="31"/>
  <c r="AA140" i="31"/>
  <c r="AC140" i="31"/>
  <c r="C141" i="31"/>
  <c r="E141" i="31"/>
  <c r="G141" i="31"/>
  <c r="I141" i="31"/>
  <c r="K141" i="31"/>
  <c r="M141" i="31"/>
  <c r="O141" i="31"/>
  <c r="S141" i="31"/>
  <c r="U141" i="31"/>
  <c r="W141" i="31"/>
  <c r="Y141" i="31"/>
  <c r="AA141" i="31"/>
  <c r="AC141" i="31"/>
  <c r="C142" i="31"/>
  <c r="E142" i="31"/>
  <c r="G142" i="31"/>
  <c r="I142" i="31"/>
  <c r="K142" i="31"/>
  <c r="M142" i="31"/>
  <c r="O142" i="31"/>
  <c r="S142" i="31"/>
  <c r="U142" i="31"/>
  <c r="W142" i="31"/>
  <c r="Y142" i="31"/>
  <c r="AA142" i="31"/>
  <c r="AC142" i="31"/>
  <c r="C143" i="31"/>
  <c r="E143" i="31"/>
  <c r="G143" i="31"/>
  <c r="I143" i="31"/>
  <c r="K143" i="31"/>
  <c r="M143" i="31"/>
  <c r="O143" i="31"/>
  <c r="S143" i="31"/>
  <c r="U143" i="31"/>
  <c r="W143" i="31"/>
  <c r="Y143" i="31"/>
  <c r="AA143" i="31"/>
  <c r="AC143" i="31"/>
  <c r="C144" i="31"/>
  <c r="E144" i="31"/>
  <c r="G144" i="31"/>
  <c r="I144" i="31"/>
  <c r="K144" i="31"/>
  <c r="M144" i="31"/>
  <c r="O144" i="31"/>
  <c r="S144" i="31"/>
  <c r="U144" i="31"/>
  <c r="W144" i="31"/>
  <c r="Y144" i="31"/>
  <c r="AA144" i="31"/>
  <c r="AC144" i="31"/>
  <c r="C145" i="31"/>
  <c r="E145" i="31"/>
  <c r="G145" i="31"/>
  <c r="I145" i="31"/>
  <c r="K145" i="31"/>
  <c r="M145" i="31"/>
  <c r="O145" i="31"/>
  <c r="S145" i="31"/>
  <c r="U145" i="31"/>
  <c r="W145" i="31"/>
  <c r="Y145" i="31"/>
  <c r="AA145" i="31"/>
  <c r="AC145" i="31"/>
  <c r="C146" i="31"/>
  <c r="E146" i="31"/>
  <c r="G146" i="31"/>
  <c r="I146" i="31"/>
  <c r="K146" i="31"/>
  <c r="M146" i="31"/>
  <c r="O146" i="31"/>
  <c r="S146" i="31"/>
  <c r="U146" i="31"/>
  <c r="W146" i="31"/>
  <c r="Y146" i="31"/>
  <c r="AA146" i="31"/>
  <c r="AC146" i="31"/>
  <c r="C147" i="31"/>
  <c r="E147" i="31"/>
  <c r="G147" i="31"/>
  <c r="I147" i="31"/>
  <c r="K147" i="31"/>
  <c r="M147" i="31"/>
  <c r="O147" i="31"/>
  <c r="S147" i="31"/>
  <c r="U147" i="31"/>
  <c r="W147" i="31"/>
  <c r="Y147" i="31"/>
  <c r="AA147" i="31"/>
  <c r="AC147" i="31"/>
  <c r="C148" i="31"/>
  <c r="E148" i="31"/>
  <c r="G148" i="31"/>
  <c r="I148" i="31"/>
  <c r="K148" i="31"/>
  <c r="M148" i="31"/>
  <c r="O148" i="31"/>
  <c r="S148" i="31"/>
  <c r="U148" i="31"/>
  <c r="W148" i="31"/>
  <c r="Y148" i="31"/>
  <c r="AA148" i="31"/>
  <c r="AC148" i="31"/>
  <c r="C149" i="31"/>
  <c r="E149" i="31"/>
  <c r="G149" i="31"/>
  <c r="I149" i="31"/>
  <c r="K149" i="31"/>
  <c r="M149" i="31"/>
  <c r="O149" i="31"/>
  <c r="S149" i="31"/>
  <c r="U149" i="31"/>
  <c r="W149" i="31"/>
  <c r="Y149" i="31"/>
  <c r="AA149" i="31"/>
  <c r="AC149" i="31"/>
  <c r="AD149" i="31"/>
  <c r="AH149" i="31"/>
  <c r="C150" i="31"/>
  <c r="E150" i="31"/>
  <c r="G150" i="31"/>
  <c r="I150" i="31"/>
  <c r="K150" i="31"/>
  <c r="O150" i="31"/>
  <c r="Q150" i="31"/>
  <c r="S150" i="31"/>
  <c r="U150" i="31"/>
  <c r="W150" i="31"/>
  <c r="Y150" i="31"/>
  <c r="AA150" i="31"/>
  <c r="AC150" i="31"/>
  <c r="C151" i="31"/>
  <c r="E151" i="31"/>
  <c r="G151" i="31"/>
  <c r="I151" i="31"/>
  <c r="K151" i="31"/>
  <c r="O151" i="31"/>
  <c r="Q151" i="31"/>
  <c r="S151" i="31"/>
  <c r="U151" i="31"/>
  <c r="W151" i="31"/>
  <c r="Y151" i="31"/>
  <c r="AA151" i="31"/>
  <c r="AC151" i="31"/>
  <c r="C152" i="31"/>
  <c r="E152" i="31"/>
  <c r="G152" i="31"/>
  <c r="I152" i="31"/>
  <c r="K152" i="31"/>
  <c r="O152" i="31"/>
  <c r="Q152" i="31"/>
  <c r="S152" i="31"/>
  <c r="U152" i="31"/>
  <c r="W152" i="31"/>
  <c r="Y152" i="31"/>
  <c r="AA152" i="31"/>
  <c r="AC152" i="31"/>
  <c r="C153" i="31"/>
  <c r="E153" i="31"/>
  <c r="G153" i="31"/>
  <c r="I153" i="31"/>
  <c r="K153" i="31"/>
  <c r="O153" i="31"/>
  <c r="Q153" i="31"/>
  <c r="S153" i="31"/>
  <c r="U153" i="31"/>
  <c r="W153" i="31"/>
  <c r="Y153" i="31"/>
  <c r="AA153" i="31"/>
  <c r="AC153" i="31"/>
  <c r="C154" i="31"/>
  <c r="E154" i="31"/>
  <c r="G154" i="31"/>
  <c r="I154" i="31"/>
  <c r="K154" i="31"/>
  <c r="O154" i="31"/>
  <c r="Q154" i="31"/>
  <c r="S154" i="31"/>
  <c r="U154" i="31"/>
  <c r="W154" i="31"/>
  <c r="Y154" i="31"/>
  <c r="AA154" i="31"/>
  <c r="AC154" i="31"/>
  <c r="C155" i="31"/>
  <c r="E155" i="31"/>
  <c r="G155" i="31"/>
  <c r="I155" i="31"/>
  <c r="K155" i="31"/>
  <c r="O155" i="31"/>
  <c r="Q155" i="31"/>
  <c r="S155" i="31"/>
  <c r="U155" i="31"/>
  <c r="W155" i="31"/>
  <c r="Y155" i="31"/>
  <c r="AA155" i="31"/>
  <c r="AC155" i="31"/>
  <c r="C156" i="31"/>
  <c r="E156" i="31"/>
  <c r="G156" i="31"/>
  <c r="I156" i="31"/>
  <c r="K156" i="31"/>
  <c r="O156" i="31"/>
  <c r="Q156" i="31"/>
  <c r="S156" i="31"/>
  <c r="U156" i="31"/>
  <c r="W156" i="31"/>
  <c r="Y156" i="31"/>
  <c r="AA156" i="31"/>
  <c r="AC156" i="31"/>
  <c r="C157" i="31"/>
  <c r="E157" i="31"/>
  <c r="G157" i="31"/>
  <c r="I157" i="31"/>
  <c r="K157" i="31"/>
  <c r="O157" i="31"/>
  <c r="Q157" i="31"/>
  <c r="S157" i="31"/>
  <c r="U157" i="31"/>
  <c r="W157" i="31"/>
  <c r="Y157" i="31"/>
  <c r="AA157" i="31"/>
  <c r="AC157" i="31"/>
  <c r="C158" i="31"/>
  <c r="E158" i="31"/>
  <c r="G158" i="31"/>
  <c r="I158" i="31"/>
  <c r="K158" i="31"/>
  <c r="O158" i="31"/>
  <c r="Q158" i="31"/>
  <c r="S158" i="31"/>
  <c r="U158" i="31"/>
  <c r="W158" i="31"/>
  <c r="Y158" i="31"/>
  <c r="AA158" i="31"/>
  <c r="AC158" i="31"/>
  <c r="C159" i="31"/>
  <c r="E159" i="31"/>
  <c r="G159" i="31"/>
  <c r="I159" i="31"/>
  <c r="K159" i="31"/>
  <c r="O159" i="31"/>
  <c r="Q159" i="31"/>
  <c r="S159" i="31"/>
  <c r="U159" i="31"/>
  <c r="W159" i="31"/>
  <c r="Y159" i="31"/>
  <c r="AA159" i="31"/>
  <c r="AC159" i="31"/>
  <c r="C160" i="31"/>
  <c r="E160" i="31"/>
  <c r="G160" i="31"/>
  <c r="I160" i="31"/>
  <c r="K160" i="31"/>
  <c r="O160" i="31"/>
  <c r="Q160" i="31"/>
  <c r="S160" i="31"/>
  <c r="U160" i="31"/>
  <c r="W160" i="31"/>
  <c r="Y160" i="31"/>
  <c r="AA160" i="31"/>
  <c r="AC160" i="31"/>
  <c r="C161" i="31"/>
  <c r="E161" i="31"/>
  <c r="G161" i="31"/>
  <c r="I161" i="31"/>
  <c r="K161" i="31"/>
  <c r="O161" i="31"/>
  <c r="Q161" i="31"/>
  <c r="S161" i="31"/>
  <c r="U161" i="31"/>
  <c r="W161" i="31"/>
  <c r="Y161" i="31"/>
  <c r="AA161" i="31"/>
  <c r="AC161" i="31"/>
  <c r="C162" i="31"/>
  <c r="E162" i="31"/>
  <c r="G162" i="31"/>
  <c r="I162" i="31"/>
  <c r="K162" i="31"/>
  <c r="O162" i="31"/>
  <c r="Q162" i="31"/>
  <c r="S162" i="31"/>
  <c r="U162" i="31"/>
  <c r="W162" i="31"/>
  <c r="Y162" i="31"/>
  <c r="AA162" i="31"/>
  <c r="AC162" i="31"/>
  <c r="C163" i="31"/>
  <c r="E163" i="31"/>
  <c r="G163" i="31"/>
  <c r="I163" i="31"/>
  <c r="K163" i="31"/>
  <c r="O163" i="31"/>
  <c r="Q163" i="31"/>
  <c r="S163" i="31"/>
  <c r="U163" i="31"/>
  <c r="W163" i="31"/>
  <c r="Y163" i="31"/>
  <c r="AA163" i="31"/>
  <c r="AC163" i="31"/>
  <c r="C164" i="31"/>
  <c r="E164" i="31"/>
  <c r="G164" i="31"/>
  <c r="I164" i="31"/>
  <c r="K164" i="31"/>
  <c r="O164" i="31"/>
  <c r="Q164" i="31"/>
  <c r="S164" i="31"/>
  <c r="U164" i="31"/>
  <c r="W164" i="31"/>
  <c r="Y164" i="31"/>
  <c r="AA164" i="31"/>
  <c r="AC164" i="31"/>
  <c r="C165" i="31"/>
  <c r="E165" i="31"/>
  <c r="G165" i="31"/>
  <c r="I165" i="31"/>
  <c r="K165" i="31"/>
  <c r="O165" i="31"/>
  <c r="Q165" i="31"/>
  <c r="S165" i="31"/>
  <c r="U165" i="31"/>
  <c r="W165" i="31"/>
  <c r="Y165" i="31"/>
  <c r="AA165" i="31"/>
  <c r="AC165" i="31"/>
  <c r="C166" i="31"/>
  <c r="E166" i="31"/>
  <c r="G166" i="31"/>
  <c r="I166" i="31"/>
  <c r="K166" i="31"/>
  <c r="O166" i="31"/>
  <c r="Q166" i="31"/>
  <c r="S166" i="31"/>
  <c r="U166" i="31"/>
  <c r="W166" i="31"/>
  <c r="Y166" i="31"/>
  <c r="AA166" i="31"/>
  <c r="AC166" i="31"/>
  <c r="C167" i="31"/>
  <c r="E167" i="31"/>
  <c r="G167" i="31"/>
  <c r="I167" i="31"/>
  <c r="K167" i="31"/>
  <c r="O167" i="31"/>
  <c r="Q167" i="31"/>
  <c r="S167" i="31"/>
  <c r="U167" i="31"/>
  <c r="W167" i="31"/>
  <c r="Y167" i="31"/>
  <c r="AA167" i="31"/>
  <c r="AC167" i="31"/>
  <c r="C168" i="31"/>
  <c r="E168" i="31"/>
  <c r="G168" i="31"/>
  <c r="I168" i="31"/>
  <c r="K168" i="31"/>
  <c r="O168" i="31"/>
  <c r="Q168" i="31"/>
  <c r="S168" i="31"/>
  <c r="U168" i="31"/>
  <c r="W168" i="31"/>
  <c r="Y168" i="31"/>
  <c r="AA168" i="31"/>
  <c r="AC168" i="31"/>
  <c r="C169" i="31"/>
  <c r="E169" i="31"/>
  <c r="G169" i="31"/>
  <c r="I169" i="31"/>
  <c r="K169" i="31"/>
  <c r="O169" i="31"/>
  <c r="Q169" i="31"/>
  <c r="S169" i="31"/>
  <c r="U169" i="31"/>
  <c r="W169" i="31"/>
  <c r="Y169" i="31"/>
  <c r="AA169" i="31"/>
  <c r="AC169" i="31"/>
  <c r="C170" i="31"/>
  <c r="E170" i="31"/>
  <c r="G170" i="31"/>
  <c r="I170" i="31"/>
  <c r="K170" i="31"/>
  <c r="O170" i="31"/>
  <c r="Q170" i="31"/>
  <c r="S170" i="31"/>
  <c r="U170" i="31"/>
  <c r="W170" i="31"/>
  <c r="Y170" i="31"/>
  <c r="AA170" i="31"/>
  <c r="AC170" i="31"/>
  <c r="C171" i="31"/>
  <c r="E171" i="31"/>
  <c r="G171" i="31"/>
  <c r="I171" i="31"/>
  <c r="K171" i="31"/>
  <c r="O171" i="31"/>
  <c r="Q171" i="31"/>
  <c r="S171" i="31"/>
  <c r="U171" i="31"/>
  <c r="W171" i="31"/>
  <c r="Y171" i="31"/>
  <c r="AA171" i="31"/>
  <c r="AC171" i="31"/>
  <c r="C172" i="31"/>
  <c r="E172" i="31"/>
  <c r="G172" i="31"/>
  <c r="I172" i="31"/>
  <c r="K172" i="31"/>
  <c r="O172" i="31"/>
  <c r="Q172" i="31"/>
  <c r="S172" i="31"/>
  <c r="U172" i="31"/>
  <c r="W172" i="31"/>
  <c r="Y172" i="31"/>
  <c r="AA172" i="31"/>
  <c r="AC172" i="31"/>
  <c r="C173" i="31"/>
  <c r="E173" i="31"/>
  <c r="G173" i="31"/>
  <c r="I173" i="31"/>
  <c r="K173" i="31"/>
  <c r="O173" i="31"/>
  <c r="Q173" i="31"/>
  <c r="S173" i="31"/>
  <c r="U173" i="31"/>
  <c r="W173" i="31"/>
  <c r="Y173" i="31"/>
  <c r="AA173" i="31"/>
  <c r="AC173" i="31"/>
  <c r="C174" i="31"/>
  <c r="E174" i="31"/>
  <c r="G174" i="31"/>
  <c r="I174" i="31"/>
  <c r="K174" i="31"/>
  <c r="O174" i="31"/>
  <c r="Q174" i="31"/>
  <c r="S174" i="31"/>
  <c r="U174" i="31"/>
  <c r="W174" i="31"/>
  <c r="Y174" i="31"/>
  <c r="AA174" i="31"/>
  <c r="AC174" i="31"/>
  <c r="C175" i="31"/>
  <c r="E175" i="31"/>
  <c r="G175" i="31"/>
  <c r="I175" i="31"/>
  <c r="K175" i="31"/>
  <c r="O175" i="31"/>
  <c r="Q175" i="31"/>
  <c r="S175" i="31"/>
  <c r="U175" i="31"/>
  <c r="W175" i="31"/>
  <c r="Y175" i="31"/>
  <c r="AA175" i="31"/>
  <c r="AC175" i="31"/>
  <c r="C176" i="31"/>
  <c r="E176" i="31"/>
  <c r="G176" i="31"/>
  <c r="I176" i="31"/>
  <c r="K176" i="31"/>
  <c r="O176" i="31"/>
  <c r="Q176" i="31"/>
  <c r="S176" i="31"/>
  <c r="U176" i="31"/>
  <c r="W176" i="31"/>
  <c r="Y176" i="31"/>
  <c r="AA176" i="31"/>
  <c r="AC176" i="31"/>
  <c r="C177" i="31"/>
  <c r="E177" i="31"/>
  <c r="G177" i="31"/>
  <c r="I177" i="31"/>
  <c r="K177" i="31"/>
  <c r="O177" i="31"/>
  <c r="Q177" i="31"/>
  <c r="S177" i="31"/>
  <c r="U177" i="31"/>
  <c r="W177" i="31"/>
  <c r="Y177" i="31"/>
  <c r="AA177" i="31"/>
  <c r="AC177" i="31"/>
  <c r="C178" i="31"/>
  <c r="E178" i="31"/>
  <c r="G178" i="31"/>
  <c r="I178" i="31"/>
  <c r="K178" i="31"/>
  <c r="O178" i="31"/>
  <c r="Q178" i="31"/>
  <c r="S178" i="31"/>
  <c r="U178" i="31"/>
  <c r="W178" i="31"/>
  <c r="Y178" i="31"/>
  <c r="AA178" i="31"/>
  <c r="AC178" i="31"/>
  <c r="C179" i="31"/>
  <c r="E179" i="31"/>
  <c r="G179" i="31"/>
  <c r="I179" i="31"/>
  <c r="K179" i="31"/>
  <c r="O179" i="31"/>
  <c r="Q179" i="31"/>
  <c r="S179" i="31"/>
  <c r="U179" i="31"/>
  <c r="W179" i="31"/>
  <c r="Y179" i="31"/>
  <c r="AA179" i="31"/>
  <c r="AC179" i="31"/>
  <c r="C180" i="31"/>
  <c r="E180" i="31"/>
  <c r="G180" i="31"/>
  <c r="I180" i="31"/>
  <c r="K180" i="31"/>
  <c r="O180" i="31"/>
  <c r="Q180" i="31"/>
  <c r="S180" i="31"/>
  <c r="U180" i="31"/>
  <c r="W180" i="31"/>
  <c r="Y180" i="31"/>
  <c r="AA180" i="31"/>
  <c r="AC180" i="31"/>
  <c r="C181" i="31"/>
  <c r="E181" i="31"/>
  <c r="G181" i="31"/>
  <c r="I181" i="31"/>
  <c r="K181" i="31"/>
  <c r="O181" i="31"/>
  <c r="Q181" i="31"/>
  <c r="S181" i="31"/>
  <c r="U181" i="31"/>
  <c r="W181" i="31"/>
  <c r="Y181" i="31"/>
  <c r="AA181" i="31"/>
  <c r="AC181" i="31"/>
  <c r="C182" i="31"/>
  <c r="E182" i="31"/>
  <c r="G182" i="31"/>
  <c r="I182" i="31"/>
  <c r="K182" i="31"/>
  <c r="O182" i="31"/>
  <c r="Q182" i="31"/>
  <c r="S182" i="31"/>
  <c r="U182" i="31"/>
  <c r="W182" i="31"/>
  <c r="Y182" i="31"/>
  <c r="AA182" i="31"/>
  <c r="AC182" i="31"/>
  <c r="C183" i="31"/>
  <c r="E183" i="31"/>
  <c r="G183" i="31"/>
  <c r="I183" i="31"/>
  <c r="K183" i="31"/>
  <c r="O183" i="31"/>
  <c r="Q183" i="31"/>
  <c r="S183" i="31"/>
  <c r="U183" i="31"/>
  <c r="W183" i="31"/>
  <c r="Y183" i="31"/>
  <c r="AA183" i="31"/>
  <c r="AC183" i="31"/>
  <c r="C184" i="31"/>
  <c r="E184" i="31"/>
  <c r="G184" i="31"/>
  <c r="I184" i="31"/>
  <c r="K184" i="31"/>
  <c r="M184" i="31"/>
  <c r="O184" i="31"/>
  <c r="Q184" i="31"/>
  <c r="S184" i="31"/>
  <c r="U184" i="31"/>
  <c r="W184" i="31"/>
  <c r="Y184" i="31"/>
  <c r="AA184" i="31"/>
  <c r="AC184" i="31"/>
  <c r="AD184" i="31"/>
  <c r="AH184" i="31"/>
  <c r="C185" i="31"/>
  <c r="E185" i="31"/>
  <c r="G185" i="31"/>
  <c r="I185" i="31"/>
  <c r="K185" i="31"/>
  <c r="M185" i="31"/>
  <c r="O185" i="31"/>
  <c r="Q185" i="31"/>
  <c r="S185" i="31"/>
  <c r="U185" i="31"/>
  <c r="W185" i="31"/>
  <c r="Y185" i="31"/>
  <c r="AA185" i="31"/>
  <c r="AC185" i="31"/>
  <c r="C186" i="31"/>
  <c r="E186" i="31"/>
  <c r="G186" i="31"/>
  <c r="I186" i="31"/>
  <c r="K186" i="31"/>
  <c r="M186" i="31"/>
  <c r="O186" i="31"/>
  <c r="Q186" i="31"/>
  <c r="S186" i="31"/>
  <c r="U186" i="31"/>
  <c r="W186" i="31"/>
  <c r="Y186" i="31"/>
  <c r="AA186" i="31"/>
  <c r="AC186" i="31"/>
  <c r="C187" i="31"/>
  <c r="E187" i="31"/>
  <c r="G187" i="31"/>
  <c r="I187" i="31"/>
  <c r="K187" i="31"/>
  <c r="M187" i="31"/>
  <c r="O187" i="31"/>
  <c r="Q187" i="31"/>
  <c r="S187" i="31"/>
  <c r="U187" i="31"/>
  <c r="W187" i="31"/>
  <c r="Y187" i="31"/>
  <c r="AA187" i="31"/>
  <c r="AC187" i="31"/>
  <c r="C188" i="31"/>
  <c r="E188" i="31"/>
  <c r="G188" i="31"/>
  <c r="I188" i="31"/>
  <c r="K188" i="31"/>
  <c r="M188" i="31"/>
  <c r="O188" i="31"/>
  <c r="Q188" i="31"/>
  <c r="S188" i="31"/>
  <c r="U188" i="31"/>
  <c r="W188" i="31"/>
  <c r="Y188" i="31"/>
  <c r="AA188" i="31"/>
  <c r="AC188" i="31"/>
  <c r="C189" i="31"/>
  <c r="E189" i="31"/>
  <c r="G189" i="31"/>
  <c r="I189" i="31"/>
  <c r="K189" i="31"/>
  <c r="M189" i="31"/>
  <c r="O189" i="31"/>
  <c r="Q189" i="31"/>
  <c r="S189" i="31"/>
  <c r="U189" i="31"/>
  <c r="W189" i="31"/>
  <c r="Y189" i="31"/>
  <c r="AA189" i="31"/>
  <c r="AC189" i="31"/>
  <c r="C190" i="31"/>
  <c r="E190" i="31"/>
  <c r="G190" i="31"/>
  <c r="I190" i="31"/>
  <c r="K190" i="31"/>
  <c r="M190" i="31"/>
  <c r="O190" i="31"/>
  <c r="Q190" i="31"/>
  <c r="S190" i="31"/>
  <c r="U190" i="31"/>
  <c r="W190" i="31"/>
  <c r="Y190" i="31"/>
  <c r="AA190" i="31"/>
  <c r="AC190" i="31"/>
  <c r="C191" i="31"/>
  <c r="E191" i="31"/>
  <c r="G191" i="31"/>
  <c r="I191" i="31"/>
  <c r="K191" i="31"/>
  <c r="M191" i="31"/>
  <c r="O191" i="31"/>
  <c r="Q191" i="31"/>
  <c r="S191" i="31"/>
  <c r="U191" i="31"/>
  <c r="W191" i="31"/>
  <c r="Y191" i="31"/>
  <c r="AA191" i="31"/>
  <c r="AC191" i="31"/>
  <c r="C192" i="31"/>
  <c r="E192" i="31"/>
  <c r="G192" i="31"/>
  <c r="I192" i="31"/>
  <c r="K192" i="31"/>
  <c r="M192" i="31"/>
  <c r="O192" i="31"/>
  <c r="Q192" i="31"/>
  <c r="S192" i="31"/>
  <c r="U192" i="31"/>
  <c r="W192" i="31"/>
  <c r="Y192" i="31"/>
  <c r="AA192" i="31"/>
  <c r="AC192" i="31"/>
  <c r="C193" i="31"/>
  <c r="E193" i="31"/>
  <c r="G193" i="31"/>
  <c r="I193" i="31"/>
  <c r="K193" i="31"/>
  <c r="M193" i="31"/>
  <c r="O193" i="31"/>
  <c r="Q193" i="31"/>
  <c r="S193" i="31"/>
  <c r="U193" i="31"/>
  <c r="W193" i="31"/>
  <c r="Y193" i="31"/>
  <c r="AA193" i="31"/>
  <c r="AC193" i="31"/>
  <c r="C194" i="31"/>
  <c r="E194" i="31"/>
  <c r="G194" i="31"/>
  <c r="I194" i="31"/>
  <c r="K194" i="31"/>
  <c r="M194" i="31"/>
  <c r="O194" i="31"/>
  <c r="Q194" i="31"/>
  <c r="S194" i="31"/>
  <c r="U194" i="31"/>
  <c r="W194" i="31"/>
  <c r="Y194" i="31"/>
  <c r="AA194" i="31"/>
  <c r="AC194" i="31"/>
  <c r="C195" i="31"/>
  <c r="E195" i="31"/>
  <c r="G195" i="31"/>
  <c r="I195" i="31"/>
  <c r="K195" i="31"/>
  <c r="M195" i="31"/>
  <c r="O195" i="31"/>
  <c r="Q195" i="31"/>
  <c r="S195" i="31"/>
  <c r="U195" i="31"/>
  <c r="W195" i="31"/>
  <c r="Y195" i="31"/>
  <c r="AA195" i="31"/>
  <c r="AC195" i="31"/>
  <c r="C196" i="31"/>
  <c r="E196" i="31"/>
  <c r="G196" i="31"/>
  <c r="I196" i="31"/>
  <c r="K196" i="31"/>
  <c r="M196" i="31"/>
  <c r="O196" i="31"/>
  <c r="Q196" i="31"/>
  <c r="S196" i="31"/>
  <c r="U196" i="31"/>
  <c r="W196" i="31"/>
  <c r="Y196" i="31"/>
  <c r="AA196" i="31"/>
  <c r="AC196" i="31"/>
  <c r="C197" i="31"/>
  <c r="E197" i="31"/>
  <c r="G197" i="31"/>
  <c r="I197" i="31"/>
  <c r="K197" i="31"/>
  <c r="M197" i="31"/>
  <c r="O197" i="31"/>
  <c r="Q197" i="31"/>
  <c r="S197" i="31"/>
  <c r="U197" i="31"/>
  <c r="W197" i="31"/>
  <c r="Y197" i="31"/>
  <c r="AA197" i="31"/>
  <c r="AC197" i="31"/>
  <c r="C198" i="31"/>
  <c r="E198" i="31"/>
  <c r="G198" i="31"/>
  <c r="I198" i="31"/>
  <c r="K198" i="31"/>
  <c r="M198" i="31"/>
  <c r="O198" i="31"/>
  <c r="Q198" i="31"/>
  <c r="S198" i="31"/>
  <c r="U198" i="31"/>
  <c r="W198" i="31"/>
  <c r="Y198" i="31"/>
  <c r="AA198" i="31"/>
  <c r="AC198" i="31"/>
  <c r="C199" i="31"/>
  <c r="E199" i="31"/>
  <c r="G199" i="31"/>
  <c r="I199" i="31"/>
  <c r="K199" i="31"/>
  <c r="M199" i="31"/>
  <c r="O199" i="31"/>
  <c r="Q199" i="31"/>
  <c r="S199" i="31"/>
  <c r="U199" i="31"/>
  <c r="W199" i="31"/>
  <c r="Y199" i="31"/>
  <c r="AA199" i="31"/>
  <c r="AC199" i="31"/>
  <c r="C200" i="31"/>
  <c r="E200" i="31"/>
  <c r="G200" i="31"/>
  <c r="I200" i="31"/>
  <c r="K200" i="31"/>
  <c r="M200" i="31"/>
  <c r="O200" i="31"/>
  <c r="Q200" i="31"/>
  <c r="S200" i="31"/>
  <c r="U200" i="31"/>
  <c r="W200" i="31"/>
  <c r="Y200" i="31"/>
  <c r="AA200" i="31"/>
  <c r="AC200" i="31"/>
  <c r="C201" i="31"/>
  <c r="E201" i="31"/>
  <c r="G201" i="31"/>
  <c r="I201" i="31"/>
  <c r="K201" i="31"/>
  <c r="M201" i="31"/>
  <c r="O201" i="31"/>
  <c r="Q201" i="31"/>
  <c r="S201" i="31"/>
  <c r="U201" i="31"/>
  <c r="W201" i="31"/>
  <c r="Y201" i="31"/>
  <c r="AA201" i="31"/>
  <c r="AC201" i="31"/>
  <c r="C202" i="31"/>
  <c r="E202" i="31"/>
  <c r="G202" i="31"/>
  <c r="I202" i="31"/>
  <c r="K202" i="31"/>
  <c r="M202" i="31"/>
  <c r="O202" i="31"/>
  <c r="Q202" i="31"/>
  <c r="S202" i="31"/>
  <c r="U202" i="31"/>
  <c r="W202" i="31"/>
  <c r="Y202" i="31"/>
  <c r="AA202" i="31"/>
  <c r="AC202" i="31"/>
  <c r="C203" i="31"/>
  <c r="E203" i="31"/>
  <c r="G203" i="31"/>
  <c r="I203" i="31"/>
  <c r="K203" i="31"/>
  <c r="M203" i="31"/>
  <c r="O203" i="31"/>
  <c r="Q203" i="31"/>
  <c r="S203" i="31"/>
  <c r="U203" i="31"/>
  <c r="W203" i="31"/>
  <c r="Y203" i="31"/>
  <c r="AA203" i="31"/>
  <c r="AC203" i="31"/>
  <c r="C204" i="31"/>
  <c r="E204" i="31"/>
  <c r="G204" i="31"/>
  <c r="I204" i="31"/>
  <c r="K204" i="31"/>
  <c r="M204" i="31"/>
  <c r="O204" i="31"/>
  <c r="Q204" i="31"/>
  <c r="S204" i="31"/>
  <c r="U204" i="31"/>
  <c r="W204" i="31"/>
  <c r="Y204" i="31"/>
  <c r="AA204" i="31"/>
  <c r="AC204" i="31"/>
  <c r="C205" i="31"/>
  <c r="E205" i="31"/>
  <c r="G205" i="31"/>
  <c r="I205" i="31"/>
  <c r="K205" i="31"/>
  <c r="M205" i="31"/>
  <c r="O205" i="31"/>
  <c r="Q205" i="31"/>
  <c r="S205" i="31"/>
  <c r="U205" i="31"/>
  <c r="W205" i="31"/>
  <c r="Y205" i="31"/>
  <c r="AA205" i="31"/>
  <c r="AC205" i="31"/>
  <c r="C206" i="31"/>
  <c r="E206" i="31"/>
  <c r="G206" i="31"/>
  <c r="I206" i="31"/>
  <c r="K206" i="31"/>
  <c r="M206" i="31"/>
  <c r="O206" i="31"/>
  <c r="Q206" i="31"/>
  <c r="S206" i="31"/>
  <c r="U206" i="31"/>
  <c r="W206" i="31"/>
  <c r="Y206" i="31"/>
  <c r="AA206" i="31"/>
  <c r="AC206" i="31"/>
  <c r="C207" i="31"/>
  <c r="E207" i="31"/>
  <c r="G207" i="31"/>
  <c r="I207" i="31"/>
  <c r="K207" i="31"/>
  <c r="M207" i="31"/>
  <c r="O207" i="31"/>
  <c r="Q207" i="31"/>
  <c r="S207" i="31"/>
  <c r="U207" i="31"/>
  <c r="W207" i="31"/>
  <c r="Y207" i="31"/>
  <c r="AA207" i="31"/>
  <c r="AC207" i="31"/>
  <c r="C208" i="31"/>
  <c r="E208" i="31"/>
  <c r="G208" i="31"/>
  <c r="I208" i="31"/>
  <c r="K208" i="31"/>
  <c r="M208" i="31"/>
  <c r="O208" i="31"/>
  <c r="Q208" i="31"/>
  <c r="S208" i="31"/>
  <c r="U208" i="31"/>
  <c r="W208" i="31"/>
  <c r="Y208" i="31"/>
  <c r="AA208" i="31"/>
  <c r="AC208" i="31"/>
  <c r="C209" i="31"/>
  <c r="E209" i="31"/>
  <c r="G209" i="31"/>
  <c r="I209" i="31"/>
  <c r="K209" i="31"/>
  <c r="M209" i="31"/>
  <c r="O209" i="31"/>
  <c r="Q209" i="31"/>
  <c r="S209" i="31"/>
  <c r="U209" i="31"/>
  <c r="W209" i="31"/>
  <c r="Y209" i="31"/>
  <c r="AA209" i="31"/>
  <c r="AC209" i="31"/>
  <c r="C210" i="31"/>
  <c r="E210" i="31"/>
  <c r="G210" i="31"/>
  <c r="I210" i="31"/>
  <c r="K210" i="31"/>
  <c r="M210" i="31"/>
  <c r="O210" i="31"/>
  <c r="Q210" i="31"/>
  <c r="S210" i="31"/>
  <c r="U210" i="31"/>
  <c r="W210" i="31"/>
  <c r="Y210" i="31"/>
  <c r="AA210" i="31"/>
  <c r="AC210" i="31"/>
  <c r="C211" i="31"/>
  <c r="E211" i="31"/>
  <c r="G211" i="31"/>
  <c r="I211" i="31"/>
  <c r="K211" i="31"/>
  <c r="M211" i="31"/>
  <c r="O211" i="31"/>
  <c r="Q211" i="31"/>
  <c r="S211" i="31"/>
  <c r="U211" i="31"/>
  <c r="W211" i="31"/>
  <c r="Y211" i="31"/>
  <c r="AA211" i="31"/>
  <c r="AC211" i="31"/>
  <c r="C212" i="31"/>
  <c r="E212" i="31"/>
  <c r="G212" i="31"/>
  <c r="I212" i="31"/>
  <c r="K212" i="31"/>
  <c r="M212" i="31"/>
  <c r="O212" i="31"/>
  <c r="Q212" i="31"/>
  <c r="S212" i="31"/>
  <c r="U212" i="31"/>
  <c r="W212" i="31"/>
  <c r="Y212" i="31"/>
  <c r="AA212" i="31"/>
  <c r="AC212" i="31"/>
  <c r="C213" i="31"/>
  <c r="E213" i="31"/>
  <c r="G213" i="31"/>
  <c r="I213" i="31"/>
  <c r="K213" i="31"/>
  <c r="M213" i="31"/>
  <c r="O213" i="31"/>
  <c r="Q213" i="31"/>
  <c r="S213" i="31"/>
  <c r="U213" i="31"/>
  <c r="W213" i="31"/>
  <c r="Y213" i="31"/>
  <c r="AA213" i="31"/>
  <c r="AC213" i="31"/>
  <c r="C214" i="31"/>
  <c r="E214" i="31"/>
  <c r="G214" i="31"/>
  <c r="I214" i="31"/>
  <c r="K214" i="31"/>
  <c r="M214" i="31"/>
  <c r="O214" i="31"/>
  <c r="Q214" i="31"/>
  <c r="S214" i="31"/>
  <c r="U214" i="31"/>
  <c r="W214" i="31"/>
  <c r="Y214" i="31"/>
  <c r="AA214" i="31"/>
  <c r="AC214" i="31"/>
  <c r="C215" i="31"/>
  <c r="E215" i="31"/>
  <c r="G215" i="31"/>
  <c r="I215" i="31"/>
  <c r="K215" i="31"/>
  <c r="M215" i="31"/>
  <c r="O215" i="31"/>
  <c r="Q215" i="31"/>
  <c r="S215" i="31"/>
  <c r="U215" i="31"/>
  <c r="W215" i="31"/>
  <c r="Y215" i="31"/>
  <c r="AA215" i="31"/>
  <c r="AC215" i="31"/>
  <c r="C216" i="31"/>
  <c r="E216" i="31"/>
  <c r="G216" i="31"/>
  <c r="I216" i="31"/>
  <c r="K216" i="31"/>
  <c r="M216" i="31"/>
  <c r="O216" i="31"/>
  <c r="Q216" i="31"/>
  <c r="S216" i="31"/>
  <c r="U216" i="31"/>
  <c r="W216" i="31"/>
  <c r="Y216" i="31"/>
  <c r="AA216" i="31"/>
  <c r="AC216" i="31"/>
  <c r="C217" i="31"/>
  <c r="E217" i="31"/>
  <c r="G217" i="31"/>
  <c r="I217" i="31"/>
  <c r="K217" i="31"/>
  <c r="M217" i="31"/>
  <c r="O217" i="31"/>
  <c r="Q217" i="31"/>
  <c r="S217" i="31"/>
  <c r="U217" i="31"/>
  <c r="W217" i="31"/>
  <c r="Y217" i="31"/>
  <c r="AA217" i="31"/>
  <c r="AC217" i="31"/>
  <c r="C218" i="31"/>
  <c r="E218" i="31"/>
  <c r="G218" i="31"/>
  <c r="I218" i="31"/>
  <c r="K218" i="31"/>
  <c r="M218" i="31"/>
  <c r="O218" i="31"/>
  <c r="Q218" i="31"/>
  <c r="S218" i="31"/>
  <c r="U218" i="31"/>
  <c r="W218" i="31"/>
  <c r="Y218" i="31"/>
  <c r="AA218" i="31"/>
  <c r="AC218" i="31"/>
  <c r="C219" i="31"/>
  <c r="E219" i="31"/>
  <c r="G219" i="31"/>
  <c r="I219" i="31"/>
  <c r="K219" i="31"/>
  <c r="M219" i="31"/>
  <c r="O219" i="31"/>
  <c r="Q219" i="31"/>
  <c r="S219" i="31"/>
  <c r="U219" i="31"/>
  <c r="W219" i="31"/>
  <c r="Y219" i="31"/>
  <c r="AA219" i="31"/>
  <c r="AC219" i="31"/>
  <c r="AD219" i="31"/>
  <c r="AH219" i="31"/>
  <c r="C220" i="31"/>
  <c r="E220" i="31"/>
  <c r="G220" i="31"/>
  <c r="I220" i="31"/>
  <c r="K220" i="31"/>
  <c r="M220" i="31"/>
  <c r="O220" i="31"/>
  <c r="Q220" i="31"/>
  <c r="S220" i="31"/>
  <c r="U220" i="31"/>
  <c r="W220" i="31"/>
  <c r="Y220" i="31"/>
  <c r="AA220" i="31"/>
  <c r="AC220" i="31"/>
  <c r="C221" i="31"/>
  <c r="E221" i="31"/>
  <c r="G221" i="31"/>
  <c r="I221" i="31"/>
  <c r="K221" i="31"/>
  <c r="M221" i="31"/>
  <c r="O221" i="31"/>
  <c r="Q221" i="31"/>
  <c r="S221" i="31"/>
  <c r="U221" i="31"/>
  <c r="W221" i="31"/>
  <c r="Y221" i="31"/>
  <c r="AA221" i="31"/>
  <c r="AC221" i="31"/>
  <c r="C222" i="31"/>
  <c r="E222" i="31"/>
  <c r="G222" i="31"/>
  <c r="I222" i="31"/>
  <c r="K222" i="31"/>
  <c r="M222" i="31"/>
  <c r="O222" i="31"/>
  <c r="Q222" i="31"/>
  <c r="S222" i="31"/>
  <c r="U222" i="31"/>
  <c r="W222" i="31"/>
  <c r="Y222" i="31"/>
  <c r="AA222" i="31"/>
  <c r="AC222" i="31"/>
  <c r="C223" i="31"/>
  <c r="E223" i="31"/>
  <c r="G223" i="31"/>
  <c r="I223" i="31"/>
  <c r="K223" i="31"/>
  <c r="M223" i="31"/>
  <c r="O223" i="31"/>
  <c r="Q223" i="31"/>
  <c r="S223" i="31"/>
  <c r="U223" i="31"/>
  <c r="W223" i="31"/>
  <c r="Y223" i="31"/>
  <c r="AA223" i="31"/>
  <c r="AC223" i="31"/>
  <c r="C224" i="31"/>
  <c r="E224" i="31"/>
  <c r="G224" i="31"/>
  <c r="I224" i="31"/>
  <c r="K224" i="31"/>
  <c r="M224" i="31"/>
  <c r="O224" i="31"/>
  <c r="Q224" i="31"/>
  <c r="S224" i="31"/>
  <c r="U224" i="31"/>
  <c r="W224" i="31"/>
  <c r="Y224" i="31"/>
  <c r="AA224" i="31"/>
  <c r="AC224" i="31"/>
  <c r="C225" i="31"/>
  <c r="E225" i="31"/>
  <c r="G225" i="31"/>
  <c r="I225" i="31"/>
  <c r="K225" i="31"/>
  <c r="M225" i="31"/>
  <c r="O225" i="31"/>
  <c r="Q225" i="31"/>
  <c r="S225" i="31"/>
  <c r="U225" i="31"/>
  <c r="W225" i="31"/>
  <c r="Y225" i="31"/>
  <c r="AA225" i="31"/>
  <c r="AC225" i="31"/>
  <c r="C226" i="31"/>
  <c r="E226" i="31"/>
  <c r="G226" i="31"/>
  <c r="I226" i="31"/>
  <c r="K226" i="31"/>
  <c r="M226" i="31"/>
  <c r="O226" i="31"/>
  <c r="Q226" i="31"/>
  <c r="S226" i="31"/>
  <c r="U226" i="31"/>
  <c r="W226" i="31"/>
  <c r="Y226" i="31"/>
  <c r="AA226" i="31"/>
  <c r="AC226" i="31"/>
  <c r="C227" i="31"/>
  <c r="E227" i="31"/>
  <c r="G227" i="31"/>
  <c r="I227" i="31"/>
  <c r="K227" i="31"/>
  <c r="M227" i="31"/>
  <c r="O227" i="31"/>
  <c r="Q227" i="31"/>
  <c r="S227" i="31"/>
  <c r="U227" i="31"/>
  <c r="W227" i="31"/>
  <c r="Y227" i="31"/>
  <c r="AA227" i="31"/>
  <c r="AC227" i="31"/>
  <c r="C228" i="31"/>
  <c r="E228" i="31"/>
  <c r="G228" i="31"/>
  <c r="I228" i="31"/>
  <c r="K228" i="31"/>
  <c r="M228" i="31"/>
  <c r="O228" i="31"/>
  <c r="Q228" i="31"/>
  <c r="S228" i="31"/>
  <c r="U228" i="31"/>
  <c r="W228" i="31"/>
  <c r="Y228" i="31"/>
  <c r="AA228" i="31"/>
  <c r="AC228" i="31"/>
  <c r="C229" i="31"/>
  <c r="E229" i="31"/>
  <c r="G229" i="31"/>
  <c r="I229" i="31"/>
  <c r="K229" i="31"/>
  <c r="M229" i="31"/>
  <c r="O229" i="31"/>
  <c r="Q229" i="31"/>
  <c r="S229" i="31"/>
  <c r="U229" i="31"/>
  <c r="W229" i="31"/>
  <c r="Y229" i="31"/>
  <c r="AA229" i="31"/>
  <c r="AC229" i="31"/>
  <c r="C230" i="31"/>
  <c r="E230" i="31"/>
  <c r="G230" i="31"/>
  <c r="I230" i="31"/>
  <c r="K230" i="31"/>
  <c r="M230" i="31"/>
  <c r="O230" i="31"/>
  <c r="Q230" i="31"/>
  <c r="S230" i="31"/>
  <c r="U230" i="31"/>
  <c r="W230" i="31"/>
  <c r="Y230" i="31"/>
  <c r="AA230" i="31"/>
  <c r="AC230" i="31"/>
  <c r="C231" i="31"/>
  <c r="E231" i="31"/>
  <c r="G231" i="31"/>
  <c r="I231" i="31"/>
  <c r="K231" i="31"/>
  <c r="M231" i="31"/>
  <c r="O231" i="31"/>
  <c r="Q231" i="31"/>
  <c r="S231" i="31"/>
  <c r="U231" i="31"/>
  <c r="W231" i="31"/>
  <c r="Y231" i="31"/>
  <c r="AA231" i="31"/>
  <c r="AC231" i="31"/>
  <c r="C232" i="31"/>
  <c r="E232" i="31"/>
  <c r="G232" i="31"/>
  <c r="I232" i="31"/>
  <c r="K232" i="31"/>
  <c r="M232" i="31"/>
  <c r="O232" i="31"/>
  <c r="Q232" i="31"/>
  <c r="S232" i="31"/>
  <c r="U232" i="31"/>
  <c r="W232" i="31"/>
  <c r="Y232" i="31"/>
  <c r="AA232" i="31"/>
  <c r="AC232" i="31"/>
  <c r="C233" i="31"/>
  <c r="E233" i="31"/>
  <c r="G233" i="31"/>
  <c r="I233" i="31"/>
  <c r="K233" i="31"/>
  <c r="M233" i="31"/>
  <c r="O233" i="31"/>
  <c r="Q233" i="31"/>
  <c r="S233" i="31"/>
  <c r="U233" i="31"/>
  <c r="W233" i="31"/>
  <c r="Y233" i="31"/>
  <c r="AA233" i="31"/>
  <c r="AC233" i="31"/>
  <c r="C234" i="31"/>
  <c r="E234" i="31"/>
  <c r="G234" i="31"/>
  <c r="I234" i="31"/>
  <c r="K234" i="31"/>
  <c r="M234" i="31"/>
  <c r="O234" i="31"/>
  <c r="Q234" i="31"/>
  <c r="S234" i="31"/>
  <c r="U234" i="31"/>
  <c r="W234" i="31"/>
  <c r="Y234" i="31"/>
  <c r="AA234" i="31"/>
  <c r="AC234" i="31"/>
  <c r="C235" i="31"/>
  <c r="E235" i="31"/>
  <c r="G235" i="31"/>
  <c r="I235" i="31"/>
  <c r="K235" i="31"/>
  <c r="M235" i="31"/>
  <c r="O235" i="31"/>
  <c r="Q235" i="31"/>
  <c r="S235" i="31"/>
  <c r="U235" i="31"/>
  <c r="W235" i="31"/>
  <c r="Y235" i="31"/>
  <c r="AA235" i="31"/>
  <c r="AC235" i="31"/>
  <c r="C236" i="31"/>
  <c r="E236" i="31"/>
  <c r="G236" i="31"/>
  <c r="I236" i="31"/>
  <c r="K236" i="31"/>
  <c r="M236" i="31"/>
  <c r="O236" i="31"/>
  <c r="Q236" i="31"/>
  <c r="S236" i="31"/>
  <c r="U236" i="31"/>
  <c r="W236" i="31"/>
  <c r="Y236" i="31"/>
  <c r="AA236" i="31"/>
  <c r="AC236" i="31"/>
  <c r="C237" i="31"/>
  <c r="E237" i="31"/>
  <c r="G237" i="31"/>
  <c r="I237" i="31"/>
  <c r="K237" i="31"/>
  <c r="M237" i="31"/>
  <c r="O237" i="31"/>
  <c r="Q237" i="31"/>
  <c r="S237" i="31"/>
  <c r="U237" i="31"/>
  <c r="W237" i="31"/>
  <c r="Y237" i="31"/>
  <c r="AA237" i="31"/>
  <c r="AC237" i="31"/>
  <c r="C238" i="31"/>
  <c r="E238" i="31"/>
  <c r="G238" i="31"/>
  <c r="I238" i="31"/>
  <c r="K238" i="31"/>
  <c r="M238" i="31"/>
  <c r="O238" i="31"/>
  <c r="Q238" i="31"/>
  <c r="S238" i="31"/>
  <c r="U238" i="31"/>
  <c r="W238" i="31"/>
  <c r="Y238" i="31"/>
  <c r="AA238" i="31"/>
  <c r="AC238" i="31"/>
  <c r="C239" i="31"/>
  <c r="E239" i="31"/>
  <c r="G239" i="31"/>
  <c r="I239" i="31"/>
  <c r="K239" i="31"/>
  <c r="M239" i="31"/>
  <c r="O239" i="31"/>
  <c r="Q239" i="31"/>
  <c r="S239" i="31"/>
  <c r="U239" i="31"/>
  <c r="W239" i="31"/>
  <c r="Y239" i="31"/>
  <c r="AA239" i="31"/>
  <c r="AC239" i="31"/>
  <c r="C240" i="31"/>
  <c r="E240" i="31"/>
  <c r="G240" i="31"/>
  <c r="I240" i="31"/>
  <c r="K240" i="31"/>
  <c r="M240" i="31"/>
  <c r="O240" i="31"/>
  <c r="Q240" i="31"/>
  <c r="S240" i="31"/>
  <c r="U240" i="31"/>
  <c r="W240" i="31"/>
  <c r="Y240" i="31"/>
  <c r="AA240" i="31"/>
  <c r="AC240" i="31"/>
  <c r="C241" i="31"/>
  <c r="E241" i="31"/>
  <c r="G241" i="31"/>
  <c r="I241" i="31"/>
  <c r="K241" i="31"/>
  <c r="M241" i="31"/>
  <c r="O241" i="31"/>
  <c r="Q241" i="31"/>
  <c r="S241" i="31"/>
  <c r="U241" i="31"/>
  <c r="W241" i="31"/>
  <c r="Y241" i="31"/>
  <c r="AA241" i="31"/>
  <c r="AC241" i="31"/>
  <c r="C242" i="31"/>
  <c r="E242" i="31"/>
  <c r="G242" i="31"/>
  <c r="I242" i="31"/>
  <c r="K242" i="31"/>
  <c r="M242" i="31"/>
  <c r="O242" i="31"/>
  <c r="Q242" i="31"/>
  <c r="S242" i="31"/>
  <c r="U242" i="31"/>
  <c r="W242" i="31"/>
  <c r="Y242" i="31"/>
  <c r="AA242" i="31"/>
  <c r="AC242" i="31"/>
  <c r="C243" i="31"/>
  <c r="E243" i="31"/>
  <c r="G243" i="31"/>
  <c r="I243" i="31"/>
  <c r="K243" i="31"/>
  <c r="M243" i="31"/>
  <c r="O243" i="31"/>
  <c r="Q243" i="31"/>
  <c r="S243" i="31"/>
  <c r="U243" i="31"/>
  <c r="W243" i="31"/>
  <c r="Y243" i="31"/>
  <c r="AA243" i="31"/>
  <c r="AC243" i="31"/>
  <c r="C244" i="31"/>
  <c r="E244" i="31"/>
  <c r="G244" i="31"/>
  <c r="I244" i="31"/>
  <c r="K244" i="31"/>
  <c r="M244" i="31"/>
  <c r="O244" i="31"/>
  <c r="Q244" i="31"/>
  <c r="S244" i="31"/>
  <c r="U244" i="31"/>
  <c r="W244" i="31"/>
  <c r="Y244" i="31"/>
  <c r="AA244" i="31"/>
  <c r="AC244" i="31"/>
  <c r="C245" i="31"/>
  <c r="E245" i="31"/>
  <c r="G245" i="31"/>
  <c r="I245" i="31"/>
  <c r="K245" i="31"/>
  <c r="M245" i="31"/>
  <c r="O245" i="31"/>
  <c r="Q245" i="31"/>
  <c r="S245" i="31"/>
  <c r="U245" i="31"/>
  <c r="W245" i="31"/>
  <c r="Y245" i="31"/>
  <c r="AA245" i="31"/>
  <c r="AC245" i="31"/>
  <c r="C246" i="31"/>
  <c r="E246" i="31"/>
  <c r="G246" i="31"/>
  <c r="I246" i="31"/>
  <c r="K246" i="31"/>
  <c r="M246" i="31"/>
  <c r="O246" i="31"/>
  <c r="Q246" i="31"/>
  <c r="S246" i="31"/>
  <c r="U246" i="31"/>
  <c r="W246" i="31"/>
  <c r="Y246" i="31"/>
  <c r="AA246" i="31"/>
  <c r="AC246" i="31"/>
  <c r="C247" i="31"/>
  <c r="E247" i="31"/>
  <c r="G247" i="31"/>
  <c r="I247" i="31"/>
  <c r="K247" i="31"/>
  <c r="M247" i="31"/>
  <c r="O247" i="31"/>
  <c r="Q247" i="31"/>
  <c r="S247" i="31"/>
  <c r="U247" i="31"/>
  <c r="W247" i="31"/>
  <c r="Y247" i="31"/>
  <c r="AA247" i="31"/>
  <c r="AC247" i="31"/>
  <c r="C248" i="31"/>
  <c r="E248" i="31"/>
  <c r="G248" i="31"/>
  <c r="I248" i="31"/>
  <c r="K248" i="31"/>
  <c r="M248" i="31"/>
  <c r="O248" i="31"/>
  <c r="Q248" i="31"/>
  <c r="S248" i="31"/>
  <c r="U248" i="31"/>
  <c r="W248" i="31"/>
  <c r="Y248" i="31"/>
  <c r="AA248" i="31"/>
  <c r="AC248" i="31"/>
  <c r="C249" i="31"/>
  <c r="E249" i="31"/>
  <c r="G249" i="31"/>
  <c r="I249" i="31"/>
  <c r="K249" i="31"/>
  <c r="M249" i="31"/>
  <c r="O249" i="31"/>
  <c r="Q249" i="31"/>
  <c r="S249" i="31"/>
  <c r="U249" i="31"/>
  <c r="W249" i="31"/>
  <c r="Y249" i="31"/>
  <c r="AA249" i="31"/>
  <c r="AC249" i="31"/>
  <c r="C250" i="31"/>
  <c r="E250" i="31"/>
  <c r="G250" i="31"/>
  <c r="I250" i="31"/>
  <c r="K250" i="31"/>
  <c r="M250" i="31"/>
  <c r="O250" i="31"/>
  <c r="Q250" i="31"/>
  <c r="S250" i="31"/>
  <c r="U250" i="31"/>
  <c r="W250" i="31"/>
  <c r="Y250" i="31"/>
  <c r="AA250" i="31"/>
  <c r="AC250" i="31"/>
  <c r="C251" i="31"/>
  <c r="E251" i="31"/>
  <c r="G251" i="31"/>
  <c r="I251" i="31"/>
  <c r="K251" i="31"/>
  <c r="M251" i="31"/>
  <c r="O251" i="31"/>
  <c r="Q251" i="31"/>
  <c r="S251" i="31"/>
  <c r="U251" i="31"/>
  <c r="W251" i="31"/>
  <c r="Y251" i="31"/>
  <c r="AA251" i="31"/>
  <c r="AC251" i="31"/>
  <c r="C252" i="31"/>
  <c r="E252" i="31"/>
  <c r="G252" i="31"/>
  <c r="I252" i="31"/>
  <c r="K252" i="31"/>
  <c r="M252" i="31"/>
  <c r="O252" i="31"/>
  <c r="Q252" i="31"/>
  <c r="S252" i="31"/>
  <c r="U252" i="31"/>
  <c r="W252" i="31"/>
  <c r="Y252" i="31"/>
  <c r="AA252" i="31"/>
  <c r="AC252" i="31"/>
  <c r="C253" i="31"/>
  <c r="E253" i="31"/>
  <c r="G253" i="31"/>
  <c r="I253" i="31"/>
  <c r="K253" i="31"/>
  <c r="M253" i="31"/>
  <c r="O253" i="31"/>
  <c r="Q253" i="31"/>
  <c r="S253" i="31"/>
  <c r="U253" i="31"/>
  <c r="W253" i="31"/>
  <c r="Y253" i="31"/>
  <c r="AA253" i="31"/>
  <c r="AC253" i="31"/>
  <c r="C44" i="32"/>
  <c r="E44" i="32"/>
  <c r="G44" i="32"/>
  <c r="I44" i="32"/>
  <c r="K44" i="32"/>
  <c r="M44" i="32"/>
  <c r="O44" i="32"/>
  <c r="Q44" i="32"/>
  <c r="S44" i="32"/>
  <c r="U44" i="32"/>
  <c r="W44" i="32"/>
  <c r="Y44" i="32"/>
  <c r="AA44" i="32"/>
  <c r="AC44" i="32"/>
  <c r="AD44" i="32"/>
  <c r="C45" i="32"/>
  <c r="E45" i="32"/>
  <c r="G45" i="32"/>
  <c r="I45" i="32"/>
  <c r="K45" i="32"/>
  <c r="M45" i="32"/>
  <c r="O45" i="32"/>
  <c r="Q45" i="32"/>
  <c r="S45" i="32"/>
  <c r="U45" i="32"/>
  <c r="W45" i="32"/>
  <c r="Y45" i="32"/>
  <c r="AA45" i="32"/>
  <c r="AC45" i="32"/>
  <c r="C46" i="32"/>
  <c r="E46" i="32"/>
  <c r="G46" i="32"/>
  <c r="I46" i="32"/>
  <c r="K46" i="32"/>
  <c r="M46" i="32"/>
  <c r="O46" i="32"/>
  <c r="Q46" i="32"/>
  <c r="S46" i="32"/>
  <c r="U46" i="32"/>
  <c r="W46" i="32"/>
  <c r="Y46" i="32"/>
  <c r="AA46" i="32"/>
  <c r="AC46" i="32"/>
  <c r="C47" i="32"/>
  <c r="E47" i="32"/>
  <c r="G47" i="32"/>
  <c r="I47" i="32"/>
  <c r="K47" i="32"/>
  <c r="M47" i="32"/>
  <c r="O47" i="32"/>
  <c r="Q47" i="32"/>
  <c r="S47" i="32"/>
  <c r="U47" i="32"/>
  <c r="W47" i="32"/>
  <c r="Y47" i="32"/>
  <c r="AA47" i="32"/>
  <c r="AC47" i="32"/>
  <c r="C48" i="32"/>
  <c r="E48" i="32"/>
  <c r="G48" i="32"/>
  <c r="I48" i="32"/>
  <c r="K48" i="32"/>
  <c r="M48" i="32"/>
  <c r="O48" i="32"/>
  <c r="Q48" i="32"/>
  <c r="S48" i="32"/>
  <c r="U48" i="32"/>
  <c r="W48" i="32"/>
  <c r="Y48" i="32"/>
  <c r="AA48" i="32"/>
  <c r="AC48" i="32"/>
  <c r="C49" i="32"/>
  <c r="E49" i="32"/>
  <c r="G49" i="32"/>
  <c r="I49" i="32"/>
  <c r="K49" i="32"/>
  <c r="M49" i="32"/>
  <c r="O49" i="32"/>
  <c r="Q49" i="32"/>
  <c r="S49" i="32"/>
  <c r="U49" i="32"/>
  <c r="W49" i="32"/>
  <c r="Y49" i="32"/>
  <c r="AA49" i="32"/>
  <c r="AC49" i="32"/>
  <c r="C50" i="32"/>
  <c r="E50" i="32"/>
  <c r="G50" i="32"/>
  <c r="I50" i="32"/>
  <c r="K50" i="32"/>
  <c r="M50" i="32"/>
  <c r="O50" i="32"/>
  <c r="Q50" i="32"/>
  <c r="S50" i="32"/>
  <c r="U50" i="32"/>
  <c r="W50" i="32"/>
  <c r="Y50" i="32"/>
  <c r="AA50" i="32"/>
  <c r="AC50" i="32"/>
  <c r="C51" i="32"/>
  <c r="E51" i="32"/>
  <c r="G51" i="32"/>
  <c r="I51" i="32"/>
  <c r="K51" i="32"/>
  <c r="M51" i="32"/>
  <c r="O51" i="32"/>
  <c r="Q51" i="32"/>
  <c r="S51" i="32"/>
  <c r="U51" i="32"/>
  <c r="W51" i="32"/>
  <c r="Y51" i="32"/>
  <c r="AA51" i="32"/>
  <c r="AC51" i="32"/>
  <c r="C52" i="32"/>
  <c r="E52" i="32"/>
  <c r="G52" i="32"/>
  <c r="I52" i="32"/>
  <c r="K52" i="32"/>
  <c r="M52" i="32"/>
  <c r="O52" i="32"/>
  <c r="Q52" i="32"/>
  <c r="S52" i="32"/>
  <c r="U52" i="32"/>
  <c r="W52" i="32"/>
  <c r="Y52" i="32"/>
  <c r="AA52" i="32"/>
  <c r="AC52" i="32"/>
  <c r="C53" i="32"/>
  <c r="E53" i="32"/>
  <c r="G53" i="32"/>
  <c r="I53" i="32"/>
  <c r="K53" i="32"/>
  <c r="M53" i="32"/>
  <c r="O53" i="32"/>
  <c r="Q53" i="32"/>
  <c r="S53" i="32"/>
  <c r="U53" i="32"/>
  <c r="W53" i="32"/>
  <c r="Y53" i="32"/>
  <c r="AA53" i="32"/>
  <c r="AC53" i="32"/>
  <c r="C54" i="32"/>
  <c r="E54" i="32"/>
  <c r="G54" i="32"/>
  <c r="I54" i="32"/>
  <c r="K54" i="32"/>
  <c r="M54" i="32"/>
  <c r="O54" i="32"/>
  <c r="Q54" i="32"/>
  <c r="S54" i="32"/>
  <c r="U54" i="32"/>
  <c r="W54" i="32"/>
  <c r="Y54" i="32"/>
  <c r="AA54" i="32"/>
  <c r="AC54" i="32"/>
  <c r="C55" i="32"/>
  <c r="E55" i="32"/>
  <c r="G55" i="32"/>
  <c r="I55" i="32"/>
  <c r="K55" i="32"/>
  <c r="M55" i="32"/>
  <c r="O55" i="32"/>
  <c r="Q55" i="32"/>
  <c r="S55" i="32"/>
  <c r="U55" i="32"/>
  <c r="W55" i="32"/>
  <c r="Y55" i="32"/>
  <c r="AA55" i="32"/>
  <c r="AC55" i="32"/>
  <c r="C56" i="32"/>
  <c r="E56" i="32"/>
  <c r="G56" i="32"/>
  <c r="I56" i="32"/>
  <c r="K56" i="32"/>
  <c r="M56" i="32"/>
  <c r="O56" i="32"/>
  <c r="Q56" i="32"/>
  <c r="S56" i="32"/>
  <c r="U56" i="32"/>
  <c r="W56" i="32"/>
  <c r="Y56" i="32"/>
  <c r="AA56" i="32"/>
  <c r="AC56" i="32"/>
  <c r="C57" i="32"/>
  <c r="E57" i="32"/>
  <c r="G57" i="32"/>
  <c r="I57" i="32"/>
  <c r="K57" i="32"/>
  <c r="M57" i="32"/>
  <c r="O57" i="32"/>
  <c r="Q57" i="32"/>
  <c r="S57" i="32"/>
  <c r="U57" i="32"/>
  <c r="W57" i="32"/>
  <c r="Y57" i="32"/>
  <c r="AA57" i="32"/>
  <c r="AC57" i="32"/>
  <c r="C58" i="32"/>
  <c r="E58" i="32"/>
  <c r="G58" i="32"/>
  <c r="I58" i="32"/>
  <c r="K58" i="32"/>
  <c r="M58" i="32"/>
  <c r="O58" i="32"/>
  <c r="Q58" i="32"/>
  <c r="S58" i="32"/>
  <c r="U58" i="32"/>
  <c r="W58" i="32"/>
  <c r="Y58" i="32"/>
  <c r="AA58" i="32"/>
  <c r="AC58" i="32"/>
  <c r="C59" i="32"/>
  <c r="E59" i="32"/>
  <c r="G59" i="32"/>
  <c r="I59" i="32"/>
  <c r="K59" i="32"/>
  <c r="M59" i="32"/>
  <c r="O59" i="32"/>
  <c r="Q59" i="32"/>
  <c r="S59" i="32"/>
  <c r="U59" i="32"/>
  <c r="W59" i="32"/>
  <c r="Y59" i="32"/>
  <c r="AA59" i="32"/>
  <c r="AC59" i="32"/>
  <c r="C60" i="32"/>
  <c r="E60" i="32"/>
  <c r="G60" i="32"/>
  <c r="I60" i="32"/>
  <c r="K60" i="32"/>
  <c r="M60" i="32"/>
  <c r="O60" i="32"/>
  <c r="Q60" i="32"/>
  <c r="S60" i="32"/>
  <c r="U60" i="32"/>
  <c r="W60" i="32"/>
  <c r="Y60" i="32"/>
  <c r="AA60" i="32"/>
  <c r="AC60" i="32"/>
  <c r="C61" i="32"/>
  <c r="E61" i="32"/>
  <c r="G61" i="32"/>
  <c r="I61" i="32"/>
  <c r="K61" i="32"/>
  <c r="M61" i="32"/>
  <c r="O61" i="32"/>
  <c r="Q61" i="32"/>
  <c r="S61" i="32"/>
  <c r="U61" i="32"/>
  <c r="W61" i="32"/>
  <c r="Y61" i="32"/>
  <c r="AA61" i="32"/>
  <c r="AC61" i="32"/>
  <c r="C62" i="32"/>
  <c r="E62" i="32"/>
  <c r="G62" i="32"/>
  <c r="I62" i="32"/>
  <c r="K62" i="32"/>
  <c r="M62" i="32"/>
  <c r="O62" i="32"/>
  <c r="Q62" i="32"/>
  <c r="S62" i="32"/>
  <c r="U62" i="32"/>
  <c r="W62" i="32"/>
  <c r="Y62" i="32"/>
  <c r="AA62" i="32"/>
  <c r="AC62" i="32"/>
  <c r="C63" i="32"/>
  <c r="E63" i="32"/>
  <c r="G63" i="32"/>
  <c r="I63" i="32"/>
  <c r="K63" i="32"/>
  <c r="M63" i="32"/>
  <c r="O63" i="32"/>
  <c r="Q63" i="32"/>
  <c r="S63" i="32"/>
  <c r="U63" i="32"/>
  <c r="W63" i="32"/>
  <c r="Y63" i="32"/>
  <c r="AA63" i="32"/>
  <c r="AC63" i="32"/>
  <c r="C64" i="32"/>
  <c r="E64" i="32"/>
  <c r="G64" i="32"/>
  <c r="I64" i="32"/>
  <c r="K64" i="32"/>
  <c r="M64" i="32"/>
  <c r="O64" i="32"/>
  <c r="Q64" i="32"/>
  <c r="S64" i="32"/>
  <c r="U64" i="32"/>
  <c r="W64" i="32"/>
  <c r="Y64" i="32"/>
  <c r="AA64" i="32"/>
  <c r="AC64" i="32"/>
  <c r="C65" i="32"/>
  <c r="E65" i="32"/>
  <c r="G65" i="32"/>
  <c r="I65" i="32"/>
  <c r="K65" i="32"/>
  <c r="M65" i="32"/>
  <c r="O65" i="32"/>
  <c r="Q65" i="32"/>
  <c r="S65" i="32"/>
  <c r="U65" i="32"/>
  <c r="W65" i="32"/>
  <c r="Y65" i="32"/>
  <c r="AA65" i="32"/>
  <c r="AC65" i="32"/>
  <c r="C66" i="32"/>
  <c r="E66" i="32"/>
  <c r="G66" i="32"/>
  <c r="I66" i="32"/>
  <c r="K66" i="32"/>
  <c r="M66" i="32"/>
  <c r="O66" i="32"/>
  <c r="Q66" i="32"/>
  <c r="S66" i="32"/>
  <c r="U66" i="32"/>
  <c r="W66" i="32"/>
  <c r="Y66" i="32"/>
  <c r="AA66" i="32"/>
  <c r="AC66" i="32"/>
  <c r="C67" i="32"/>
  <c r="E67" i="32"/>
  <c r="G67" i="32"/>
  <c r="I67" i="32"/>
  <c r="K67" i="32"/>
  <c r="M67" i="32"/>
  <c r="O67" i="32"/>
  <c r="Q67" i="32"/>
  <c r="S67" i="32"/>
  <c r="U67" i="32"/>
  <c r="W67" i="32"/>
  <c r="Y67" i="32"/>
  <c r="AA67" i="32"/>
  <c r="AC67" i="32"/>
  <c r="C68" i="32"/>
  <c r="E68" i="32"/>
  <c r="G68" i="32"/>
  <c r="I68" i="32"/>
  <c r="K68" i="32"/>
  <c r="M68" i="32"/>
  <c r="O68" i="32"/>
  <c r="Q68" i="32"/>
  <c r="S68" i="32"/>
  <c r="U68" i="32"/>
  <c r="W68" i="32"/>
  <c r="Y68" i="32"/>
  <c r="AA68" i="32"/>
  <c r="AC68" i="32"/>
  <c r="C69" i="32"/>
  <c r="E69" i="32"/>
  <c r="G69" i="32"/>
  <c r="I69" i="32"/>
  <c r="K69" i="32"/>
  <c r="M69" i="32"/>
  <c r="O69" i="32"/>
  <c r="Q69" i="32"/>
  <c r="S69" i="32"/>
  <c r="U69" i="32"/>
  <c r="W69" i="32"/>
  <c r="Y69" i="32"/>
  <c r="AA69" i="32"/>
  <c r="AC69" i="32"/>
  <c r="C70" i="32"/>
  <c r="E70" i="32"/>
  <c r="G70" i="32"/>
  <c r="I70" i="32"/>
  <c r="K70" i="32"/>
  <c r="M70" i="32"/>
  <c r="O70" i="32"/>
  <c r="Q70" i="32"/>
  <c r="S70" i="32"/>
  <c r="U70" i="32"/>
  <c r="W70" i="32"/>
  <c r="Y70" i="32"/>
  <c r="AA70" i="32"/>
  <c r="AC70" i="32"/>
  <c r="C71" i="32"/>
  <c r="E71" i="32"/>
  <c r="G71" i="32"/>
  <c r="I71" i="32"/>
  <c r="K71" i="32"/>
  <c r="M71" i="32"/>
  <c r="O71" i="32"/>
  <c r="Q71" i="32"/>
  <c r="S71" i="32"/>
  <c r="U71" i="32"/>
  <c r="W71" i="32"/>
  <c r="Y71" i="32"/>
  <c r="AA71" i="32"/>
  <c r="AC71" i="32"/>
  <c r="C72" i="32"/>
  <c r="E72" i="32"/>
  <c r="G72" i="32"/>
  <c r="I72" i="32"/>
  <c r="K72" i="32"/>
  <c r="M72" i="32"/>
  <c r="O72" i="32"/>
  <c r="Q72" i="32"/>
  <c r="S72" i="32"/>
  <c r="U72" i="32"/>
  <c r="W72" i="32"/>
  <c r="Y72" i="32"/>
  <c r="AA72" i="32"/>
  <c r="AC72" i="32"/>
  <c r="C73" i="32"/>
  <c r="E73" i="32"/>
  <c r="G73" i="32"/>
  <c r="I73" i="32"/>
  <c r="K73" i="32"/>
  <c r="M73" i="32"/>
  <c r="O73" i="32"/>
  <c r="Q73" i="32"/>
  <c r="S73" i="32"/>
  <c r="U73" i="32"/>
  <c r="W73" i="32"/>
  <c r="Y73" i="32"/>
  <c r="AA73" i="32"/>
  <c r="AC73" i="32"/>
  <c r="C74" i="32"/>
  <c r="E74" i="32"/>
  <c r="G74" i="32"/>
  <c r="I74" i="32"/>
  <c r="K74" i="32"/>
  <c r="M74" i="32"/>
  <c r="O74" i="32"/>
  <c r="Q74" i="32"/>
  <c r="S74" i="32"/>
  <c r="U74" i="32"/>
  <c r="W74" i="32"/>
  <c r="Y74" i="32"/>
  <c r="AA74" i="32"/>
  <c r="AC74" i="32"/>
  <c r="C75" i="32"/>
  <c r="E75" i="32"/>
  <c r="G75" i="32"/>
  <c r="I75" i="32"/>
  <c r="K75" i="32"/>
  <c r="M75" i="32"/>
  <c r="O75" i="32"/>
  <c r="Q75" i="32"/>
  <c r="S75" i="32"/>
  <c r="U75" i="32"/>
  <c r="W75" i="32"/>
  <c r="Y75" i="32"/>
  <c r="AA75" i="32"/>
  <c r="AC75" i="32"/>
  <c r="C76" i="32"/>
  <c r="E76" i="32"/>
  <c r="G76" i="32"/>
  <c r="I76" i="32"/>
  <c r="K76" i="32"/>
  <c r="M76" i="32"/>
  <c r="O76" i="32"/>
  <c r="Q76" i="32"/>
  <c r="S76" i="32"/>
  <c r="U76" i="32"/>
  <c r="W76" i="32"/>
  <c r="Y76" i="32"/>
  <c r="AA76" i="32"/>
  <c r="AC76" i="32"/>
  <c r="C77" i="32"/>
  <c r="E77" i="32"/>
  <c r="G77" i="32"/>
  <c r="I77" i="32"/>
  <c r="K77" i="32"/>
  <c r="M77" i="32"/>
  <c r="O77" i="32"/>
  <c r="Q77" i="32"/>
  <c r="S77" i="32"/>
  <c r="U77" i="32"/>
  <c r="W77" i="32"/>
  <c r="Y77" i="32"/>
  <c r="AA77" i="32"/>
  <c r="AC77" i="32"/>
  <c r="C78" i="32"/>
  <c r="E78" i="32"/>
  <c r="G78" i="32"/>
  <c r="I78" i="32"/>
  <c r="K78" i="32"/>
  <c r="M78" i="32"/>
  <c r="O78" i="32"/>
  <c r="Q78" i="32"/>
  <c r="S78" i="32"/>
  <c r="U78" i="32"/>
  <c r="W78" i="32"/>
  <c r="Y78" i="32"/>
  <c r="AA78" i="32"/>
  <c r="AC78" i="32"/>
  <c r="C79" i="32"/>
  <c r="E79" i="32"/>
  <c r="G79" i="32"/>
  <c r="I79" i="32"/>
  <c r="K79" i="32"/>
  <c r="M79" i="32"/>
  <c r="O79" i="32"/>
  <c r="Q79" i="32"/>
  <c r="S79" i="32"/>
  <c r="U79" i="32"/>
  <c r="W79" i="32"/>
  <c r="Y79" i="32"/>
  <c r="AA79" i="32"/>
  <c r="AC79" i="32"/>
  <c r="AD79" i="32"/>
  <c r="AH79" i="32"/>
  <c r="C80" i="32"/>
  <c r="E80" i="32"/>
  <c r="G80" i="32"/>
  <c r="I80" i="32"/>
  <c r="K80" i="32"/>
  <c r="M80" i="32"/>
  <c r="O80" i="32"/>
  <c r="Q80" i="32"/>
  <c r="S80" i="32"/>
  <c r="U80" i="32"/>
  <c r="W80" i="32"/>
  <c r="Y80" i="32"/>
  <c r="AA80" i="32"/>
  <c r="AC80" i="32"/>
  <c r="C81" i="32"/>
  <c r="E81" i="32"/>
  <c r="G81" i="32"/>
  <c r="I81" i="32"/>
  <c r="K81" i="32"/>
  <c r="M81" i="32"/>
  <c r="O81" i="32"/>
  <c r="Q81" i="32"/>
  <c r="S81" i="32"/>
  <c r="U81" i="32"/>
  <c r="W81" i="32"/>
  <c r="Y81" i="32"/>
  <c r="AA81" i="32"/>
  <c r="AC81" i="32"/>
  <c r="C82" i="32"/>
  <c r="E82" i="32"/>
  <c r="G82" i="32"/>
  <c r="I82" i="32"/>
  <c r="K82" i="32"/>
  <c r="M82" i="32"/>
  <c r="O82" i="32"/>
  <c r="Q82" i="32"/>
  <c r="S82" i="32"/>
  <c r="U82" i="32"/>
  <c r="W82" i="32"/>
  <c r="Y82" i="32"/>
  <c r="AA82" i="32"/>
  <c r="AC82" i="32"/>
  <c r="C83" i="32"/>
  <c r="E83" i="32"/>
  <c r="G83" i="32"/>
  <c r="I83" i="32"/>
  <c r="K83" i="32"/>
  <c r="M83" i="32"/>
  <c r="O83" i="32"/>
  <c r="Q83" i="32"/>
  <c r="S83" i="32"/>
  <c r="U83" i="32"/>
  <c r="W83" i="32"/>
  <c r="Y83" i="32"/>
  <c r="AA83" i="32"/>
  <c r="AC83" i="32"/>
  <c r="C84" i="32"/>
  <c r="E84" i="32"/>
  <c r="G84" i="32"/>
  <c r="I84" i="32"/>
  <c r="K84" i="32"/>
  <c r="M84" i="32"/>
  <c r="O84" i="32"/>
  <c r="Q84" i="32"/>
  <c r="S84" i="32"/>
  <c r="U84" i="32"/>
  <c r="W84" i="32"/>
  <c r="Y84" i="32"/>
  <c r="AA84" i="32"/>
  <c r="AC84" i="32"/>
  <c r="C85" i="32"/>
  <c r="E85" i="32"/>
  <c r="G85" i="32"/>
  <c r="I85" i="32"/>
  <c r="K85" i="32"/>
  <c r="M85" i="32"/>
  <c r="O85" i="32"/>
  <c r="Q85" i="32"/>
  <c r="S85" i="32"/>
  <c r="U85" i="32"/>
  <c r="W85" i="32"/>
  <c r="Y85" i="32"/>
  <c r="AA85" i="32"/>
  <c r="AC85" i="32"/>
  <c r="C86" i="32"/>
  <c r="E86" i="32"/>
  <c r="G86" i="32"/>
  <c r="I86" i="32"/>
  <c r="K86" i="32"/>
  <c r="M86" i="32"/>
  <c r="O86" i="32"/>
  <c r="Q86" i="32"/>
  <c r="S86" i="32"/>
  <c r="U86" i="32"/>
  <c r="W86" i="32"/>
  <c r="Y86" i="32"/>
  <c r="AA86" i="32"/>
  <c r="AC86" i="32"/>
  <c r="C87" i="32"/>
  <c r="E87" i="32"/>
  <c r="G87" i="32"/>
  <c r="I87" i="32"/>
  <c r="K87" i="32"/>
  <c r="M87" i="32"/>
  <c r="O87" i="32"/>
  <c r="Q87" i="32"/>
  <c r="S87" i="32"/>
  <c r="U87" i="32"/>
  <c r="W87" i="32"/>
  <c r="Y87" i="32"/>
  <c r="AA87" i="32"/>
  <c r="AC87" i="32"/>
  <c r="C88" i="32"/>
  <c r="E88" i="32"/>
  <c r="G88" i="32"/>
  <c r="I88" i="32"/>
  <c r="K88" i="32"/>
  <c r="M88" i="32"/>
  <c r="O88" i="32"/>
  <c r="Q88" i="32"/>
  <c r="S88" i="32"/>
  <c r="U88" i="32"/>
  <c r="W88" i="32"/>
  <c r="Y88" i="32"/>
  <c r="AA88" i="32"/>
  <c r="AC88" i="32"/>
  <c r="C89" i="32"/>
  <c r="E89" i="32"/>
  <c r="G89" i="32"/>
  <c r="I89" i="32"/>
  <c r="K89" i="32"/>
  <c r="M89" i="32"/>
  <c r="O89" i="32"/>
  <c r="Q89" i="32"/>
  <c r="S89" i="32"/>
  <c r="U89" i="32"/>
  <c r="W89" i="32"/>
  <c r="Y89" i="32"/>
  <c r="AA89" i="32"/>
  <c r="AC89" i="32"/>
  <c r="C90" i="32"/>
  <c r="E90" i="32"/>
  <c r="G90" i="32"/>
  <c r="I90" i="32"/>
  <c r="K90" i="32"/>
  <c r="M90" i="32"/>
  <c r="O90" i="32"/>
  <c r="Q90" i="32"/>
  <c r="S90" i="32"/>
  <c r="U90" i="32"/>
  <c r="W90" i="32"/>
  <c r="Y90" i="32"/>
  <c r="AA90" i="32"/>
  <c r="AC90" i="32"/>
  <c r="C91" i="32"/>
  <c r="E91" i="32"/>
  <c r="G91" i="32"/>
  <c r="I91" i="32"/>
  <c r="K91" i="32"/>
  <c r="M91" i="32"/>
  <c r="O91" i="32"/>
  <c r="Q91" i="32"/>
  <c r="S91" i="32"/>
  <c r="U91" i="32"/>
  <c r="W91" i="32"/>
  <c r="Y91" i="32"/>
  <c r="AA91" i="32"/>
  <c r="AC91" i="32"/>
  <c r="C92" i="32"/>
  <c r="E92" i="32"/>
  <c r="G92" i="32"/>
  <c r="I92" i="32"/>
  <c r="K92" i="32"/>
  <c r="M92" i="32"/>
  <c r="O92" i="32"/>
  <c r="Q92" i="32"/>
  <c r="S92" i="32"/>
  <c r="U92" i="32"/>
  <c r="W92" i="32"/>
  <c r="Y92" i="32"/>
  <c r="AA92" i="32"/>
  <c r="AC92" i="32"/>
  <c r="C93" i="32"/>
  <c r="E93" i="32"/>
  <c r="G93" i="32"/>
  <c r="I93" i="32"/>
  <c r="K93" i="32"/>
  <c r="M93" i="32"/>
  <c r="O93" i="32"/>
  <c r="Q93" i="32"/>
  <c r="S93" i="32"/>
  <c r="U93" i="32"/>
  <c r="W93" i="32"/>
  <c r="Y93" i="32"/>
  <c r="AA93" i="32"/>
  <c r="AC93" i="32"/>
  <c r="C94" i="32"/>
  <c r="E94" i="32"/>
  <c r="G94" i="32"/>
  <c r="I94" i="32"/>
  <c r="K94" i="32"/>
  <c r="M94" i="32"/>
  <c r="O94" i="32"/>
  <c r="Q94" i="32"/>
  <c r="S94" i="32"/>
  <c r="U94" i="32"/>
  <c r="W94" i="32"/>
  <c r="Y94" i="32"/>
  <c r="AA94" i="32"/>
  <c r="AC94" i="32"/>
  <c r="C95" i="32"/>
  <c r="E95" i="32"/>
  <c r="G95" i="32"/>
  <c r="I95" i="32"/>
  <c r="K95" i="32"/>
  <c r="M95" i="32"/>
  <c r="O95" i="32"/>
  <c r="Q95" i="32"/>
  <c r="S95" i="32"/>
  <c r="U95" i="32"/>
  <c r="W95" i="32"/>
  <c r="Y95" i="32"/>
  <c r="AA95" i="32"/>
  <c r="AC95" i="32"/>
  <c r="C96" i="32"/>
  <c r="E96" i="32"/>
  <c r="G96" i="32"/>
  <c r="I96" i="32"/>
  <c r="K96" i="32"/>
  <c r="M96" i="32"/>
  <c r="O96" i="32"/>
  <c r="Q96" i="32"/>
  <c r="S96" i="32"/>
  <c r="U96" i="32"/>
  <c r="W96" i="32"/>
  <c r="Y96" i="32"/>
  <c r="AA96" i="32"/>
  <c r="AC96" i="32"/>
  <c r="C97" i="32"/>
  <c r="E97" i="32"/>
  <c r="G97" i="32"/>
  <c r="I97" i="32"/>
  <c r="K97" i="32"/>
  <c r="M97" i="32"/>
  <c r="O97" i="32"/>
  <c r="Q97" i="32"/>
  <c r="S97" i="32"/>
  <c r="U97" i="32"/>
  <c r="W97" i="32"/>
  <c r="Y97" i="32"/>
  <c r="AA97" i="32"/>
  <c r="AC97" i="32"/>
  <c r="C98" i="32"/>
  <c r="E98" i="32"/>
  <c r="G98" i="32"/>
  <c r="I98" i="32"/>
  <c r="K98" i="32"/>
  <c r="M98" i="32"/>
  <c r="O98" i="32"/>
  <c r="Q98" i="32"/>
  <c r="S98" i="32"/>
  <c r="U98" i="32"/>
  <c r="W98" i="32"/>
  <c r="Y98" i="32"/>
  <c r="AA98" i="32"/>
  <c r="AC98" i="32"/>
  <c r="C99" i="32"/>
  <c r="E99" i="32"/>
  <c r="G99" i="32"/>
  <c r="I99" i="32"/>
  <c r="K99" i="32"/>
  <c r="M99" i="32"/>
  <c r="O99" i="32"/>
  <c r="Q99" i="32"/>
  <c r="S99" i="32"/>
  <c r="U99" i="32"/>
  <c r="W99" i="32"/>
  <c r="Y99" i="32"/>
  <c r="AA99" i="32"/>
  <c r="AC99" i="32"/>
  <c r="C100" i="32"/>
  <c r="E100" i="32"/>
  <c r="G100" i="32"/>
  <c r="I100" i="32"/>
  <c r="K100" i="32"/>
  <c r="M100" i="32"/>
  <c r="O100" i="32"/>
  <c r="Q100" i="32"/>
  <c r="S100" i="32"/>
  <c r="U100" i="32"/>
  <c r="W100" i="32"/>
  <c r="Y100" i="32"/>
  <c r="AA100" i="32"/>
  <c r="AC100" i="32"/>
  <c r="C101" i="32"/>
  <c r="E101" i="32"/>
  <c r="G101" i="32"/>
  <c r="I101" i="32"/>
  <c r="K101" i="32"/>
  <c r="M101" i="32"/>
  <c r="O101" i="32"/>
  <c r="Q101" i="32"/>
  <c r="S101" i="32"/>
  <c r="U101" i="32"/>
  <c r="W101" i="32"/>
  <c r="Y101" i="32"/>
  <c r="AA101" i="32"/>
  <c r="AC101" i="32"/>
  <c r="C102" i="32"/>
  <c r="E102" i="32"/>
  <c r="G102" i="32"/>
  <c r="I102" i="32"/>
  <c r="K102" i="32"/>
  <c r="M102" i="32"/>
  <c r="O102" i="32"/>
  <c r="Q102" i="32"/>
  <c r="S102" i="32"/>
  <c r="U102" i="32"/>
  <c r="W102" i="32"/>
  <c r="Y102" i="32"/>
  <c r="AA102" i="32"/>
  <c r="AC102" i="32"/>
  <c r="C103" i="32"/>
  <c r="E103" i="32"/>
  <c r="G103" i="32"/>
  <c r="I103" i="32"/>
  <c r="K103" i="32"/>
  <c r="M103" i="32"/>
  <c r="O103" i="32"/>
  <c r="Q103" i="32"/>
  <c r="S103" i="32"/>
  <c r="U103" i="32"/>
  <c r="W103" i="32"/>
  <c r="Y103" i="32"/>
  <c r="AA103" i="32"/>
  <c r="AC103" i="32"/>
  <c r="C104" i="32"/>
  <c r="E104" i="32"/>
  <c r="G104" i="32"/>
  <c r="I104" i="32"/>
  <c r="K104" i="32"/>
  <c r="M104" i="32"/>
  <c r="O104" i="32"/>
  <c r="Q104" i="32"/>
  <c r="S104" i="32"/>
  <c r="U104" i="32"/>
  <c r="W104" i="32"/>
  <c r="Y104" i="32"/>
  <c r="AA104" i="32"/>
  <c r="AC104" i="32"/>
  <c r="C105" i="32"/>
  <c r="E105" i="32"/>
  <c r="G105" i="32"/>
  <c r="I105" i="32"/>
  <c r="K105" i="32"/>
  <c r="M105" i="32"/>
  <c r="O105" i="32"/>
  <c r="Q105" i="32"/>
  <c r="S105" i="32"/>
  <c r="U105" i="32"/>
  <c r="W105" i="32"/>
  <c r="Y105" i="32"/>
  <c r="AA105" i="32"/>
  <c r="AC105" i="32"/>
  <c r="C106" i="32"/>
  <c r="E106" i="32"/>
  <c r="G106" i="32"/>
  <c r="I106" i="32"/>
  <c r="K106" i="32"/>
  <c r="M106" i="32"/>
  <c r="O106" i="32"/>
  <c r="Q106" i="32"/>
  <c r="S106" i="32"/>
  <c r="U106" i="32"/>
  <c r="W106" i="32"/>
  <c r="Y106" i="32"/>
  <c r="AA106" i="32"/>
  <c r="AC106" i="32"/>
  <c r="C107" i="32"/>
  <c r="E107" i="32"/>
  <c r="G107" i="32"/>
  <c r="I107" i="32"/>
  <c r="K107" i="32"/>
  <c r="M107" i="32"/>
  <c r="O107" i="32"/>
  <c r="Q107" i="32"/>
  <c r="S107" i="32"/>
  <c r="U107" i="32"/>
  <c r="W107" i="32"/>
  <c r="Y107" i="32"/>
  <c r="AA107" i="32"/>
  <c r="AC107" i="32"/>
  <c r="C108" i="32"/>
  <c r="E108" i="32"/>
  <c r="G108" i="32"/>
  <c r="I108" i="32"/>
  <c r="K108" i="32"/>
  <c r="M108" i="32"/>
  <c r="O108" i="32"/>
  <c r="Q108" i="32"/>
  <c r="S108" i="32"/>
  <c r="U108" i="32"/>
  <c r="W108" i="32"/>
  <c r="Y108" i="32"/>
  <c r="AA108" i="32"/>
  <c r="AC108" i="32"/>
  <c r="C109" i="32"/>
  <c r="E109" i="32"/>
  <c r="G109" i="32"/>
  <c r="I109" i="32"/>
  <c r="K109" i="32"/>
  <c r="M109" i="32"/>
  <c r="O109" i="32"/>
  <c r="Q109" i="32"/>
  <c r="S109" i="32"/>
  <c r="U109" i="32"/>
  <c r="W109" i="32"/>
  <c r="Y109" i="32"/>
  <c r="AA109" i="32"/>
  <c r="AC109" i="32"/>
  <c r="C110" i="32"/>
  <c r="E110" i="32"/>
  <c r="G110" i="32"/>
  <c r="I110" i="32"/>
  <c r="K110" i="32"/>
  <c r="M110" i="32"/>
  <c r="O110" i="32"/>
  <c r="Q110" i="32"/>
  <c r="S110" i="32"/>
  <c r="U110" i="32"/>
  <c r="W110" i="32"/>
  <c r="Y110" i="32"/>
  <c r="AA110" i="32"/>
  <c r="AC110" i="32"/>
  <c r="C111" i="32"/>
  <c r="E111" i="32"/>
  <c r="G111" i="32"/>
  <c r="I111" i="32"/>
  <c r="K111" i="32"/>
  <c r="M111" i="32"/>
  <c r="O111" i="32"/>
  <c r="Q111" i="32"/>
  <c r="S111" i="32"/>
  <c r="U111" i="32"/>
  <c r="W111" i="32"/>
  <c r="Y111" i="32"/>
  <c r="AA111" i="32"/>
  <c r="AC111" i="32"/>
  <c r="C112" i="32"/>
  <c r="E112" i="32"/>
  <c r="G112" i="32"/>
  <c r="I112" i="32"/>
  <c r="K112" i="32"/>
  <c r="M112" i="32"/>
  <c r="O112" i="32"/>
  <c r="Q112" i="32"/>
  <c r="S112" i="32"/>
  <c r="U112" i="32"/>
  <c r="W112" i="32"/>
  <c r="Y112" i="32"/>
  <c r="AA112" i="32"/>
  <c r="AC112" i="32"/>
  <c r="C113" i="32"/>
  <c r="E113" i="32"/>
  <c r="G113" i="32"/>
  <c r="I113" i="32"/>
  <c r="K113" i="32"/>
  <c r="M113" i="32"/>
  <c r="O113" i="32"/>
  <c r="Q113" i="32"/>
  <c r="S113" i="32"/>
  <c r="U113" i="32"/>
  <c r="W113" i="32"/>
  <c r="Y113" i="32"/>
  <c r="AA113" i="32"/>
  <c r="AC113" i="32"/>
  <c r="C114" i="32"/>
  <c r="E114" i="32"/>
  <c r="G114" i="32"/>
  <c r="I114" i="32"/>
  <c r="K114" i="32"/>
  <c r="M114" i="32"/>
  <c r="O114" i="32"/>
  <c r="S114" i="32"/>
  <c r="U114" i="32"/>
  <c r="W114" i="32"/>
  <c r="Y114" i="32"/>
  <c r="AA114" i="32"/>
  <c r="AC114" i="32"/>
  <c r="AD114" i="32"/>
  <c r="AH114" i="32"/>
  <c r="C115" i="32"/>
  <c r="E115" i="32"/>
  <c r="G115" i="32"/>
  <c r="I115" i="32"/>
  <c r="K115" i="32"/>
  <c r="M115" i="32"/>
  <c r="O115" i="32"/>
  <c r="S115" i="32"/>
  <c r="U115" i="32"/>
  <c r="W115" i="32"/>
  <c r="Y115" i="32"/>
  <c r="AA115" i="32"/>
  <c r="AC115" i="32"/>
  <c r="C116" i="32"/>
  <c r="E116" i="32"/>
  <c r="G116" i="32"/>
  <c r="I116" i="32"/>
  <c r="K116" i="32"/>
  <c r="M116" i="32"/>
  <c r="O116" i="32"/>
  <c r="S116" i="32"/>
  <c r="U116" i="32"/>
  <c r="W116" i="32"/>
  <c r="Y116" i="32"/>
  <c r="AA116" i="32"/>
  <c r="AC116" i="32"/>
  <c r="C117" i="32"/>
  <c r="E117" i="32"/>
  <c r="G117" i="32"/>
  <c r="I117" i="32"/>
  <c r="K117" i="32"/>
  <c r="M117" i="32"/>
  <c r="O117" i="32"/>
  <c r="S117" i="32"/>
  <c r="U117" i="32"/>
  <c r="W117" i="32"/>
  <c r="Y117" i="32"/>
  <c r="AA117" i="32"/>
  <c r="AC117" i="32"/>
  <c r="C118" i="32"/>
  <c r="E118" i="32"/>
  <c r="G118" i="32"/>
  <c r="I118" i="32"/>
  <c r="K118" i="32"/>
  <c r="M118" i="32"/>
  <c r="O118" i="32"/>
  <c r="S118" i="32"/>
  <c r="U118" i="32"/>
  <c r="W118" i="32"/>
  <c r="Y118" i="32"/>
  <c r="AA118" i="32"/>
  <c r="AC118" i="32"/>
  <c r="C119" i="32"/>
  <c r="E119" i="32"/>
  <c r="G119" i="32"/>
  <c r="I119" i="32"/>
  <c r="K119" i="32"/>
  <c r="M119" i="32"/>
  <c r="O119" i="32"/>
  <c r="S119" i="32"/>
  <c r="U119" i="32"/>
  <c r="W119" i="32"/>
  <c r="Y119" i="32"/>
  <c r="AA119" i="32"/>
  <c r="AC119" i="32"/>
  <c r="C120" i="32"/>
  <c r="E120" i="32"/>
  <c r="G120" i="32"/>
  <c r="I120" i="32"/>
  <c r="K120" i="32"/>
  <c r="M120" i="32"/>
  <c r="O120" i="32"/>
  <c r="S120" i="32"/>
  <c r="U120" i="32"/>
  <c r="W120" i="32"/>
  <c r="Y120" i="32"/>
  <c r="AA120" i="32"/>
  <c r="AC120" i="32"/>
  <c r="C121" i="32"/>
  <c r="E121" i="32"/>
  <c r="G121" i="32"/>
  <c r="I121" i="32"/>
  <c r="K121" i="32"/>
  <c r="M121" i="32"/>
  <c r="O121" i="32"/>
  <c r="S121" i="32"/>
  <c r="U121" i="32"/>
  <c r="W121" i="32"/>
  <c r="Y121" i="32"/>
  <c r="AA121" i="32"/>
  <c r="AC121" i="32"/>
  <c r="C122" i="32"/>
  <c r="E122" i="32"/>
  <c r="G122" i="32"/>
  <c r="I122" i="32"/>
  <c r="K122" i="32"/>
  <c r="M122" i="32"/>
  <c r="O122" i="32"/>
  <c r="S122" i="32"/>
  <c r="U122" i="32"/>
  <c r="W122" i="32"/>
  <c r="Y122" i="32"/>
  <c r="AA122" i="32"/>
  <c r="AC122" i="32"/>
  <c r="C123" i="32"/>
  <c r="E123" i="32"/>
  <c r="G123" i="32"/>
  <c r="I123" i="32"/>
  <c r="K123" i="32"/>
  <c r="M123" i="32"/>
  <c r="O123" i="32"/>
  <c r="S123" i="32"/>
  <c r="U123" i="32"/>
  <c r="W123" i="32"/>
  <c r="Y123" i="32"/>
  <c r="AA123" i="32"/>
  <c r="AC123" i="32"/>
  <c r="C124" i="32"/>
  <c r="E124" i="32"/>
  <c r="G124" i="32"/>
  <c r="I124" i="32"/>
  <c r="K124" i="32"/>
  <c r="M124" i="32"/>
  <c r="O124" i="32"/>
  <c r="S124" i="32"/>
  <c r="U124" i="32"/>
  <c r="W124" i="32"/>
  <c r="Y124" i="32"/>
  <c r="AA124" i="32"/>
  <c r="AC124" i="32"/>
  <c r="C125" i="32"/>
  <c r="E125" i="32"/>
  <c r="G125" i="32"/>
  <c r="I125" i="32"/>
  <c r="K125" i="32"/>
  <c r="M125" i="32"/>
  <c r="O125" i="32"/>
  <c r="S125" i="32"/>
  <c r="U125" i="32"/>
  <c r="W125" i="32"/>
  <c r="Y125" i="32"/>
  <c r="AA125" i="32"/>
  <c r="AC125" i="32"/>
  <c r="C126" i="32"/>
  <c r="E126" i="32"/>
  <c r="G126" i="32"/>
  <c r="I126" i="32"/>
  <c r="K126" i="32"/>
  <c r="M126" i="32"/>
  <c r="O126" i="32"/>
  <c r="S126" i="32"/>
  <c r="U126" i="32"/>
  <c r="W126" i="32"/>
  <c r="Y126" i="32"/>
  <c r="AA126" i="32"/>
  <c r="AC126" i="32"/>
  <c r="C127" i="32"/>
  <c r="E127" i="32"/>
  <c r="G127" i="32"/>
  <c r="I127" i="32"/>
  <c r="K127" i="32"/>
  <c r="M127" i="32"/>
  <c r="O127" i="32"/>
  <c r="S127" i="32"/>
  <c r="U127" i="32"/>
  <c r="W127" i="32"/>
  <c r="Y127" i="32"/>
  <c r="AA127" i="32"/>
  <c r="AC127" i="32"/>
  <c r="C128" i="32"/>
  <c r="E128" i="32"/>
  <c r="G128" i="32"/>
  <c r="I128" i="32"/>
  <c r="K128" i="32"/>
  <c r="M128" i="32"/>
  <c r="O128" i="32"/>
  <c r="S128" i="32"/>
  <c r="U128" i="32"/>
  <c r="W128" i="32"/>
  <c r="Y128" i="32"/>
  <c r="AA128" i="32"/>
  <c r="AC128" i="32"/>
  <c r="C129" i="32"/>
  <c r="E129" i="32"/>
  <c r="G129" i="32"/>
  <c r="I129" i="32"/>
  <c r="K129" i="32"/>
  <c r="M129" i="32"/>
  <c r="O129" i="32"/>
  <c r="S129" i="32"/>
  <c r="U129" i="32"/>
  <c r="W129" i="32"/>
  <c r="Y129" i="32"/>
  <c r="AA129" i="32"/>
  <c r="AC129" i="32"/>
  <c r="C130" i="32"/>
  <c r="E130" i="32"/>
  <c r="G130" i="32"/>
  <c r="I130" i="32"/>
  <c r="K130" i="32"/>
  <c r="M130" i="32"/>
  <c r="O130" i="32"/>
  <c r="S130" i="32"/>
  <c r="U130" i="32"/>
  <c r="W130" i="32"/>
  <c r="Y130" i="32"/>
  <c r="AA130" i="32"/>
  <c r="AC130" i="32"/>
  <c r="C131" i="32"/>
  <c r="E131" i="32"/>
  <c r="G131" i="32"/>
  <c r="I131" i="32"/>
  <c r="K131" i="32"/>
  <c r="M131" i="32"/>
  <c r="O131" i="32"/>
  <c r="S131" i="32"/>
  <c r="U131" i="32"/>
  <c r="W131" i="32"/>
  <c r="Y131" i="32"/>
  <c r="AA131" i="32"/>
  <c r="AC131" i="32"/>
  <c r="C132" i="32"/>
  <c r="E132" i="32"/>
  <c r="G132" i="32"/>
  <c r="I132" i="32"/>
  <c r="K132" i="32"/>
  <c r="M132" i="32"/>
  <c r="O132" i="32"/>
  <c r="S132" i="32"/>
  <c r="U132" i="32"/>
  <c r="W132" i="32"/>
  <c r="Y132" i="32"/>
  <c r="AA132" i="32"/>
  <c r="AC132" i="32"/>
  <c r="C133" i="32"/>
  <c r="E133" i="32"/>
  <c r="G133" i="32"/>
  <c r="I133" i="32"/>
  <c r="K133" i="32"/>
  <c r="M133" i="32"/>
  <c r="O133" i="32"/>
  <c r="S133" i="32"/>
  <c r="U133" i="32"/>
  <c r="W133" i="32"/>
  <c r="Y133" i="32"/>
  <c r="AA133" i="32"/>
  <c r="AC133" i="32"/>
  <c r="C134" i="32"/>
  <c r="E134" i="32"/>
  <c r="G134" i="32"/>
  <c r="I134" i="32"/>
  <c r="K134" i="32"/>
  <c r="M134" i="32"/>
  <c r="O134" i="32"/>
  <c r="S134" i="32"/>
  <c r="U134" i="32"/>
  <c r="W134" i="32"/>
  <c r="Y134" i="32"/>
  <c r="AA134" i="32"/>
  <c r="AC134" i="32"/>
  <c r="C135" i="32"/>
  <c r="E135" i="32"/>
  <c r="G135" i="32"/>
  <c r="I135" i="32"/>
  <c r="K135" i="32"/>
  <c r="M135" i="32"/>
  <c r="O135" i="32"/>
  <c r="S135" i="32"/>
  <c r="U135" i="32"/>
  <c r="W135" i="32"/>
  <c r="Y135" i="32"/>
  <c r="AA135" i="32"/>
  <c r="AC135" i="32"/>
  <c r="C136" i="32"/>
  <c r="E136" i="32"/>
  <c r="G136" i="32"/>
  <c r="I136" i="32"/>
  <c r="K136" i="32"/>
  <c r="M136" i="32"/>
  <c r="O136" i="32"/>
  <c r="S136" i="32"/>
  <c r="U136" i="32"/>
  <c r="W136" i="32"/>
  <c r="Y136" i="32"/>
  <c r="AA136" i="32"/>
  <c r="AC136" i="32"/>
  <c r="C137" i="32"/>
  <c r="E137" i="32"/>
  <c r="G137" i="32"/>
  <c r="I137" i="32"/>
  <c r="K137" i="32"/>
  <c r="M137" i="32"/>
  <c r="O137" i="32"/>
  <c r="S137" i="32"/>
  <c r="U137" i="32"/>
  <c r="W137" i="32"/>
  <c r="Y137" i="32"/>
  <c r="AA137" i="32"/>
  <c r="AC137" i="32"/>
  <c r="C138" i="32"/>
  <c r="E138" i="32"/>
  <c r="G138" i="32"/>
  <c r="I138" i="32"/>
  <c r="K138" i="32"/>
  <c r="M138" i="32"/>
  <c r="O138" i="32"/>
  <c r="S138" i="32"/>
  <c r="U138" i="32"/>
  <c r="W138" i="32"/>
  <c r="Y138" i="32"/>
  <c r="AA138" i="32"/>
  <c r="AC138" i="32"/>
  <c r="C139" i="32"/>
  <c r="E139" i="32"/>
  <c r="G139" i="32"/>
  <c r="I139" i="32"/>
  <c r="K139" i="32"/>
  <c r="M139" i="32"/>
  <c r="O139" i="32"/>
  <c r="S139" i="32"/>
  <c r="U139" i="32"/>
  <c r="W139" i="32"/>
  <c r="Y139" i="32"/>
  <c r="AA139" i="32"/>
  <c r="AC139" i="32"/>
  <c r="C140" i="32"/>
  <c r="E140" i="32"/>
  <c r="G140" i="32"/>
  <c r="I140" i="32"/>
  <c r="K140" i="32"/>
  <c r="M140" i="32"/>
  <c r="O140" i="32"/>
  <c r="S140" i="32"/>
  <c r="U140" i="32"/>
  <c r="W140" i="32"/>
  <c r="Y140" i="32"/>
  <c r="AA140" i="32"/>
  <c r="AC140" i="32"/>
  <c r="C141" i="32"/>
  <c r="E141" i="32"/>
  <c r="G141" i="32"/>
  <c r="I141" i="32"/>
  <c r="K141" i="32"/>
  <c r="M141" i="32"/>
  <c r="O141" i="32"/>
  <c r="S141" i="32"/>
  <c r="U141" i="32"/>
  <c r="W141" i="32"/>
  <c r="Y141" i="32"/>
  <c r="AA141" i="32"/>
  <c r="AC141" i="32"/>
  <c r="C142" i="32"/>
  <c r="E142" i="32"/>
  <c r="G142" i="32"/>
  <c r="I142" i="32"/>
  <c r="K142" i="32"/>
  <c r="M142" i="32"/>
  <c r="O142" i="32"/>
  <c r="S142" i="32"/>
  <c r="U142" i="32"/>
  <c r="W142" i="32"/>
  <c r="Y142" i="32"/>
  <c r="AA142" i="32"/>
  <c r="AC142" i="32"/>
  <c r="C143" i="32"/>
  <c r="E143" i="32"/>
  <c r="G143" i="32"/>
  <c r="I143" i="32"/>
  <c r="K143" i="32"/>
  <c r="M143" i="32"/>
  <c r="O143" i="32"/>
  <c r="S143" i="32"/>
  <c r="U143" i="32"/>
  <c r="W143" i="32"/>
  <c r="Y143" i="32"/>
  <c r="AA143" i="32"/>
  <c r="AC143" i="32"/>
  <c r="C144" i="32"/>
  <c r="E144" i="32"/>
  <c r="G144" i="32"/>
  <c r="I144" i="32"/>
  <c r="K144" i="32"/>
  <c r="M144" i="32"/>
  <c r="O144" i="32"/>
  <c r="S144" i="32"/>
  <c r="U144" i="32"/>
  <c r="W144" i="32"/>
  <c r="Y144" i="32"/>
  <c r="AA144" i="32"/>
  <c r="AC144" i="32"/>
  <c r="C145" i="32"/>
  <c r="E145" i="32"/>
  <c r="G145" i="32"/>
  <c r="I145" i="32"/>
  <c r="K145" i="32"/>
  <c r="M145" i="32"/>
  <c r="O145" i="32"/>
  <c r="S145" i="32"/>
  <c r="U145" i="32"/>
  <c r="W145" i="32"/>
  <c r="Y145" i="32"/>
  <c r="AA145" i="32"/>
  <c r="AC145" i="32"/>
  <c r="C146" i="32"/>
  <c r="E146" i="32"/>
  <c r="G146" i="32"/>
  <c r="I146" i="32"/>
  <c r="K146" i="32"/>
  <c r="M146" i="32"/>
  <c r="O146" i="32"/>
  <c r="S146" i="32"/>
  <c r="U146" i="32"/>
  <c r="W146" i="32"/>
  <c r="Y146" i="32"/>
  <c r="AA146" i="32"/>
  <c r="AC146" i="32"/>
  <c r="C147" i="32"/>
  <c r="E147" i="32"/>
  <c r="G147" i="32"/>
  <c r="I147" i="32"/>
  <c r="K147" i="32"/>
  <c r="M147" i="32"/>
  <c r="O147" i="32"/>
  <c r="S147" i="32"/>
  <c r="U147" i="32"/>
  <c r="W147" i="32"/>
  <c r="Y147" i="32"/>
  <c r="AA147" i="32"/>
  <c r="AC147" i="32"/>
  <c r="C148" i="32"/>
  <c r="E148" i="32"/>
  <c r="G148" i="32"/>
  <c r="I148" i="32"/>
  <c r="K148" i="32"/>
  <c r="M148" i="32"/>
  <c r="O148" i="32"/>
  <c r="S148" i="32"/>
  <c r="U148" i="32"/>
  <c r="W148" i="32"/>
  <c r="Y148" i="32"/>
  <c r="AA148" i="32"/>
  <c r="AC148" i="32"/>
  <c r="C149" i="32"/>
  <c r="E149" i="32"/>
  <c r="G149" i="32"/>
  <c r="I149" i="32"/>
  <c r="K149" i="32"/>
  <c r="M149" i="32"/>
  <c r="O149" i="32"/>
  <c r="S149" i="32"/>
  <c r="U149" i="32"/>
  <c r="W149" i="32"/>
  <c r="Y149" i="32"/>
  <c r="AA149" i="32"/>
  <c r="AC149" i="32"/>
  <c r="AD149" i="32"/>
  <c r="AH149" i="32"/>
  <c r="C150" i="32"/>
  <c r="E150" i="32"/>
  <c r="G150" i="32"/>
  <c r="I150" i="32"/>
  <c r="K150" i="32"/>
  <c r="O150" i="32"/>
  <c r="Q150" i="32"/>
  <c r="S150" i="32"/>
  <c r="U150" i="32"/>
  <c r="W150" i="32"/>
  <c r="Y150" i="32"/>
  <c r="AA150" i="32"/>
  <c r="AC150" i="32"/>
  <c r="C151" i="32"/>
  <c r="E151" i="32"/>
  <c r="G151" i="32"/>
  <c r="I151" i="32"/>
  <c r="K151" i="32"/>
  <c r="O151" i="32"/>
  <c r="Q151" i="32"/>
  <c r="S151" i="32"/>
  <c r="U151" i="32"/>
  <c r="W151" i="32"/>
  <c r="Y151" i="32"/>
  <c r="AA151" i="32"/>
  <c r="AC151" i="32"/>
  <c r="C152" i="32"/>
  <c r="E152" i="32"/>
  <c r="G152" i="32"/>
  <c r="I152" i="32"/>
  <c r="K152" i="32"/>
  <c r="O152" i="32"/>
  <c r="Q152" i="32"/>
  <c r="S152" i="32"/>
  <c r="U152" i="32"/>
  <c r="W152" i="32"/>
  <c r="Y152" i="32"/>
  <c r="AA152" i="32"/>
  <c r="AC152" i="32"/>
  <c r="C153" i="32"/>
  <c r="E153" i="32"/>
  <c r="G153" i="32"/>
  <c r="I153" i="32"/>
  <c r="K153" i="32"/>
  <c r="O153" i="32"/>
  <c r="Q153" i="32"/>
  <c r="S153" i="32"/>
  <c r="U153" i="32"/>
  <c r="W153" i="32"/>
  <c r="Y153" i="32"/>
  <c r="AA153" i="32"/>
  <c r="AC153" i="32"/>
  <c r="C154" i="32"/>
  <c r="E154" i="32"/>
  <c r="G154" i="32"/>
  <c r="I154" i="32"/>
  <c r="K154" i="32"/>
  <c r="O154" i="32"/>
  <c r="Q154" i="32"/>
  <c r="S154" i="32"/>
  <c r="U154" i="32"/>
  <c r="W154" i="32"/>
  <c r="Y154" i="32"/>
  <c r="AA154" i="32"/>
  <c r="AC154" i="32"/>
  <c r="C155" i="32"/>
  <c r="E155" i="32"/>
  <c r="G155" i="32"/>
  <c r="I155" i="32"/>
  <c r="K155" i="32"/>
  <c r="O155" i="32"/>
  <c r="Q155" i="32"/>
  <c r="S155" i="32"/>
  <c r="U155" i="32"/>
  <c r="W155" i="32"/>
  <c r="Y155" i="32"/>
  <c r="AA155" i="32"/>
  <c r="AC155" i="32"/>
  <c r="C156" i="32"/>
  <c r="E156" i="32"/>
  <c r="G156" i="32"/>
  <c r="I156" i="32"/>
  <c r="K156" i="32"/>
  <c r="O156" i="32"/>
  <c r="Q156" i="32"/>
  <c r="S156" i="32"/>
  <c r="U156" i="32"/>
  <c r="W156" i="32"/>
  <c r="Y156" i="32"/>
  <c r="AA156" i="32"/>
  <c r="AC156" i="32"/>
  <c r="C157" i="32"/>
  <c r="E157" i="32"/>
  <c r="G157" i="32"/>
  <c r="I157" i="32"/>
  <c r="K157" i="32"/>
  <c r="O157" i="32"/>
  <c r="Q157" i="32"/>
  <c r="S157" i="32"/>
  <c r="U157" i="32"/>
  <c r="W157" i="32"/>
  <c r="Y157" i="32"/>
  <c r="AA157" i="32"/>
  <c r="AC157" i="32"/>
  <c r="C158" i="32"/>
  <c r="E158" i="32"/>
  <c r="G158" i="32"/>
  <c r="I158" i="32"/>
  <c r="K158" i="32"/>
  <c r="O158" i="32"/>
  <c r="Q158" i="32"/>
  <c r="S158" i="32"/>
  <c r="U158" i="32"/>
  <c r="W158" i="32"/>
  <c r="Y158" i="32"/>
  <c r="AA158" i="32"/>
  <c r="AC158" i="32"/>
  <c r="C159" i="32"/>
  <c r="E159" i="32"/>
  <c r="G159" i="32"/>
  <c r="I159" i="32"/>
  <c r="K159" i="32"/>
  <c r="O159" i="32"/>
  <c r="Q159" i="32"/>
  <c r="S159" i="32"/>
  <c r="U159" i="32"/>
  <c r="W159" i="32"/>
  <c r="Y159" i="32"/>
  <c r="AA159" i="32"/>
  <c r="AC159" i="32"/>
  <c r="C160" i="32"/>
  <c r="E160" i="32"/>
  <c r="G160" i="32"/>
  <c r="I160" i="32"/>
  <c r="K160" i="32"/>
  <c r="O160" i="32"/>
  <c r="Q160" i="32"/>
  <c r="S160" i="32"/>
  <c r="U160" i="32"/>
  <c r="W160" i="32"/>
  <c r="Y160" i="32"/>
  <c r="AA160" i="32"/>
  <c r="AC160" i="32"/>
  <c r="C161" i="32"/>
  <c r="E161" i="32"/>
  <c r="G161" i="32"/>
  <c r="I161" i="32"/>
  <c r="K161" i="32"/>
  <c r="O161" i="32"/>
  <c r="Q161" i="32"/>
  <c r="S161" i="32"/>
  <c r="U161" i="32"/>
  <c r="W161" i="32"/>
  <c r="Y161" i="32"/>
  <c r="AA161" i="32"/>
  <c r="AC161" i="32"/>
  <c r="C162" i="32"/>
  <c r="E162" i="32"/>
  <c r="G162" i="32"/>
  <c r="I162" i="32"/>
  <c r="K162" i="32"/>
  <c r="O162" i="32"/>
  <c r="Q162" i="32"/>
  <c r="S162" i="32"/>
  <c r="U162" i="32"/>
  <c r="W162" i="32"/>
  <c r="Y162" i="32"/>
  <c r="AA162" i="32"/>
  <c r="AC162" i="32"/>
  <c r="C163" i="32"/>
  <c r="E163" i="32"/>
  <c r="G163" i="32"/>
  <c r="I163" i="32"/>
  <c r="K163" i="32"/>
  <c r="O163" i="32"/>
  <c r="Q163" i="32"/>
  <c r="S163" i="32"/>
  <c r="U163" i="32"/>
  <c r="W163" i="32"/>
  <c r="Y163" i="32"/>
  <c r="AA163" i="32"/>
  <c r="AC163" i="32"/>
  <c r="C164" i="32"/>
  <c r="E164" i="32"/>
  <c r="G164" i="32"/>
  <c r="I164" i="32"/>
  <c r="K164" i="32"/>
  <c r="O164" i="32"/>
  <c r="Q164" i="32"/>
  <c r="S164" i="32"/>
  <c r="U164" i="32"/>
  <c r="W164" i="32"/>
  <c r="Y164" i="32"/>
  <c r="AA164" i="32"/>
  <c r="AC164" i="32"/>
  <c r="C165" i="32"/>
  <c r="E165" i="32"/>
  <c r="G165" i="32"/>
  <c r="I165" i="32"/>
  <c r="K165" i="32"/>
  <c r="O165" i="32"/>
  <c r="Q165" i="32"/>
  <c r="S165" i="32"/>
  <c r="U165" i="32"/>
  <c r="W165" i="32"/>
  <c r="Y165" i="32"/>
  <c r="AA165" i="32"/>
  <c r="AC165" i="32"/>
  <c r="C166" i="32"/>
  <c r="E166" i="32"/>
  <c r="G166" i="32"/>
  <c r="I166" i="32"/>
  <c r="K166" i="32"/>
  <c r="O166" i="32"/>
  <c r="Q166" i="32"/>
  <c r="S166" i="32"/>
  <c r="U166" i="32"/>
  <c r="W166" i="32"/>
  <c r="Y166" i="32"/>
  <c r="AA166" i="32"/>
  <c r="AC166" i="32"/>
  <c r="C167" i="32"/>
  <c r="E167" i="32"/>
  <c r="G167" i="32"/>
  <c r="I167" i="32"/>
  <c r="K167" i="32"/>
  <c r="O167" i="32"/>
  <c r="Q167" i="32"/>
  <c r="S167" i="32"/>
  <c r="U167" i="32"/>
  <c r="W167" i="32"/>
  <c r="Y167" i="32"/>
  <c r="AA167" i="32"/>
  <c r="AC167" i="32"/>
  <c r="C168" i="32"/>
  <c r="E168" i="32"/>
  <c r="G168" i="32"/>
  <c r="I168" i="32"/>
  <c r="K168" i="32"/>
  <c r="O168" i="32"/>
  <c r="Q168" i="32"/>
  <c r="S168" i="32"/>
  <c r="U168" i="32"/>
  <c r="W168" i="32"/>
  <c r="Y168" i="32"/>
  <c r="AA168" i="32"/>
  <c r="AC168" i="32"/>
  <c r="C169" i="32"/>
  <c r="E169" i="32"/>
  <c r="G169" i="32"/>
  <c r="I169" i="32"/>
  <c r="K169" i="32"/>
  <c r="O169" i="32"/>
  <c r="Q169" i="32"/>
  <c r="S169" i="32"/>
  <c r="U169" i="32"/>
  <c r="W169" i="32"/>
  <c r="Y169" i="32"/>
  <c r="AA169" i="32"/>
  <c r="AC169" i="32"/>
  <c r="C170" i="32"/>
  <c r="E170" i="32"/>
  <c r="G170" i="32"/>
  <c r="I170" i="32"/>
  <c r="K170" i="32"/>
  <c r="O170" i="32"/>
  <c r="Q170" i="32"/>
  <c r="S170" i="32"/>
  <c r="U170" i="32"/>
  <c r="W170" i="32"/>
  <c r="Y170" i="32"/>
  <c r="AA170" i="32"/>
  <c r="AC170" i="32"/>
  <c r="C171" i="32"/>
  <c r="E171" i="32"/>
  <c r="G171" i="32"/>
  <c r="I171" i="32"/>
  <c r="K171" i="32"/>
  <c r="O171" i="32"/>
  <c r="Q171" i="32"/>
  <c r="S171" i="32"/>
  <c r="U171" i="32"/>
  <c r="W171" i="32"/>
  <c r="Y171" i="32"/>
  <c r="AA171" i="32"/>
  <c r="AC171" i="32"/>
  <c r="C172" i="32"/>
  <c r="E172" i="32"/>
  <c r="G172" i="32"/>
  <c r="I172" i="32"/>
  <c r="K172" i="32"/>
  <c r="O172" i="32"/>
  <c r="Q172" i="32"/>
  <c r="S172" i="32"/>
  <c r="U172" i="32"/>
  <c r="W172" i="32"/>
  <c r="Y172" i="32"/>
  <c r="AA172" i="32"/>
  <c r="AC172" i="32"/>
  <c r="C173" i="32"/>
  <c r="E173" i="32"/>
  <c r="G173" i="32"/>
  <c r="I173" i="32"/>
  <c r="K173" i="32"/>
  <c r="O173" i="32"/>
  <c r="Q173" i="32"/>
  <c r="S173" i="32"/>
  <c r="U173" i="32"/>
  <c r="W173" i="32"/>
  <c r="Y173" i="32"/>
  <c r="AA173" i="32"/>
  <c r="AC173" i="32"/>
  <c r="C174" i="32"/>
  <c r="E174" i="32"/>
  <c r="G174" i="32"/>
  <c r="I174" i="32"/>
  <c r="K174" i="32"/>
  <c r="O174" i="32"/>
  <c r="Q174" i="32"/>
  <c r="S174" i="32"/>
  <c r="U174" i="32"/>
  <c r="W174" i="32"/>
  <c r="Y174" i="32"/>
  <c r="AA174" i="32"/>
  <c r="AC174" i="32"/>
  <c r="C175" i="32"/>
  <c r="E175" i="32"/>
  <c r="G175" i="32"/>
  <c r="I175" i="32"/>
  <c r="K175" i="32"/>
  <c r="O175" i="32"/>
  <c r="Q175" i="32"/>
  <c r="S175" i="32"/>
  <c r="U175" i="32"/>
  <c r="W175" i="32"/>
  <c r="Y175" i="32"/>
  <c r="AA175" i="32"/>
  <c r="AC175" i="32"/>
  <c r="C176" i="32"/>
  <c r="E176" i="32"/>
  <c r="G176" i="32"/>
  <c r="I176" i="32"/>
  <c r="K176" i="32"/>
  <c r="O176" i="32"/>
  <c r="Q176" i="32"/>
  <c r="S176" i="32"/>
  <c r="U176" i="32"/>
  <c r="W176" i="32"/>
  <c r="Y176" i="32"/>
  <c r="AA176" i="32"/>
  <c r="AC176" i="32"/>
  <c r="C177" i="32"/>
  <c r="E177" i="32"/>
  <c r="G177" i="32"/>
  <c r="I177" i="32"/>
  <c r="K177" i="32"/>
  <c r="O177" i="32"/>
  <c r="Q177" i="32"/>
  <c r="S177" i="32"/>
  <c r="U177" i="32"/>
  <c r="W177" i="32"/>
  <c r="Y177" i="32"/>
  <c r="AA177" i="32"/>
  <c r="AC177" i="32"/>
  <c r="C178" i="32"/>
  <c r="E178" i="32"/>
  <c r="G178" i="32"/>
  <c r="I178" i="32"/>
  <c r="K178" i="32"/>
  <c r="O178" i="32"/>
  <c r="Q178" i="32"/>
  <c r="S178" i="32"/>
  <c r="U178" i="32"/>
  <c r="W178" i="32"/>
  <c r="Y178" i="32"/>
  <c r="AA178" i="32"/>
  <c r="AC178" i="32"/>
  <c r="C179" i="32"/>
  <c r="E179" i="32"/>
  <c r="G179" i="32"/>
  <c r="I179" i="32"/>
  <c r="K179" i="32"/>
  <c r="O179" i="32"/>
  <c r="Q179" i="32"/>
  <c r="S179" i="32"/>
  <c r="U179" i="32"/>
  <c r="W179" i="32"/>
  <c r="Y179" i="32"/>
  <c r="AA179" i="32"/>
  <c r="AC179" i="32"/>
  <c r="C180" i="32"/>
  <c r="E180" i="32"/>
  <c r="G180" i="32"/>
  <c r="I180" i="32"/>
  <c r="K180" i="32"/>
  <c r="O180" i="32"/>
  <c r="Q180" i="32"/>
  <c r="S180" i="32"/>
  <c r="U180" i="32"/>
  <c r="W180" i="32"/>
  <c r="Y180" i="32"/>
  <c r="AA180" i="32"/>
  <c r="AC180" i="32"/>
  <c r="C181" i="32"/>
  <c r="E181" i="32"/>
  <c r="G181" i="32"/>
  <c r="I181" i="32"/>
  <c r="K181" i="32"/>
  <c r="O181" i="32"/>
  <c r="Q181" i="32"/>
  <c r="S181" i="32"/>
  <c r="U181" i="32"/>
  <c r="W181" i="32"/>
  <c r="Y181" i="32"/>
  <c r="AA181" i="32"/>
  <c r="AC181" i="32"/>
  <c r="C182" i="32"/>
  <c r="E182" i="32"/>
  <c r="G182" i="32"/>
  <c r="I182" i="32"/>
  <c r="K182" i="32"/>
  <c r="O182" i="32"/>
  <c r="Q182" i="32"/>
  <c r="S182" i="32"/>
  <c r="U182" i="32"/>
  <c r="W182" i="32"/>
  <c r="Y182" i="32"/>
  <c r="AA182" i="32"/>
  <c r="AC182" i="32"/>
  <c r="C183" i="32"/>
  <c r="E183" i="32"/>
  <c r="G183" i="32"/>
  <c r="I183" i="32"/>
  <c r="K183" i="32"/>
  <c r="O183" i="32"/>
  <c r="Q183" i="32"/>
  <c r="S183" i="32"/>
  <c r="U183" i="32"/>
  <c r="W183" i="32"/>
  <c r="Y183" i="32"/>
  <c r="AA183" i="32"/>
  <c r="AC183" i="32"/>
  <c r="C184" i="32"/>
  <c r="E184" i="32"/>
  <c r="G184" i="32"/>
  <c r="I184" i="32"/>
  <c r="K184" i="32"/>
  <c r="M184" i="32"/>
  <c r="O184" i="32"/>
  <c r="Q184" i="32"/>
  <c r="S184" i="32"/>
  <c r="U184" i="32"/>
  <c r="W184" i="32"/>
  <c r="Y184" i="32"/>
  <c r="AA184" i="32"/>
  <c r="AC184" i="32"/>
  <c r="AD184" i="32"/>
  <c r="AH184" i="32"/>
  <c r="C185" i="32"/>
  <c r="E185" i="32"/>
  <c r="G185" i="32"/>
  <c r="I185" i="32"/>
  <c r="K185" i="32"/>
  <c r="M185" i="32"/>
  <c r="O185" i="32"/>
  <c r="Q185" i="32"/>
  <c r="S185" i="32"/>
  <c r="U185" i="32"/>
  <c r="W185" i="32"/>
  <c r="Y185" i="32"/>
  <c r="AA185" i="32"/>
  <c r="AC185" i="32"/>
  <c r="C186" i="32"/>
  <c r="E186" i="32"/>
  <c r="G186" i="32"/>
  <c r="I186" i="32"/>
  <c r="K186" i="32"/>
  <c r="M186" i="32"/>
  <c r="O186" i="32"/>
  <c r="Q186" i="32"/>
  <c r="S186" i="32"/>
  <c r="U186" i="32"/>
  <c r="W186" i="32"/>
  <c r="Y186" i="32"/>
  <c r="AA186" i="32"/>
  <c r="AC186" i="32"/>
  <c r="C187" i="32"/>
  <c r="E187" i="32"/>
  <c r="G187" i="32"/>
  <c r="I187" i="32"/>
  <c r="K187" i="32"/>
  <c r="M187" i="32"/>
  <c r="O187" i="32"/>
  <c r="Q187" i="32"/>
  <c r="S187" i="32"/>
  <c r="U187" i="32"/>
  <c r="W187" i="32"/>
  <c r="Y187" i="32"/>
  <c r="AA187" i="32"/>
  <c r="AC187" i="32"/>
  <c r="C188" i="32"/>
  <c r="E188" i="32"/>
  <c r="G188" i="32"/>
  <c r="I188" i="32"/>
  <c r="K188" i="32"/>
  <c r="M188" i="32"/>
  <c r="O188" i="32"/>
  <c r="Q188" i="32"/>
  <c r="S188" i="32"/>
  <c r="U188" i="32"/>
  <c r="W188" i="32"/>
  <c r="Y188" i="32"/>
  <c r="AA188" i="32"/>
  <c r="AC188" i="32"/>
  <c r="C189" i="32"/>
  <c r="E189" i="32"/>
  <c r="G189" i="32"/>
  <c r="I189" i="32"/>
  <c r="K189" i="32"/>
  <c r="M189" i="32"/>
  <c r="O189" i="32"/>
  <c r="Q189" i="32"/>
  <c r="S189" i="32"/>
  <c r="U189" i="32"/>
  <c r="W189" i="32"/>
  <c r="Y189" i="32"/>
  <c r="AA189" i="32"/>
  <c r="AC189" i="32"/>
  <c r="C190" i="32"/>
  <c r="E190" i="32"/>
  <c r="G190" i="32"/>
  <c r="I190" i="32"/>
  <c r="K190" i="32"/>
  <c r="M190" i="32"/>
  <c r="O190" i="32"/>
  <c r="Q190" i="32"/>
  <c r="S190" i="32"/>
  <c r="U190" i="32"/>
  <c r="W190" i="32"/>
  <c r="Y190" i="32"/>
  <c r="AA190" i="32"/>
  <c r="AC190" i="32"/>
  <c r="C191" i="32"/>
  <c r="E191" i="32"/>
  <c r="G191" i="32"/>
  <c r="I191" i="32"/>
  <c r="K191" i="32"/>
  <c r="M191" i="32"/>
  <c r="O191" i="32"/>
  <c r="Q191" i="32"/>
  <c r="S191" i="32"/>
  <c r="U191" i="32"/>
  <c r="W191" i="32"/>
  <c r="Y191" i="32"/>
  <c r="AA191" i="32"/>
  <c r="AC191" i="32"/>
  <c r="C192" i="32"/>
  <c r="E192" i="32"/>
  <c r="G192" i="32"/>
  <c r="I192" i="32"/>
  <c r="K192" i="32"/>
  <c r="M192" i="32"/>
  <c r="O192" i="32"/>
  <c r="Q192" i="32"/>
  <c r="S192" i="32"/>
  <c r="U192" i="32"/>
  <c r="W192" i="32"/>
  <c r="Y192" i="32"/>
  <c r="AA192" i="32"/>
  <c r="AC192" i="32"/>
  <c r="C193" i="32"/>
  <c r="E193" i="32"/>
  <c r="G193" i="32"/>
  <c r="I193" i="32"/>
  <c r="K193" i="32"/>
  <c r="M193" i="32"/>
  <c r="O193" i="32"/>
  <c r="Q193" i="32"/>
  <c r="S193" i="32"/>
  <c r="U193" i="32"/>
  <c r="W193" i="32"/>
  <c r="Y193" i="32"/>
  <c r="AA193" i="32"/>
  <c r="AC193" i="32"/>
  <c r="C194" i="32"/>
  <c r="E194" i="32"/>
  <c r="G194" i="32"/>
  <c r="I194" i="32"/>
  <c r="K194" i="32"/>
  <c r="M194" i="32"/>
  <c r="O194" i="32"/>
  <c r="Q194" i="32"/>
  <c r="S194" i="32"/>
  <c r="U194" i="32"/>
  <c r="W194" i="32"/>
  <c r="Y194" i="32"/>
  <c r="AA194" i="32"/>
  <c r="AC194" i="32"/>
  <c r="C195" i="32"/>
  <c r="E195" i="32"/>
  <c r="G195" i="32"/>
  <c r="I195" i="32"/>
  <c r="K195" i="32"/>
  <c r="M195" i="32"/>
  <c r="O195" i="32"/>
  <c r="Q195" i="32"/>
  <c r="S195" i="32"/>
  <c r="U195" i="32"/>
  <c r="W195" i="32"/>
  <c r="Y195" i="32"/>
  <c r="AA195" i="32"/>
  <c r="AC195" i="32"/>
  <c r="C196" i="32"/>
  <c r="E196" i="32"/>
  <c r="G196" i="32"/>
  <c r="I196" i="32"/>
  <c r="K196" i="32"/>
  <c r="M196" i="32"/>
  <c r="O196" i="32"/>
  <c r="Q196" i="32"/>
  <c r="S196" i="32"/>
  <c r="U196" i="32"/>
  <c r="W196" i="32"/>
  <c r="Y196" i="32"/>
  <c r="AA196" i="32"/>
  <c r="AC196" i="32"/>
  <c r="C197" i="32"/>
  <c r="E197" i="32"/>
  <c r="G197" i="32"/>
  <c r="I197" i="32"/>
  <c r="K197" i="32"/>
  <c r="M197" i="32"/>
  <c r="O197" i="32"/>
  <c r="Q197" i="32"/>
  <c r="S197" i="32"/>
  <c r="U197" i="32"/>
  <c r="W197" i="32"/>
  <c r="Y197" i="32"/>
  <c r="AA197" i="32"/>
  <c r="AC197" i="32"/>
  <c r="C198" i="32"/>
  <c r="E198" i="32"/>
  <c r="G198" i="32"/>
  <c r="I198" i="32"/>
  <c r="K198" i="32"/>
  <c r="M198" i="32"/>
  <c r="O198" i="32"/>
  <c r="Q198" i="32"/>
  <c r="S198" i="32"/>
  <c r="U198" i="32"/>
  <c r="W198" i="32"/>
  <c r="Y198" i="32"/>
  <c r="AA198" i="32"/>
  <c r="AC198" i="32"/>
  <c r="C199" i="32"/>
  <c r="E199" i="32"/>
  <c r="G199" i="32"/>
  <c r="I199" i="32"/>
  <c r="K199" i="32"/>
  <c r="M199" i="32"/>
  <c r="O199" i="32"/>
  <c r="Q199" i="32"/>
  <c r="S199" i="32"/>
  <c r="U199" i="32"/>
  <c r="W199" i="32"/>
  <c r="Y199" i="32"/>
  <c r="AA199" i="32"/>
  <c r="AC199" i="32"/>
  <c r="C200" i="32"/>
  <c r="E200" i="32"/>
  <c r="G200" i="32"/>
  <c r="I200" i="32"/>
  <c r="K200" i="32"/>
  <c r="M200" i="32"/>
  <c r="O200" i="32"/>
  <c r="Q200" i="32"/>
  <c r="S200" i="32"/>
  <c r="U200" i="32"/>
  <c r="W200" i="32"/>
  <c r="Y200" i="32"/>
  <c r="AA200" i="32"/>
  <c r="AC200" i="32"/>
  <c r="C201" i="32"/>
  <c r="E201" i="32"/>
  <c r="G201" i="32"/>
  <c r="I201" i="32"/>
  <c r="K201" i="32"/>
  <c r="M201" i="32"/>
  <c r="O201" i="32"/>
  <c r="Q201" i="32"/>
  <c r="S201" i="32"/>
  <c r="U201" i="32"/>
  <c r="W201" i="32"/>
  <c r="Y201" i="32"/>
  <c r="AA201" i="32"/>
  <c r="AC201" i="32"/>
  <c r="C202" i="32"/>
  <c r="E202" i="32"/>
  <c r="G202" i="32"/>
  <c r="I202" i="32"/>
  <c r="K202" i="32"/>
  <c r="M202" i="32"/>
  <c r="O202" i="32"/>
  <c r="Q202" i="32"/>
  <c r="S202" i="32"/>
  <c r="U202" i="32"/>
  <c r="W202" i="32"/>
  <c r="Y202" i="32"/>
  <c r="AA202" i="32"/>
  <c r="AC202" i="32"/>
  <c r="C203" i="32"/>
  <c r="E203" i="32"/>
  <c r="G203" i="32"/>
  <c r="I203" i="32"/>
  <c r="K203" i="32"/>
  <c r="M203" i="32"/>
  <c r="O203" i="32"/>
  <c r="Q203" i="32"/>
  <c r="S203" i="32"/>
  <c r="U203" i="32"/>
  <c r="W203" i="32"/>
  <c r="Y203" i="32"/>
  <c r="AA203" i="32"/>
  <c r="AC203" i="32"/>
  <c r="C204" i="32"/>
  <c r="E204" i="32"/>
  <c r="G204" i="32"/>
  <c r="I204" i="32"/>
  <c r="K204" i="32"/>
  <c r="M204" i="32"/>
  <c r="O204" i="32"/>
  <c r="Q204" i="32"/>
  <c r="S204" i="32"/>
  <c r="U204" i="32"/>
  <c r="W204" i="32"/>
  <c r="Y204" i="32"/>
  <c r="AA204" i="32"/>
  <c r="AC204" i="32"/>
  <c r="C205" i="32"/>
  <c r="E205" i="32"/>
  <c r="G205" i="32"/>
  <c r="I205" i="32"/>
  <c r="K205" i="32"/>
  <c r="M205" i="32"/>
  <c r="O205" i="32"/>
  <c r="Q205" i="32"/>
  <c r="S205" i="32"/>
  <c r="U205" i="32"/>
  <c r="W205" i="32"/>
  <c r="Y205" i="32"/>
  <c r="AA205" i="32"/>
  <c r="AC205" i="32"/>
  <c r="C206" i="32"/>
  <c r="E206" i="32"/>
  <c r="G206" i="32"/>
  <c r="I206" i="32"/>
  <c r="K206" i="32"/>
  <c r="M206" i="32"/>
  <c r="O206" i="32"/>
  <c r="Q206" i="32"/>
  <c r="S206" i="32"/>
  <c r="U206" i="32"/>
  <c r="W206" i="32"/>
  <c r="Y206" i="32"/>
  <c r="AA206" i="32"/>
  <c r="AC206" i="32"/>
  <c r="C207" i="32"/>
  <c r="E207" i="32"/>
  <c r="G207" i="32"/>
  <c r="I207" i="32"/>
  <c r="K207" i="32"/>
  <c r="M207" i="32"/>
  <c r="O207" i="32"/>
  <c r="Q207" i="32"/>
  <c r="S207" i="32"/>
  <c r="U207" i="32"/>
  <c r="W207" i="32"/>
  <c r="Y207" i="32"/>
  <c r="AA207" i="32"/>
  <c r="AC207" i="32"/>
  <c r="C208" i="32"/>
  <c r="E208" i="32"/>
  <c r="G208" i="32"/>
  <c r="I208" i="32"/>
  <c r="K208" i="32"/>
  <c r="M208" i="32"/>
  <c r="O208" i="32"/>
  <c r="Q208" i="32"/>
  <c r="S208" i="32"/>
  <c r="U208" i="32"/>
  <c r="W208" i="32"/>
  <c r="Y208" i="32"/>
  <c r="AA208" i="32"/>
  <c r="AC208" i="32"/>
  <c r="C209" i="32"/>
  <c r="E209" i="32"/>
  <c r="G209" i="32"/>
  <c r="I209" i="32"/>
  <c r="K209" i="32"/>
  <c r="M209" i="32"/>
  <c r="O209" i="32"/>
  <c r="Q209" i="32"/>
  <c r="S209" i="32"/>
  <c r="U209" i="32"/>
  <c r="W209" i="32"/>
  <c r="Y209" i="32"/>
  <c r="AA209" i="32"/>
  <c r="AC209" i="32"/>
  <c r="C210" i="32"/>
  <c r="E210" i="32"/>
  <c r="G210" i="32"/>
  <c r="I210" i="32"/>
  <c r="K210" i="32"/>
  <c r="M210" i="32"/>
  <c r="O210" i="32"/>
  <c r="Q210" i="32"/>
  <c r="S210" i="32"/>
  <c r="U210" i="32"/>
  <c r="W210" i="32"/>
  <c r="Y210" i="32"/>
  <c r="AA210" i="32"/>
  <c r="AC210" i="32"/>
  <c r="C211" i="32"/>
  <c r="E211" i="32"/>
  <c r="G211" i="32"/>
  <c r="I211" i="32"/>
  <c r="K211" i="32"/>
  <c r="M211" i="32"/>
  <c r="O211" i="32"/>
  <c r="Q211" i="32"/>
  <c r="S211" i="32"/>
  <c r="U211" i="32"/>
  <c r="W211" i="32"/>
  <c r="Y211" i="32"/>
  <c r="AA211" i="32"/>
  <c r="AC211" i="32"/>
  <c r="C212" i="32"/>
  <c r="E212" i="32"/>
  <c r="G212" i="32"/>
  <c r="I212" i="32"/>
  <c r="K212" i="32"/>
  <c r="M212" i="32"/>
  <c r="O212" i="32"/>
  <c r="Q212" i="32"/>
  <c r="S212" i="32"/>
  <c r="U212" i="32"/>
  <c r="W212" i="32"/>
  <c r="Y212" i="32"/>
  <c r="AA212" i="32"/>
  <c r="AC212" i="32"/>
  <c r="C213" i="32"/>
  <c r="E213" i="32"/>
  <c r="G213" i="32"/>
  <c r="I213" i="32"/>
  <c r="K213" i="32"/>
  <c r="M213" i="32"/>
  <c r="O213" i="32"/>
  <c r="Q213" i="32"/>
  <c r="S213" i="32"/>
  <c r="U213" i="32"/>
  <c r="W213" i="32"/>
  <c r="Y213" i="32"/>
  <c r="AA213" i="32"/>
  <c r="AC213" i="32"/>
  <c r="C214" i="32"/>
  <c r="E214" i="32"/>
  <c r="G214" i="32"/>
  <c r="I214" i="32"/>
  <c r="K214" i="32"/>
  <c r="M214" i="32"/>
  <c r="O214" i="32"/>
  <c r="Q214" i="32"/>
  <c r="S214" i="32"/>
  <c r="U214" i="32"/>
  <c r="W214" i="32"/>
  <c r="Y214" i="32"/>
  <c r="AA214" i="32"/>
  <c r="AC214" i="32"/>
  <c r="C215" i="32"/>
  <c r="E215" i="32"/>
  <c r="G215" i="32"/>
  <c r="I215" i="32"/>
  <c r="K215" i="32"/>
  <c r="M215" i="32"/>
  <c r="O215" i="32"/>
  <c r="Q215" i="32"/>
  <c r="S215" i="32"/>
  <c r="U215" i="32"/>
  <c r="W215" i="32"/>
  <c r="Y215" i="32"/>
  <c r="AA215" i="32"/>
  <c r="AC215" i="32"/>
  <c r="C216" i="32"/>
  <c r="E216" i="32"/>
  <c r="G216" i="32"/>
  <c r="I216" i="32"/>
  <c r="K216" i="32"/>
  <c r="M216" i="32"/>
  <c r="O216" i="32"/>
  <c r="Q216" i="32"/>
  <c r="S216" i="32"/>
  <c r="U216" i="32"/>
  <c r="W216" i="32"/>
  <c r="Y216" i="32"/>
  <c r="AA216" i="32"/>
  <c r="AC216" i="32"/>
  <c r="C217" i="32"/>
  <c r="E217" i="32"/>
  <c r="G217" i="32"/>
  <c r="I217" i="32"/>
  <c r="K217" i="32"/>
  <c r="M217" i="32"/>
  <c r="O217" i="32"/>
  <c r="Q217" i="32"/>
  <c r="S217" i="32"/>
  <c r="U217" i="32"/>
  <c r="W217" i="32"/>
  <c r="Y217" i="32"/>
  <c r="AA217" i="32"/>
  <c r="AC217" i="32"/>
  <c r="C218" i="32"/>
  <c r="E218" i="32"/>
  <c r="G218" i="32"/>
  <c r="I218" i="32"/>
  <c r="K218" i="32"/>
  <c r="M218" i="32"/>
  <c r="O218" i="32"/>
  <c r="Q218" i="32"/>
  <c r="S218" i="32"/>
  <c r="U218" i="32"/>
  <c r="W218" i="32"/>
  <c r="Y218" i="32"/>
  <c r="AA218" i="32"/>
  <c r="AC218" i="32"/>
  <c r="C219" i="32"/>
  <c r="E219" i="32"/>
  <c r="G219" i="32"/>
  <c r="I219" i="32"/>
  <c r="K219" i="32"/>
  <c r="M219" i="32"/>
  <c r="O219" i="32"/>
  <c r="Q219" i="32"/>
  <c r="S219" i="32"/>
  <c r="U219" i="32"/>
  <c r="W219" i="32"/>
  <c r="Y219" i="32"/>
  <c r="AA219" i="32"/>
  <c r="AC219" i="32"/>
  <c r="AD219" i="32"/>
  <c r="AH219" i="32"/>
  <c r="C220" i="32"/>
  <c r="E220" i="32"/>
  <c r="G220" i="32"/>
  <c r="I220" i="32"/>
  <c r="K220" i="32"/>
  <c r="M220" i="32"/>
  <c r="O220" i="32"/>
  <c r="Q220" i="32"/>
  <c r="S220" i="32"/>
  <c r="U220" i="32"/>
  <c r="W220" i="32"/>
  <c r="Y220" i="32"/>
  <c r="AA220" i="32"/>
  <c r="AC220" i="32"/>
  <c r="C221" i="32"/>
  <c r="E221" i="32"/>
  <c r="G221" i="32"/>
  <c r="I221" i="32"/>
  <c r="K221" i="32"/>
  <c r="M221" i="32"/>
  <c r="O221" i="32"/>
  <c r="Q221" i="32"/>
  <c r="S221" i="32"/>
  <c r="U221" i="32"/>
  <c r="W221" i="32"/>
  <c r="Y221" i="32"/>
  <c r="AA221" i="32"/>
  <c r="AC221" i="32"/>
  <c r="C222" i="32"/>
  <c r="E222" i="32"/>
  <c r="G222" i="32"/>
  <c r="I222" i="32"/>
  <c r="K222" i="32"/>
  <c r="M222" i="32"/>
  <c r="O222" i="32"/>
  <c r="Q222" i="32"/>
  <c r="S222" i="32"/>
  <c r="U222" i="32"/>
  <c r="W222" i="32"/>
  <c r="Y222" i="32"/>
  <c r="AA222" i="32"/>
  <c r="AC222" i="32"/>
  <c r="C223" i="32"/>
  <c r="E223" i="32"/>
  <c r="G223" i="32"/>
  <c r="I223" i="32"/>
  <c r="K223" i="32"/>
  <c r="M223" i="32"/>
  <c r="O223" i="32"/>
  <c r="Q223" i="32"/>
  <c r="S223" i="32"/>
  <c r="U223" i="32"/>
  <c r="W223" i="32"/>
  <c r="Y223" i="32"/>
  <c r="AA223" i="32"/>
  <c r="AC223" i="32"/>
  <c r="C224" i="32"/>
  <c r="E224" i="32"/>
  <c r="G224" i="32"/>
  <c r="I224" i="32"/>
  <c r="K224" i="32"/>
  <c r="M224" i="32"/>
  <c r="O224" i="32"/>
  <c r="Q224" i="32"/>
  <c r="S224" i="32"/>
  <c r="U224" i="32"/>
  <c r="W224" i="32"/>
  <c r="Y224" i="32"/>
  <c r="AA224" i="32"/>
  <c r="AC224" i="32"/>
  <c r="C225" i="32"/>
  <c r="E225" i="32"/>
  <c r="G225" i="32"/>
  <c r="I225" i="32"/>
  <c r="K225" i="32"/>
  <c r="M225" i="32"/>
  <c r="O225" i="32"/>
  <c r="Q225" i="32"/>
  <c r="S225" i="32"/>
  <c r="U225" i="32"/>
  <c r="W225" i="32"/>
  <c r="Y225" i="32"/>
  <c r="AA225" i="32"/>
  <c r="AC225" i="32"/>
  <c r="C226" i="32"/>
  <c r="E226" i="32"/>
  <c r="G226" i="32"/>
  <c r="I226" i="32"/>
  <c r="K226" i="32"/>
  <c r="M226" i="32"/>
  <c r="O226" i="32"/>
  <c r="Q226" i="32"/>
  <c r="S226" i="32"/>
  <c r="U226" i="32"/>
  <c r="W226" i="32"/>
  <c r="Y226" i="32"/>
  <c r="AA226" i="32"/>
  <c r="AC226" i="32"/>
  <c r="C227" i="32"/>
  <c r="E227" i="32"/>
  <c r="G227" i="32"/>
  <c r="I227" i="32"/>
  <c r="K227" i="32"/>
  <c r="M227" i="32"/>
  <c r="O227" i="32"/>
  <c r="Q227" i="32"/>
  <c r="S227" i="32"/>
  <c r="U227" i="32"/>
  <c r="W227" i="32"/>
  <c r="Y227" i="32"/>
  <c r="AA227" i="32"/>
  <c r="AC227" i="32"/>
  <c r="C228" i="32"/>
  <c r="E228" i="32"/>
  <c r="G228" i="32"/>
  <c r="I228" i="32"/>
  <c r="K228" i="32"/>
  <c r="M228" i="32"/>
  <c r="O228" i="32"/>
  <c r="Q228" i="32"/>
  <c r="S228" i="32"/>
  <c r="U228" i="32"/>
  <c r="W228" i="32"/>
  <c r="Y228" i="32"/>
  <c r="AA228" i="32"/>
  <c r="AC228" i="32"/>
  <c r="C229" i="32"/>
  <c r="E229" i="32"/>
  <c r="G229" i="32"/>
  <c r="I229" i="32"/>
  <c r="K229" i="32"/>
  <c r="M229" i="32"/>
  <c r="O229" i="32"/>
  <c r="Q229" i="32"/>
  <c r="S229" i="32"/>
  <c r="U229" i="32"/>
  <c r="W229" i="32"/>
  <c r="Y229" i="32"/>
  <c r="AA229" i="32"/>
  <c r="AC229" i="32"/>
  <c r="C230" i="32"/>
  <c r="E230" i="32"/>
  <c r="G230" i="32"/>
  <c r="I230" i="32"/>
  <c r="K230" i="32"/>
  <c r="M230" i="32"/>
  <c r="O230" i="32"/>
  <c r="Q230" i="32"/>
  <c r="S230" i="32"/>
  <c r="U230" i="32"/>
  <c r="W230" i="32"/>
  <c r="Y230" i="32"/>
  <c r="AA230" i="32"/>
  <c r="AC230" i="32"/>
  <c r="C231" i="32"/>
  <c r="E231" i="32"/>
  <c r="G231" i="32"/>
  <c r="I231" i="32"/>
  <c r="K231" i="32"/>
  <c r="M231" i="32"/>
  <c r="O231" i="32"/>
  <c r="Q231" i="32"/>
  <c r="S231" i="32"/>
  <c r="U231" i="32"/>
  <c r="W231" i="32"/>
  <c r="Y231" i="32"/>
  <c r="AA231" i="32"/>
  <c r="AC231" i="32"/>
  <c r="C232" i="32"/>
  <c r="E232" i="32"/>
  <c r="G232" i="32"/>
  <c r="I232" i="32"/>
  <c r="K232" i="32"/>
  <c r="M232" i="32"/>
  <c r="O232" i="32"/>
  <c r="Q232" i="32"/>
  <c r="S232" i="32"/>
  <c r="U232" i="32"/>
  <c r="W232" i="32"/>
  <c r="Y232" i="32"/>
  <c r="AA232" i="32"/>
  <c r="AC232" i="32"/>
  <c r="C233" i="32"/>
  <c r="E233" i="32"/>
  <c r="G233" i="32"/>
  <c r="I233" i="32"/>
  <c r="K233" i="32"/>
  <c r="M233" i="32"/>
  <c r="O233" i="32"/>
  <c r="Q233" i="32"/>
  <c r="S233" i="32"/>
  <c r="U233" i="32"/>
  <c r="W233" i="32"/>
  <c r="Y233" i="32"/>
  <c r="AA233" i="32"/>
  <c r="AC233" i="32"/>
  <c r="C234" i="32"/>
  <c r="E234" i="32"/>
  <c r="G234" i="32"/>
  <c r="I234" i="32"/>
  <c r="K234" i="32"/>
  <c r="M234" i="32"/>
  <c r="O234" i="32"/>
  <c r="Q234" i="32"/>
  <c r="S234" i="32"/>
  <c r="U234" i="32"/>
  <c r="W234" i="32"/>
  <c r="Y234" i="32"/>
  <c r="AA234" i="32"/>
  <c r="AC234" i="32"/>
  <c r="C235" i="32"/>
  <c r="E235" i="32"/>
  <c r="G235" i="32"/>
  <c r="I235" i="32"/>
  <c r="K235" i="32"/>
  <c r="M235" i="32"/>
  <c r="O235" i="32"/>
  <c r="Q235" i="32"/>
  <c r="S235" i="32"/>
  <c r="U235" i="32"/>
  <c r="W235" i="32"/>
  <c r="Y235" i="32"/>
  <c r="AA235" i="32"/>
  <c r="AC235" i="32"/>
  <c r="C236" i="32"/>
  <c r="E236" i="32"/>
  <c r="G236" i="32"/>
  <c r="I236" i="32"/>
  <c r="K236" i="32"/>
  <c r="M236" i="32"/>
  <c r="O236" i="32"/>
  <c r="Q236" i="32"/>
  <c r="S236" i="32"/>
  <c r="U236" i="32"/>
  <c r="W236" i="32"/>
  <c r="Y236" i="32"/>
  <c r="AA236" i="32"/>
  <c r="AC236" i="32"/>
  <c r="C237" i="32"/>
  <c r="E237" i="32"/>
  <c r="G237" i="32"/>
  <c r="I237" i="32"/>
  <c r="K237" i="32"/>
  <c r="M237" i="32"/>
  <c r="O237" i="32"/>
  <c r="Q237" i="32"/>
  <c r="S237" i="32"/>
  <c r="U237" i="32"/>
  <c r="W237" i="32"/>
  <c r="Y237" i="32"/>
  <c r="AA237" i="32"/>
  <c r="AC237" i="32"/>
  <c r="C238" i="32"/>
  <c r="E238" i="32"/>
  <c r="G238" i="32"/>
  <c r="I238" i="32"/>
  <c r="K238" i="32"/>
  <c r="M238" i="32"/>
  <c r="O238" i="32"/>
  <c r="Q238" i="32"/>
  <c r="S238" i="32"/>
  <c r="U238" i="32"/>
  <c r="W238" i="32"/>
  <c r="Y238" i="32"/>
  <c r="AA238" i="32"/>
  <c r="AC238" i="32"/>
  <c r="C239" i="32"/>
  <c r="E239" i="32"/>
  <c r="G239" i="32"/>
  <c r="I239" i="32"/>
  <c r="K239" i="32"/>
  <c r="M239" i="32"/>
  <c r="O239" i="32"/>
  <c r="Q239" i="32"/>
  <c r="S239" i="32"/>
  <c r="U239" i="32"/>
  <c r="W239" i="32"/>
  <c r="Y239" i="32"/>
  <c r="AA239" i="32"/>
  <c r="AC239" i="32"/>
  <c r="C240" i="32"/>
  <c r="E240" i="32"/>
  <c r="G240" i="32"/>
  <c r="I240" i="32"/>
  <c r="K240" i="32"/>
  <c r="M240" i="32"/>
  <c r="O240" i="32"/>
  <c r="Q240" i="32"/>
  <c r="S240" i="32"/>
  <c r="U240" i="32"/>
  <c r="W240" i="32"/>
  <c r="Y240" i="32"/>
  <c r="AA240" i="32"/>
  <c r="AC240" i="32"/>
  <c r="C241" i="32"/>
  <c r="E241" i="32"/>
  <c r="G241" i="32"/>
  <c r="I241" i="32"/>
  <c r="K241" i="32"/>
  <c r="M241" i="32"/>
  <c r="O241" i="32"/>
  <c r="Q241" i="32"/>
  <c r="S241" i="32"/>
  <c r="U241" i="32"/>
  <c r="W241" i="32"/>
  <c r="Y241" i="32"/>
  <c r="AA241" i="32"/>
  <c r="AC241" i="32"/>
  <c r="C242" i="32"/>
  <c r="E242" i="32"/>
  <c r="G242" i="32"/>
  <c r="I242" i="32"/>
  <c r="K242" i="32"/>
  <c r="M242" i="32"/>
  <c r="O242" i="32"/>
  <c r="Q242" i="32"/>
  <c r="S242" i="32"/>
  <c r="U242" i="32"/>
  <c r="W242" i="32"/>
  <c r="Y242" i="32"/>
  <c r="AA242" i="32"/>
  <c r="AC242" i="32"/>
  <c r="C243" i="32"/>
  <c r="E243" i="32"/>
  <c r="G243" i="32"/>
  <c r="I243" i="32"/>
  <c r="K243" i="32"/>
  <c r="M243" i="32"/>
  <c r="O243" i="32"/>
  <c r="Q243" i="32"/>
  <c r="S243" i="32"/>
  <c r="U243" i="32"/>
  <c r="W243" i="32"/>
  <c r="Y243" i="32"/>
  <c r="AA243" i="32"/>
  <c r="AC243" i="32"/>
  <c r="C244" i="32"/>
  <c r="E244" i="32"/>
  <c r="G244" i="32"/>
  <c r="I244" i="32"/>
  <c r="K244" i="32"/>
  <c r="M244" i="32"/>
  <c r="O244" i="32"/>
  <c r="Q244" i="32"/>
  <c r="S244" i="32"/>
  <c r="U244" i="32"/>
  <c r="W244" i="32"/>
  <c r="Y244" i="32"/>
  <c r="AA244" i="32"/>
  <c r="AC244" i="32"/>
  <c r="C245" i="32"/>
  <c r="E245" i="32"/>
  <c r="G245" i="32"/>
  <c r="I245" i="32"/>
  <c r="K245" i="32"/>
  <c r="M245" i="32"/>
  <c r="O245" i="32"/>
  <c r="Q245" i="32"/>
  <c r="S245" i="32"/>
  <c r="U245" i="32"/>
  <c r="W245" i="32"/>
  <c r="Y245" i="32"/>
  <c r="AA245" i="32"/>
  <c r="AC245" i="32"/>
  <c r="C246" i="32"/>
  <c r="E246" i="32"/>
  <c r="G246" i="32"/>
  <c r="I246" i="32"/>
  <c r="K246" i="32"/>
  <c r="M246" i="32"/>
  <c r="O246" i="32"/>
  <c r="Q246" i="32"/>
  <c r="S246" i="32"/>
  <c r="U246" i="32"/>
  <c r="W246" i="32"/>
  <c r="Y246" i="32"/>
  <c r="AA246" i="32"/>
  <c r="AC246" i="32"/>
  <c r="C247" i="32"/>
  <c r="E247" i="32"/>
  <c r="G247" i="32"/>
  <c r="I247" i="32"/>
  <c r="K247" i="32"/>
  <c r="M247" i="32"/>
  <c r="O247" i="32"/>
  <c r="Q247" i="32"/>
  <c r="S247" i="32"/>
  <c r="U247" i="32"/>
  <c r="W247" i="32"/>
  <c r="Y247" i="32"/>
  <c r="AA247" i="32"/>
  <c r="AC247" i="32"/>
  <c r="C248" i="32"/>
  <c r="E248" i="32"/>
  <c r="G248" i="32"/>
  <c r="I248" i="32"/>
  <c r="K248" i="32"/>
  <c r="M248" i="32"/>
  <c r="O248" i="32"/>
  <c r="Q248" i="32"/>
  <c r="S248" i="32"/>
  <c r="U248" i="32"/>
  <c r="W248" i="32"/>
  <c r="Y248" i="32"/>
  <c r="AA248" i="32"/>
  <c r="AC248" i="32"/>
  <c r="C249" i="32"/>
  <c r="E249" i="32"/>
  <c r="G249" i="32"/>
  <c r="I249" i="32"/>
  <c r="K249" i="32"/>
  <c r="M249" i="32"/>
  <c r="O249" i="32"/>
  <c r="Q249" i="32"/>
  <c r="S249" i="32"/>
  <c r="U249" i="32"/>
  <c r="W249" i="32"/>
  <c r="Y249" i="32"/>
  <c r="AA249" i="32"/>
  <c r="AC249" i="32"/>
  <c r="C250" i="32"/>
  <c r="E250" i="32"/>
  <c r="G250" i="32"/>
  <c r="I250" i="32"/>
  <c r="K250" i="32"/>
  <c r="M250" i="32"/>
  <c r="O250" i="32"/>
  <c r="Q250" i="32"/>
  <c r="S250" i="32"/>
  <c r="U250" i="32"/>
  <c r="W250" i="32"/>
  <c r="Y250" i="32"/>
  <c r="AA250" i="32"/>
  <c r="AC250" i="32"/>
  <c r="C251" i="32"/>
  <c r="E251" i="32"/>
  <c r="G251" i="32"/>
  <c r="I251" i="32"/>
  <c r="K251" i="32"/>
  <c r="M251" i="32"/>
  <c r="O251" i="32"/>
  <c r="Q251" i="32"/>
  <c r="S251" i="32"/>
  <c r="U251" i="32"/>
  <c r="W251" i="32"/>
  <c r="Y251" i="32"/>
  <c r="AA251" i="32"/>
  <c r="AC251" i="32"/>
  <c r="C252" i="32"/>
  <c r="E252" i="32"/>
  <c r="G252" i="32"/>
  <c r="I252" i="32"/>
  <c r="K252" i="32"/>
  <c r="M252" i="32"/>
  <c r="O252" i="32"/>
  <c r="Q252" i="32"/>
  <c r="S252" i="32"/>
  <c r="U252" i="32"/>
  <c r="W252" i="32"/>
  <c r="Y252" i="32"/>
  <c r="AA252" i="32"/>
  <c r="AC252" i="32"/>
  <c r="C253" i="32"/>
  <c r="E253" i="32"/>
  <c r="G253" i="32"/>
  <c r="I253" i="32"/>
  <c r="K253" i="32"/>
  <c r="M253" i="32"/>
  <c r="O253" i="32"/>
  <c r="Q253" i="32"/>
  <c r="S253" i="32"/>
  <c r="U253" i="32"/>
  <c r="W253" i="32"/>
  <c r="Y253" i="32"/>
  <c r="AA253" i="32"/>
  <c r="AC253" i="32"/>
  <c r="C44" i="33"/>
  <c r="E44" i="33"/>
  <c r="G44" i="33"/>
  <c r="I44" i="33"/>
  <c r="K44" i="33"/>
  <c r="M44" i="33"/>
  <c r="O44" i="33"/>
  <c r="Q44" i="33"/>
  <c r="S44" i="33"/>
  <c r="U44" i="33"/>
  <c r="W44" i="33"/>
  <c r="Y44" i="33"/>
  <c r="AA44" i="33"/>
  <c r="AC44" i="33"/>
  <c r="AD44" i="33"/>
  <c r="C45" i="33"/>
  <c r="E45" i="33"/>
  <c r="G45" i="33"/>
  <c r="I45" i="33"/>
  <c r="K45" i="33"/>
  <c r="M45" i="33"/>
  <c r="O45" i="33"/>
  <c r="Q45" i="33"/>
  <c r="S45" i="33"/>
  <c r="U45" i="33"/>
  <c r="W45" i="33"/>
  <c r="Y45" i="33"/>
  <c r="AA45" i="33"/>
  <c r="AC45" i="33"/>
  <c r="C46" i="33"/>
  <c r="E46" i="33"/>
  <c r="G46" i="33"/>
  <c r="I46" i="33"/>
  <c r="K46" i="33"/>
  <c r="M46" i="33"/>
  <c r="O46" i="33"/>
  <c r="Q46" i="33"/>
  <c r="S46" i="33"/>
  <c r="U46" i="33"/>
  <c r="W46" i="33"/>
  <c r="Y46" i="33"/>
  <c r="AA46" i="33"/>
  <c r="AC46" i="33"/>
  <c r="C47" i="33"/>
  <c r="E47" i="33"/>
  <c r="G47" i="33"/>
  <c r="I47" i="33"/>
  <c r="K47" i="33"/>
  <c r="M47" i="33"/>
  <c r="O47" i="33"/>
  <c r="Q47" i="33"/>
  <c r="S47" i="33"/>
  <c r="U47" i="33"/>
  <c r="W47" i="33"/>
  <c r="Y47" i="33"/>
  <c r="AA47" i="33"/>
  <c r="AC47" i="33"/>
  <c r="C48" i="33"/>
  <c r="E48" i="33"/>
  <c r="G48" i="33"/>
  <c r="I48" i="33"/>
  <c r="K48" i="33"/>
  <c r="M48" i="33"/>
  <c r="O48" i="33"/>
  <c r="Q48" i="33"/>
  <c r="S48" i="33"/>
  <c r="U48" i="33"/>
  <c r="W48" i="33"/>
  <c r="Y48" i="33"/>
  <c r="AA48" i="33"/>
  <c r="AC48" i="33"/>
  <c r="C49" i="33"/>
  <c r="E49" i="33"/>
  <c r="G49" i="33"/>
  <c r="I49" i="33"/>
  <c r="K49" i="33"/>
  <c r="M49" i="33"/>
  <c r="O49" i="33"/>
  <c r="Q49" i="33"/>
  <c r="S49" i="33"/>
  <c r="U49" i="33"/>
  <c r="W49" i="33"/>
  <c r="Y49" i="33"/>
  <c r="AA49" i="33"/>
  <c r="AC49" i="33"/>
  <c r="C50" i="33"/>
  <c r="E50" i="33"/>
  <c r="G50" i="33"/>
  <c r="I50" i="33"/>
  <c r="K50" i="33"/>
  <c r="M50" i="33"/>
  <c r="O50" i="33"/>
  <c r="Q50" i="33"/>
  <c r="S50" i="33"/>
  <c r="U50" i="33"/>
  <c r="W50" i="33"/>
  <c r="Y50" i="33"/>
  <c r="AA50" i="33"/>
  <c r="AC50" i="33"/>
  <c r="C51" i="33"/>
  <c r="E51" i="33"/>
  <c r="G51" i="33"/>
  <c r="I51" i="33"/>
  <c r="K51" i="33"/>
  <c r="M51" i="33"/>
  <c r="O51" i="33"/>
  <c r="Q51" i="33"/>
  <c r="S51" i="33"/>
  <c r="U51" i="33"/>
  <c r="W51" i="33"/>
  <c r="Y51" i="33"/>
  <c r="AA51" i="33"/>
  <c r="AC51" i="33"/>
  <c r="C52" i="33"/>
  <c r="E52" i="33"/>
  <c r="G52" i="33"/>
  <c r="I52" i="33"/>
  <c r="K52" i="33"/>
  <c r="M52" i="33"/>
  <c r="O52" i="33"/>
  <c r="Q52" i="33"/>
  <c r="S52" i="33"/>
  <c r="U52" i="33"/>
  <c r="W52" i="33"/>
  <c r="Y52" i="33"/>
  <c r="AA52" i="33"/>
  <c r="AC52" i="33"/>
  <c r="C53" i="33"/>
  <c r="E53" i="33"/>
  <c r="G53" i="33"/>
  <c r="I53" i="33"/>
  <c r="K53" i="33"/>
  <c r="M53" i="33"/>
  <c r="O53" i="33"/>
  <c r="Q53" i="33"/>
  <c r="S53" i="33"/>
  <c r="U53" i="33"/>
  <c r="W53" i="33"/>
  <c r="Y53" i="33"/>
  <c r="AA53" i="33"/>
  <c r="AC53" i="33"/>
  <c r="C54" i="33"/>
  <c r="E54" i="33"/>
  <c r="G54" i="33"/>
  <c r="I54" i="33"/>
  <c r="K54" i="33"/>
  <c r="M54" i="33"/>
  <c r="O54" i="33"/>
  <c r="Q54" i="33"/>
  <c r="S54" i="33"/>
  <c r="U54" i="33"/>
  <c r="W54" i="33"/>
  <c r="Y54" i="33"/>
  <c r="AA54" i="33"/>
  <c r="AC54" i="33"/>
  <c r="C55" i="33"/>
  <c r="E55" i="33"/>
  <c r="G55" i="33"/>
  <c r="I55" i="33"/>
  <c r="K55" i="33"/>
  <c r="M55" i="33"/>
  <c r="O55" i="33"/>
  <c r="Q55" i="33"/>
  <c r="S55" i="33"/>
  <c r="U55" i="33"/>
  <c r="W55" i="33"/>
  <c r="Y55" i="33"/>
  <c r="AA55" i="33"/>
  <c r="AC55" i="33"/>
  <c r="C56" i="33"/>
  <c r="E56" i="33"/>
  <c r="G56" i="33"/>
  <c r="I56" i="33"/>
  <c r="K56" i="33"/>
  <c r="M56" i="33"/>
  <c r="O56" i="33"/>
  <c r="Q56" i="33"/>
  <c r="S56" i="33"/>
  <c r="U56" i="33"/>
  <c r="W56" i="33"/>
  <c r="Y56" i="33"/>
  <c r="AA56" i="33"/>
  <c r="AC56" i="33"/>
  <c r="C57" i="33"/>
  <c r="E57" i="33"/>
  <c r="G57" i="33"/>
  <c r="I57" i="33"/>
  <c r="K57" i="33"/>
  <c r="M57" i="33"/>
  <c r="O57" i="33"/>
  <c r="Q57" i="33"/>
  <c r="S57" i="33"/>
  <c r="U57" i="33"/>
  <c r="W57" i="33"/>
  <c r="Y57" i="33"/>
  <c r="AA57" i="33"/>
  <c r="AC57" i="33"/>
  <c r="C58" i="33"/>
  <c r="E58" i="33"/>
  <c r="G58" i="33"/>
  <c r="I58" i="33"/>
  <c r="K58" i="33"/>
  <c r="M58" i="33"/>
  <c r="O58" i="33"/>
  <c r="Q58" i="33"/>
  <c r="S58" i="33"/>
  <c r="U58" i="33"/>
  <c r="W58" i="33"/>
  <c r="Y58" i="33"/>
  <c r="AA58" i="33"/>
  <c r="AC58" i="33"/>
  <c r="C59" i="33"/>
  <c r="E59" i="33"/>
  <c r="G59" i="33"/>
  <c r="I59" i="33"/>
  <c r="K59" i="33"/>
  <c r="M59" i="33"/>
  <c r="O59" i="33"/>
  <c r="Q59" i="33"/>
  <c r="S59" i="33"/>
  <c r="U59" i="33"/>
  <c r="W59" i="33"/>
  <c r="Y59" i="33"/>
  <c r="AA59" i="33"/>
  <c r="AC59" i="33"/>
  <c r="C60" i="33"/>
  <c r="E60" i="33"/>
  <c r="G60" i="33"/>
  <c r="I60" i="33"/>
  <c r="K60" i="33"/>
  <c r="M60" i="33"/>
  <c r="O60" i="33"/>
  <c r="Q60" i="33"/>
  <c r="S60" i="33"/>
  <c r="U60" i="33"/>
  <c r="W60" i="33"/>
  <c r="Y60" i="33"/>
  <c r="AA60" i="33"/>
  <c r="AC60" i="33"/>
  <c r="C61" i="33"/>
  <c r="E61" i="33"/>
  <c r="G61" i="33"/>
  <c r="I61" i="33"/>
  <c r="K61" i="33"/>
  <c r="M61" i="33"/>
  <c r="O61" i="33"/>
  <c r="Q61" i="33"/>
  <c r="S61" i="33"/>
  <c r="U61" i="33"/>
  <c r="W61" i="33"/>
  <c r="Y61" i="33"/>
  <c r="AA61" i="33"/>
  <c r="AC61" i="33"/>
  <c r="C62" i="33"/>
  <c r="E62" i="33"/>
  <c r="G62" i="33"/>
  <c r="I62" i="33"/>
  <c r="K62" i="33"/>
  <c r="M62" i="33"/>
  <c r="O62" i="33"/>
  <c r="Q62" i="33"/>
  <c r="S62" i="33"/>
  <c r="U62" i="33"/>
  <c r="W62" i="33"/>
  <c r="Y62" i="33"/>
  <c r="AA62" i="33"/>
  <c r="AC62" i="33"/>
  <c r="C63" i="33"/>
  <c r="E63" i="33"/>
  <c r="G63" i="33"/>
  <c r="I63" i="33"/>
  <c r="K63" i="33"/>
  <c r="M63" i="33"/>
  <c r="O63" i="33"/>
  <c r="Q63" i="33"/>
  <c r="S63" i="33"/>
  <c r="U63" i="33"/>
  <c r="W63" i="33"/>
  <c r="Y63" i="33"/>
  <c r="AA63" i="33"/>
  <c r="AC63" i="33"/>
  <c r="C64" i="33"/>
  <c r="E64" i="33"/>
  <c r="G64" i="33"/>
  <c r="I64" i="33"/>
  <c r="K64" i="33"/>
  <c r="M64" i="33"/>
  <c r="O64" i="33"/>
  <c r="Q64" i="33"/>
  <c r="S64" i="33"/>
  <c r="U64" i="33"/>
  <c r="W64" i="33"/>
  <c r="Y64" i="33"/>
  <c r="AA64" i="33"/>
  <c r="AC64" i="33"/>
  <c r="C65" i="33"/>
  <c r="E65" i="33"/>
  <c r="G65" i="33"/>
  <c r="I65" i="33"/>
  <c r="K65" i="33"/>
  <c r="M65" i="33"/>
  <c r="O65" i="33"/>
  <c r="Q65" i="33"/>
  <c r="S65" i="33"/>
  <c r="U65" i="33"/>
  <c r="W65" i="33"/>
  <c r="Y65" i="33"/>
  <c r="AA65" i="33"/>
  <c r="AC65" i="33"/>
  <c r="C66" i="33"/>
  <c r="E66" i="33"/>
  <c r="G66" i="33"/>
  <c r="I66" i="33"/>
  <c r="K66" i="33"/>
  <c r="M66" i="33"/>
  <c r="O66" i="33"/>
  <c r="Q66" i="33"/>
  <c r="S66" i="33"/>
  <c r="U66" i="33"/>
  <c r="W66" i="33"/>
  <c r="Y66" i="33"/>
  <c r="AA66" i="33"/>
  <c r="AC66" i="33"/>
  <c r="C67" i="33"/>
  <c r="E67" i="33"/>
  <c r="G67" i="33"/>
  <c r="I67" i="33"/>
  <c r="K67" i="33"/>
  <c r="M67" i="33"/>
  <c r="O67" i="33"/>
  <c r="Q67" i="33"/>
  <c r="S67" i="33"/>
  <c r="U67" i="33"/>
  <c r="W67" i="33"/>
  <c r="Y67" i="33"/>
  <c r="AA67" i="33"/>
  <c r="AC67" i="33"/>
  <c r="C68" i="33"/>
  <c r="E68" i="33"/>
  <c r="G68" i="33"/>
  <c r="I68" i="33"/>
  <c r="K68" i="33"/>
  <c r="M68" i="33"/>
  <c r="O68" i="33"/>
  <c r="Q68" i="33"/>
  <c r="S68" i="33"/>
  <c r="U68" i="33"/>
  <c r="W68" i="33"/>
  <c r="Y68" i="33"/>
  <c r="AA68" i="33"/>
  <c r="AC68" i="33"/>
  <c r="C69" i="33"/>
  <c r="E69" i="33"/>
  <c r="G69" i="33"/>
  <c r="I69" i="33"/>
  <c r="K69" i="33"/>
  <c r="M69" i="33"/>
  <c r="O69" i="33"/>
  <c r="Q69" i="33"/>
  <c r="S69" i="33"/>
  <c r="U69" i="33"/>
  <c r="W69" i="33"/>
  <c r="Y69" i="33"/>
  <c r="AA69" i="33"/>
  <c r="AC69" i="33"/>
  <c r="C70" i="33"/>
  <c r="E70" i="33"/>
  <c r="G70" i="33"/>
  <c r="I70" i="33"/>
  <c r="K70" i="33"/>
  <c r="M70" i="33"/>
  <c r="O70" i="33"/>
  <c r="Q70" i="33"/>
  <c r="S70" i="33"/>
  <c r="U70" i="33"/>
  <c r="W70" i="33"/>
  <c r="Y70" i="33"/>
  <c r="AA70" i="33"/>
  <c r="AC70" i="33"/>
  <c r="C71" i="33"/>
  <c r="E71" i="33"/>
  <c r="G71" i="33"/>
  <c r="I71" i="33"/>
  <c r="K71" i="33"/>
  <c r="M71" i="33"/>
  <c r="O71" i="33"/>
  <c r="Q71" i="33"/>
  <c r="S71" i="33"/>
  <c r="U71" i="33"/>
  <c r="W71" i="33"/>
  <c r="Y71" i="33"/>
  <c r="AA71" i="33"/>
  <c r="AC71" i="33"/>
  <c r="C72" i="33"/>
  <c r="E72" i="33"/>
  <c r="G72" i="33"/>
  <c r="I72" i="33"/>
  <c r="K72" i="33"/>
  <c r="M72" i="33"/>
  <c r="O72" i="33"/>
  <c r="Q72" i="33"/>
  <c r="S72" i="33"/>
  <c r="U72" i="33"/>
  <c r="W72" i="33"/>
  <c r="Y72" i="33"/>
  <c r="AA72" i="33"/>
  <c r="AC72" i="33"/>
  <c r="C73" i="33"/>
  <c r="E73" i="33"/>
  <c r="G73" i="33"/>
  <c r="I73" i="33"/>
  <c r="K73" i="33"/>
  <c r="M73" i="33"/>
  <c r="O73" i="33"/>
  <c r="Q73" i="33"/>
  <c r="S73" i="33"/>
  <c r="U73" i="33"/>
  <c r="W73" i="33"/>
  <c r="Y73" i="33"/>
  <c r="AA73" i="33"/>
  <c r="AC73" i="33"/>
  <c r="C74" i="33"/>
  <c r="E74" i="33"/>
  <c r="G74" i="33"/>
  <c r="I74" i="33"/>
  <c r="K74" i="33"/>
  <c r="M74" i="33"/>
  <c r="O74" i="33"/>
  <c r="Q74" i="33"/>
  <c r="S74" i="33"/>
  <c r="U74" i="33"/>
  <c r="W74" i="33"/>
  <c r="Y74" i="33"/>
  <c r="AA74" i="33"/>
  <c r="AC74" i="33"/>
  <c r="C75" i="33"/>
  <c r="E75" i="33"/>
  <c r="G75" i="33"/>
  <c r="I75" i="33"/>
  <c r="K75" i="33"/>
  <c r="M75" i="33"/>
  <c r="O75" i="33"/>
  <c r="Q75" i="33"/>
  <c r="S75" i="33"/>
  <c r="U75" i="33"/>
  <c r="W75" i="33"/>
  <c r="Y75" i="33"/>
  <c r="AA75" i="33"/>
  <c r="AC75" i="33"/>
  <c r="C76" i="33"/>
  <c r="E76" i="33"/>
  <c r="G76" i="33"/>
  <c r="I76" i="33"/>
  <c r="K76" i="33"/>
  <c r="M76" i="33"/>
  <c r="O76" i="33"/>
  <c r="Q76" i="33"/>
  <c r="S76" i="33"/>
  <c r="U76" i="33"/>
  <c r="W76" i="33"/>
  <c r="Y76" i="33"/>
  <c r="AA76" i="33"/>
  <c r="AC76" i="33"/>
  <c r="C77" i="33"/>
  <c r="E77" i="33"/>
  <c r="G77" i="33"/>
  <c r="I77" i="33"/>
  <c r="K77" i="33"/>
  <c r="M77" i="33"/>
  <c r="O77" i="33"/>
  <c r="Q77" i="33"/>
  <c r="S77" i="33"/>
  <c r="U77" i="33"/>
  <c r="W77" i="33"/>
  <c r="Y77" i="33"/>
  <c r="AA77" i="33"/>
  <c r="AC77" i="33"/>
  <c r="C78" i="33"/>
  <c r="E78" i="33"/>
  <c r="G78" i="33"/>
  <c r="I78" i="33"/>
  <c r="K78" i="33"/>
  <c r="M78" i="33"/>
  <c r="O78" i="33"/>
  <c r="Q78" i="33"/>
  <c r="S78" i="33"/>
  <c r="U78" i="33"/>
  <c r="W78" i="33"/>
  <c r="Y78" i="33"/>
  <c r="AA78" i="33"/>
  <c r="AC78" i="33"/>
  <c r="C79" i="33"/>
  <c r="E79" i="33"/>
  <c r="G79" i="33"/>
  <c r="I79" i="33"/>
  <c r="K79" i="33"/>
  <c r="M79" i="33"/>
  <c r="O79" i="33"/>
  <c r="Q79" i="33"/>
  <c r="S79" i="33"/>
  <c r="U79" i="33"/>
  <c r="W79" i="33"/>
  <c r="Y79" i="33"/>
  <c r="AA79" i="33"/>
  <c r="AC79" i="33"/>
  <c r="AD79" i="33"/>
  <c r="AH79" i="33"/>
  <c r="C80" i="33"/>
  <c r="E80" i="33"/>
  <c r="G80" i="33"/>
  <c r="I80" i="33"/>
  <c r="K80" i="33"/>
  <c r="M80" i="33"/>
  <c r="O80" i="33"/>
  <c r="Q80" i="33"/>
  <c r="S80" i="33"/>
  <c r="U80" i="33"/>
  <c r="W80" i="33"/>
  <c r="Y80" i="33"/>
  <c r="AA80" i="33"/>
  <c r="AC80" i="33"/>
  <c r="C81" i="33"/>
  <c r="E81" i="33"/>
  <c r="G81" i="33"/>
  <c r="I81" i="33"/>
  <c r="K81" i="33"/>
  <c r="M81" i="33"/>
  <c r="O81" i="33"/>
  <c r="Q81" i="33"/>
  <c r="S81" i="33"/>
  <c r="U81" i="33"/>
  <c r="W81" i="33"/>
  <c r="Y81" i="33"/>
  <c r="AA81" i="33"/>
  <c r="AC81" i="33"/>
  <c r="C82" i="33"/>
  <c r="E82" i="33"/>
  <c r="G82" i="33"/>
  <c r="I82" i="33"/>
  <c r="K82" i="33"/>
  <c r="M82" i="33"/>
  <c r="O82" i="33"/>
  <c r="Q82" i="33"/>
  <c r="S82" i="33"/>
  <c r="U82" i="33"/>
  <c r="W82" i="33"/>
  <c r="Y82" i="33"/>
  <c r="AA82" i="33"/>
  <c r="AC82" i="33"/>
  <c r="C83" i="33"/>
  <c r="E83" i="33"/>
  <c r="G83" i="33"/>
  <c r="I83" i="33"/>
  <c r="K83" i="33"/>
  <c r="M83" i="33"/>
  <c r="O83" i="33"/>
  <c r="Q83" i="33"/>
  <c r="S83" i="33"/>
  <c r="U83" i="33"/>
  <c r="W83" i="33"/>
  <c r="Y83" i="33"/>
  <c r="AA83" i="33"/>
  <c r="AC83" i="33"/>
  <c r="C84" i="33"/>
  <c r="E84" i="33"/>
  <c r="G84" i="33"/>
  <c r="I84" i="33"/>
  <c r="K84" i="33"/>
  <c r="M84" i="33"/>
  <c r="O84" i="33"/>
  <c r="Q84" i="33"/>
  <c r="S84" i="33"/>
  <c r="U84" i="33"/>
  <c r="W84" i="33"/>
  <c r="Y84" i="33"/>
  <c r="AA84" i="33"/>
  <c r="AC84" i="33"/>
  <c r="C85" i="33"/>
  <c r="E85" i="33"/>
  <c r="G85" i="33"/>
  <c r="I85" i="33"/>
  <c r="K85" i="33"/>
  <c r="M85" i="33"/>
  <c r="O85" i="33"/>
  <c r="Q85" i="33"/>
  <c r="S85" i="33"/>
  <c r="U85" i="33"/>
  <c r="W85" i="33"/>
  <c r="Y85" i="33"/>
  <c r="AA85" i="33"/>
  <c r="AC85" i="33"/>
  <c r="C86" i="33"/>
  <c r="E86" i="33"/>
  <c r="G86" i="33"/>
  <c r="I86" i="33"/>
  <c r="K86" i="33"/>
  <c r="M86" i="33"/>
  <c r="O86" i="33"/>
  <c r="Q86" i="33"/>
  <c r="S86" i="33"/>
  <c r="U86" i="33"/>
  <c r="W86" i="33"/>
  <c r="Y86" i="33"/>
  <c r="AA86" i="33"/>
  <c r="AC86" i="33"/>
  <c r="C87" i="33"/>
  <c r="E87" i="33"/>
  <c r="G87" i="33"/>
  <c r="I87" i="33"/>
  <c r="K87" i="33"/>
  <c r="M87" i="33"/>
  <c r="O87" i="33"/>
  <c r="Q87" i="33"/>
  <c r="S87" i="33"/>
  <c r="U87" i="33"/>
  <c r="W87" i="33"/>
  <c r="Y87" i="33"/>
  <c r="AA87" i="33"/>
  <c r="AC87" i="33"/>
  <c r="C88" i="33"/>
  <c r="E88" i="33"/>
  <c r="G88" i="33"/>
  <c r="I88" i="33"/>
  <c r="K88" i="33"/>
  <c r="M88" i="33"/>
  <c r="O88" i="33"/>
  <c r="Q88" i="33"/>
  <c r="S88" i="33"/>
  <c r="U88" i="33"/>
  <c r="W88" i="33"/>
  <c r="Y88" i="33"/>
  <c r="AA88" i="33"/>
  <c r="AC88" i="33"/>
  <c r="C89" i="33"/>
  <c r="E89" i="33"/>
  <c r="G89" i="33"/>
  <c r="I89" i="33"/>
  <c r="K89" i="33"/>
  <c r="M89" i="33"/>
  <c r="O89" i="33"/>
  <c r="Q89" i="33"/>
  <c r="S89" i="33"/>
  <c r="U89" i="33"/>
  <c r="W89" i="33"/>
  <c r="Y89" i="33"/>
  <c r="AA89" i="33"/>
  <c r="AC89" i="33"/>
  <c r="C90" i="33"/>
  <c r="E90" i="33"/>
  <c r="G90" i="33"/>
  <c r="I90" i="33"/>
  <c r="K90" i="33"/>
  <c r="M90" i="33"/>
  <c r="O90" i="33"/>
  <c r="Q90" i="33"/>
  <c r="S90" i="33"/>
  <c r="U90" i="33"/>
  <c r="W90" i="33"/>
  <c r="Y90" i="33"/>
  <c r="AA90" i="33"/>
  <c r="AC90" i="33"/>
  <c r="C91" i="33"/>
  <c r="E91" i="33"/>
  <c r="G91" i="33"/>
  <c r="I91" i="33"/>
  <c r="K91" i="33"/>
  <c r="M91" i="33"/>
  <c r="O91" i="33"/>
  <c r="Q91" i="33"/>
  <c r="S91" i="33"/>
  <c r="U91" i="33"/>
  <c r="W91" i="33"/>
  <c r="Y91" i="33"/>
  <c r="AA91" i="33"/>
  <c r="AC91" i="33"/>
  <c r="C92" i="33"/>
  <c r="E92" i="33"/>
  <c r="G92" i="33"/>
  <c r="I92" i="33"/>
  <c r="K92" i="33"/>
  <c r="M92" i="33"/>
  <c r="O92" i="33"/>
  <c r="Q92" i="33"/>
  <c r="S92" i="33"/>
  <c r="U92" i="33"/>
  <c r="W92" i="33"/>
  <c r="Y92" i="33"/>
  <c r="AA92" i="33"/>
  <c r="AC92" i="33"/>
  <c r="C93" i="33"/>
  <c r="E93" i="33"/>
  <c r="G93" i="33"/>
  <c r="I93" i="33"/>
  <c r="K93" i="33"/>
  <c r="M93" i="33"/>
  <c r="O93" i="33"/>
  <c r="Q93" i="33"/>
  <c r="S93" i="33"/>
  <c r="U93" i="33"/>
  <c r="W93" i="33"/>
  <c r="Y93" i="33"/>
  <c r="AA93" i="33"/>
  <c r="AC93" i="33"/>
  <c r="C94" i="33"/>
  <c r="E94" i="33"/>
  <c r="G94" i="33"/>
  <c r="I94" i="33"/>
  <c r="K94" i="33"/>
  <c r="M94" i="33"/>
  <c r="O94" i="33"/>
  <c r="Q94" i="33"/>
  <c r="S94" i="33"/>
  <c r="U94" i="33"/>
  <c r="W94" i="33"/>
  <c r="Y94" i="33"/>
  <c r="AA94" i="33"/>
  <c r="AC94" i="33"/>
  <c r="C95" i="33"/>
  <c r="E95" i="33"/>
  <c r="G95" i="33"/>
  <c r="I95" i="33"/>
  <c r="K95" i="33"/>
  <c r="M95" i="33"/>
  <c r="O95" i="33"/>
  <c r="Q95" i="33"/>
  <c r="S95" i="33"/>
  <c r="U95" i="33"/>
  <c r="W95" i="33"/>
  <c r="Y95" i="33"/>
  <c r="AA95" i="33"/>
  <c r="AC95" i="33"/>
  <c r="C96" i="33"/>
  <c r="E96" i="33"/>
  <c r="G96" i="33"/>
  <c r="I96" i="33"/>
  <c r="K96" i="33"/>
  <c r="M96" i="33"/>
  <c r="O96" i="33"/>
  <c r="Q96" i="33"/>
  <c r="S96" i="33"/>
  <c r="U96" i="33"/>
  <c r="W96" i="33"/>
  <c r="Y96" i="33"/>
  <c r="AA96" i="33"/>
  <c r="AC96" i="33"/>
  <c r="C97" i="33"/>
  <c r="E97" i="33"/>
  <c r="G97" i="33"/>
  <c r="I97" i="33"/>
  <c r="K97" i="33"/>
  <c r="M97" i="33"/>
  <c r="O97" i="33"/>
  <c r="Q97" i="33"/>
  <c r="S97" i="33"/>
  <c r="U97" i="33"/>
  <c r="W97" i="33"/>
  <c r="Y97" i="33"/>
  <c r="AA97" i="33"/>
  <c r="AC97" i="33"/>
  <c r="C98" i="33"/>
  <c r="E98" i="33"/>
  <c r="G98" i="33"/>
  <c r="I98" i="33"/>
  <c r="K98" i="33"/>
  <c r="M98" i="33"/>
  <c r="O98" i="33"/>
  <c r="Q98" i="33"/>
  <c r="S98" i="33"/>
  <c r="U98" i="33"/>
  <c r="W98" i="33"/>
  <c r="Y98" i="33"/>
  <c r="AA98" i="33"/>
  <c r="AC98" i="33"/>
  <c r="C99" i="33"/>
  <c r="E99" i="33"/>
  <c r="G99" i="33"/>
  <c r="I99" i="33"/>
  <c r="K99" i="33"/>
  <c r="M99" i="33"/>
  <c r="O99" i="33"/>
  <c r="Q99" i="33"/>
  <c r="S99" i="33"/>
  <c r="U99" i="33"/>
  <c r="W99" i="33"/>
  <c r="Y99" i="33"/>
  <c r="AA99" i="33"/>
  <c r="AC99" i="33"/>
  <c r="C100" i="33"/>
  <c r="E100" i="33"/>
  <c r="G100" i="33"/>
  <c r="I100" i="33"/>
  <c r="K100" i="33"/>
  <c r="M100" i="33"/>
  <c r="O100" i="33"/>
  <c r="Q100" i="33"/>
  <c r="S100" i="33"/>
  <c r="U100" i="33"/>
  <c r="W100" i="33"/>
  <c r="Y100" i="33"/>
  <c r="AA100" i="33"/>
  <c r="AC100" i="33"/>
  <c r="C101" i="33"/>
  <c r="E101" i="33"/>
  <c r="G101" i="33"/>
  <c r="I101" i="33"/>
  <c r="K101" i="33"/>
  <c r="M101" i="33"/>
  <c r="O101" i="33"/>
  <c r="Q101" i="33"/>
  <c r="S101" i="33"/>
  <c r="U101" i="33"/>
  <c r="W101" i="33"/>
  <c r="Y101" i="33"/>
  <c r="AA101" i="33"/>
  <c r="AC101" i="33"/>
  <c r="C102" i="33"/>
  <c r="E102" i="33"/>
  <c r="G102" i="33"/>
  <c r="I102" i="33"/>
  <c r="K102" i="33"/>
  <c r="M102" i="33"/>
  <c r="O102" i="33"/>
  <c r="Q102" i="33"/>
  <c r="S102" i="33"/>
  <c r="U102" i="33"/>
  <c r="W102" i="33"/>
  <c r="Y102" i="33"/>
  <c r="AA102" i="33"/>
  <c r="AC102" i="33"/>
  <c r="C103" i="33"/>
  <c r="E103" i="33"/>
  <c r="G103" i="33"/>
  <c r="I103" i="33"/>
  <c r="K103" i="33"/>
  <c r="M103" i="33"/>
  <c r="O103" i="33"/>
  <c r="Q103" i="33"/>
  <c r="S103" i="33"/>
  <c r="U103" i="33"/>
  <c r="W103" i="33"/>
  <c r="Y103" i="33"/>
  <c r="AA103" i="33"/>
  <c r="AC103" i="33"/>
  <c r="C104" i="33"/>
  <c r="E104" i="33"/>
  <c r="G104" i="33"/>
  <c r="I104" i="33"/>
  <c r="K104" i="33"/>
  <c r="M104" i="33"/>
  <c r="O104" i="33"/>
  <c r="Q104" i="33"/>
  <c r="S104" i="33"/>
  <c r="U104" i="33"/>
  <c r="W104" i="33"/>
  <c r="Y104" i="33"/>
  <c r="AA104" i="33"/>
  <c r="AC104" i="33"/>
  <c r="C105" i="33"/>
  <c r="E105" i="33"/>
  <c r="G105" i="33"/>
  <c r="I105" i="33"/>
  <c r="K105" i="33"/>
  <c r="M105" i="33"/>
  <c r="O105" i="33"/>
  <c r="Q105" i="33"/>
  <c r="S105" i="33"/>
  <c r="U105" i="33"/>
  <c r="W105" i="33"/>
  <c r="Y105" i="33"/>
  <c r="AA105" i="33"/>
  <c r="AC105" i="33"/>
  <c r="C106" i="33"/>
  <c r="E106" i="33"/>
  <c r="G106" i="33"/>
  <c r="I106" i="33"/>
  <c r="K106" i="33"/>
  <c r="M106" i="33"/>
  <c r="O106" i="33"/>
  <c r="Q106" i="33"/>
  <c r="S106" i="33"/>
  <c r="U106" i="33"/>
  <c r="W106" i="33"/>
  <c r="Y106" i="33"/>
  <c r="AA106" i="33"/>
  <c r="AC106" i="33"/>
  <c r="C107" i="33"/>
  <c r="E107" i="33"/>
  <c r="G107" i="33"/>
  <c r="I107" i="33"/>
  <c r="K107" i="33"/>
  <c r="M107" i="33"/>
  <c r="O107" i="33"/>
  <c r="Q107" i="33"/>
  <c r="S107" i="33"/>
  <c r="U107" i="33"/>
  <c r="W107" i="33"/>
  <c r="Y107" i="33"/>
  <c r="AA107" i="33"/>
  <c r="AC107" i="33"/>
  <c r="C108" i="33"/>
  <c r="E108" i="33"/>
  <c r="G108" i="33"/>
  <c r="I108" i="33"/>
  <c r="K108" i="33"/>
  <c r="M108" i="33"/>
  <c r="O108" i="33"/>
  <c r="Q108" i="33"/>
  <c r="S108" i="33"/>
  <c r="U108" i="33"/>
  <c r="W108" i="33"/>
  <c r="Y108" i="33"/>
  <c r="AA108" i="33"/>
  <c r="AC108" i="33"/>
  <c r="C109" i="33"/>
  <c r="E109" i="33"/>
  <c r="G109" i="33"/>
  <c r="I109" i="33"/>
  <c r="K109" i="33"/>
  <c r="M109" i="33"/>
  <c r="O109" i="33"/>
  <c r="Q109" i="33"/>
  <c r="S109" i="33"/>
  <c r="U109" i="33"/>
  <c r="W109" i="33"/>
  <c r="Y109" i="33"/>
  <c r="AA109" i="33"/>
  <c r="AC109" i="33"/>
  <c r="C110" i="33"/>
  <c r="E110" i="33"/>
  <c r="G110" i="33"/>
  <c r="I110" i="33"/>
  <c r="K110" i="33"/>
  <c r="M110" i="33"/>
  <c r="O110" i="33"/>
  <c r="Q110" i="33"/>
  <c r="S110" i="33"/>
  <c r="U110" i="33"/>
  <c r="W110" i="33"/>
  <c r="Y110" i="33"/>
  <c r="AA110" i="33"/>
  <c r="AC110" i="33"/>
  <c r="C111" i="33"/>
  <c r="E111" i="33"/>
  <c r="G111" i="33"/>
  <c r="I111" i="33"/>
  <c r="K111" i="33"/>
  <c r="M111" i="33"/>
  <c r="O111" i="33"/>
  <c r="Q111" i="33"/>
  <c r="S111" i="33"/>
  <c r="U111" i="33"/>
  <c r="W111" i="33"/>
  <c r="Y111" i="33"/>
  <c r="AA111" i="33"/>
  <c r="AC111" i="33"/>
  <c r="C112" i="33"/>
  <c r="E112" i="33"/>
  <c r="G112" i="33"/>
  <c r="I112" i="33"/>
  <c r="K112" i="33"/>
  <c r="M112" i="33"/>
  <c r="O112" i="33"/>
  <c r="Q112" i="33"/>
  <c r="S112" i="33"/>
  <c r="U112" i="33"/>
  <c r="W112" i="33"/>
  <c r="Y112" i="33"/>
  <c r="AA112" i="33"/>
  <c r="AC112" i="33"/>
  <c r="C113" i="33"/>
  <c r="E113" i="33"/>
  <c r="G113" i="33"/>
  <c r="I113" i="33"/>
  <c r="K113" i="33"/>
  <c r="M113" i="33"/>
  <c r="O113" i="33"/>
  <c r="Q113" i="33"/>
  <c r="S113" i="33"/>
  <c r="U113" i="33"/>
  <c r="W113" i="33"/>
  <c r="Y113" i="33"/>
  <c r="AA113" i="33"/>
  <c r="AC113" i="33"/>
  <c r="C114" i="33"/>
  <c r="E114" i="33"/>
  <c r="G114" i="33"/>
  <c r="I114" i="33"/>
  <c r="K114" i="33"/>
  <c r="M114" i="33"/>
  <c r="O114" i="33"/>
  <c r="S114" i="33"/>
  <c r="U114" i="33"/>
  <c r="W114" i="33"/>
  <c r="Y114" i="33"/>
  <c r="AA114" i="33"/>
  <c r="AC114" i="33"/>
  <c r="AD114" i="33"/>
  <c r="AH114" i="33"/>
  <c r="C115" i="33"/>
  <c r="E115" i="33"/>
  <c r="G115" i="33"/>
  <c r="I115" i="33"/>
  <c r="K115" i="33"/>
  <c r="M115" i="33"/>
  <c r="O115" i="33"/>
  <c r="S115" i="33"/>
  <c r="U115" i="33"/>
  <c r="W115" i="33"/>
  <c r="Y115" i="33"/>
  <c r="AA115" i="33"/>
  <c r="AC115" i="33"/>
  <c r="C116" i="33"/>
  <c r="E116" i="33"/>
  <c r="G116" i="33"/>
  <c r="I116" i="33"/>
  <c r="K116" i="33"/>
  <c r="M116" i="33"/>
  <c r="O116" i="33"/>
  <c r="S116" i="33"/>
  <c r="U116" i="33"/>
  <c r="W116" i="33"/>
  <c r="Y116" i="33"/>
  <c r="AA116" i="33"/>
  <c r="AC116" i="33"/>
  <c r="C117" i="33"/>
  <c r="E117" i="33"/>
  <c r="G117" i="33"/>
  <c r="I117" i="33"/>
  <c r="K117" i="33"/>
  <c r="M117" i="33"/>
  <c r="O117" i="33"/>
  <c r="S117" i="33"/>
  <c r="U117" i="33"/>
  <c r="W117" i="33"/>
  <c r="Y117" i="33"/>
  <c r="AA117" i="33"/>
  <c r="AC117" i="33"/>
  <c r="C118" i="33"/>
  <c r="E118" i="33"/>
  <c r="G118" i="33"/>
  <c r="I118" i="33"/>
  <c r="K118" i="33"/>
  <c r="M118" i="33"/>
  <c r="O118" i="33"/>
  <c r="S118" i="33"/>
  <c r="U118" i="33"/>
  <c r="W118" i="33"/>
  <c r="Y118" i="33"/>
  <c r="AA118" i="33"/>
  <c r="AC118" i="33"/>
  <c r="C119" i="33"/>
  <c r="E119" i="33"/>
  <c r="G119" i="33"/>
  <c r="I119" i="33"/>
  <c r="K119" i="33"/>
  <c r="M119" i="33"/>
  <c r="O119" i="33"/>
  <c r="S119" i="33"/>
  <c r="U119" i="33"/>
  <c r="W119" i="33"/>
  <c r="Y119" i="33"/>
  <c r="AA119" i="33"/>
  <c r="AC119" i="33"/>
  <c r="C120" i="33"/>
  <c r="E120" i="33"/>
  <c r="G120" i="33"/>
  <c r="I120" i="33"/>
  <c r="K120" i="33"/>
  <c r="M120" i="33"/>
  <c r="O120" i="33"/>
  <c r="S120" i="33"/>
  <c r="U120" i="33"/>
  <c r="W120" i="33"/>
  <c r="Y120" i="33"/>
  <c r="AA120" i="33"/>
  <c r="AC120" i="33"/>
  <c r="C121" i="33"/>
  <c r="E121" i="33"/>
  <c r="G121" i="33"/>
  <c r="I121" i="33"/>
  <c r="K121" i="33"/>
  <c r="M121" i="33"/>
  <c r="O121" i="33"/>
  <c r="S121" i="33"/>
  <c r="U121" i="33"/>
  <c r="W121" i="33"/>
  <c r="Y121" i="33"/>
  <c r="AA121" i="33"/>
  <c r="AC121" i="33"/>
  <c r="C122" i="33"/>
  <c r="E122" i="33"/>
  <c r="G122" i="33"/>
  <c r="I122" i="33"/>
  <c r="K122" i="33"/>
  <c r="M122" i="33"/>
  <c r="O122" i="33"/>
  <c r="S122" i="33"/>
  <c r="U122" i="33"/>
  <c r="W122" i="33"/>
  <c r="Y122" i="33"/>
  <c r="AA122" i="33"/>
  <c r="AC122" i="33"/>
  <c r="C123" i="33"/>
  <c r="E123" i="33"/>
  <c r="G123" i="33"/>
  <c r="I123" i="33"/>
  <c r="K123" i="33"/>
  <c r="M123" i="33"/>
  <c r="O123" i="33"/>
  <c r="S123" i="33"/>
  <c r="U123" i="33"/>
  <c r="W123" i="33"/>
  <c r="Y123" i="33"/>
  <c r="AA123" i="33"/>
  <c r="AC123" i="33"/>
  <c r="C124" i="33"/>
  <c r="E124" i="33"/>
  <c r="G124" i="33"/>
  <c r="I124" i="33"/>
  <c r="K124" i="33"/>
  <c r="M124" i="33"/>
  <c r="O124" i="33"/>
  <c r="S124" i="33"/>
  <c r="U124" i="33"/>
  <c r="W124" i="33"/>
  <c r="Y124" i="33"/>
  <c r="AA124" i="33"/>
  <c r="AC124" i="33"/>
  <c r="C125" i="33"/>
  <c r="E125" i="33"/>
  <c r="G125" i="33"/>
  <c r="I125" i="33"/>
  <c r="K125" i="33"/>
  <c r="M125" i="33"/>
  <c r="O125" i="33"/>
  <c r="S125" i="33"/>
  <c r="U125" i="33"/>
  <c r="W125" i="33"/>
  <c r="Y125" i="33"/>
  <c r="AA125" i="33"/>
  <c r="AC125" i="33"/>
  <c r="C126" i="33"/>
  <c r="E126" i="33"/>
  <c r="G126" i="33"/>
  <c r="I126" i="33"/>
  <c r="K126" i="33"/>
  <c r="M126" i="33"/>
  <c r="O126" i="33"/>
  <c r="S126" i="33"/>
  <c r="U126" i="33"/>
  <c r="W126" i="33"/>
  <c r="Y126" i="33"/>
  <c r="AA126" i="33"/>
  <c r="AC126" i="33"/>
  <c r="C127" i="33"/>
  <c r="E127" i="33"/>
  <c r="G127" i="33"/>
  <c r="I127" i="33"/>
  <c r="K127" i="33"/>
  <c r="M127" i="33"/>
  <c r="O127" i="33"/>
  <c r="S127" i="33"/>
  <c r="U127" i="33"/>
  <c r="W127" i="33"/>
  <c r="Y127" i="33"/>
  <c r="AA127" i="33"/>
  <c r="AC127" i="33"/>
  <c r="C128" i="33"/>
  <c r="E128" i="33"/>
  <c r="G128" i="33"/>
  <c r="I128" i="33"/>
  <c r="K128" i="33"/>
  <c r="M128" i="33"/>
  <c r="O128" i="33"/>
  <c r="S128" i="33"/>
  <c r="U128" i="33"/>
  <c r="W128" i="33"/>
  <c r="Y128" i="33"/>
  <c r="AA128" i="33"/>
  <c r="AC128" i="33"/>
  <c r="C129" i="33"/>
  <c r="E129" i="33"/>
  <c r="G129" i="33"/>
  <c r="I129" i="33"/>
  <c r="K129" i="33"/>
  <c r="M129" i="33"/>
  <c r="O129" i="33"/>
  <c r="S129" i="33"/>
  <c r="U129" i="33"/>
  <c r="W129" i="33"/>
  <c r="Y129" i="33"/>
  <c r="AA129" i="33"/>
  <c r="AC129" i="33"/>
  <c r="C130" i="33"/>
  <c r="E130" i="33"/>
  <c r="G130" i="33"/>
  <c r="I130" i="33"/>
  <c r="K130" i="33"/>
  <c r="M130" i="33"/>
  <c r="O130" i="33"/>
  <c r="S130" i="33"/>
  <c r="U130" i="33"/>
  <c r="W130" i="33"/>
  <c r="Y130" i="33"/>
  <c r="AA130" i="33"/>
  <c r="AC130" i="33"/>
  <c r="C131" i="33"/>
  <c r="E131" i="33"/>
  <c r="G131" i="33"/>
  <c r="I131" i="33"/>
  <c r="K131" i="33"/>
  <c r="M131" i="33"/>
  <c r="O131" i="33"/>
  <c r="S131" i="33"/>
  <c r="U131" i="33"/>
  <c r="W131" i="33"/>
  <c r="Y131" i="33"/>
  <c r="AA131" i="33"/>
  <c r="AC131" i="33"/>
  <c r="C132" i="33"/>
  <c r="E132" i="33"/>
  <c r="G132" i="33"/>
  <c r="I132" i="33"/>
  <c r="K132" i="33"/>
  <c r="M132" i="33"/>
  <c r="O132" i="33"/>
  <c r="S132" i="33"/>
  <c r="U132" i="33"/>
  <c r="W132" i="33"/>
  <c r="Y132" i="33"/>
  <c r="AA132" i="33"/>
  <c r="AC132" i="33"/>
  <c r="C133" i="33"/>
  <c r="E133" i="33"/>
  <c r="G133" i="33"/>
  <c r="I133" i="33"/>
  <c r="K133" i="33"/>
  <c r="M133" i="33"/>
  <c r="O133" i="33"/>
  <c r="S133" i="33"/>
  <c r="U133" i="33"/>
  <c r="W133" i="33"/>
  <c r="Y133" i="33"/>
  <c r="AA133" i="33"/>
  <c r="AC133" i="33"/>
  <c r="C134" i="33"/>
  <c r="E134" i="33"/>
  <c r="G134" i="33"/>
  <c r="I134" i="33"/>
  <c r="K134" i="33"/>
  <c r="M134" i="33"/>
  <c r="O134" i="33"/>
  <c r="S134" i="33"/>
  <c r="U134" i="33"/>
  <c r="W134" i="33"/>
  <c r="Y134" i="33"/>
  <c r="AA134" i="33"/>
  <c r="AC134" i="33"/>
  <c r="C135" i="33"/>
  <c r="E135" i="33"/>
  <c r="G135" i="33"/>
  <c r="I135" i="33"/>
  <c r="K135" i="33"/>
  <c r="M135" i="33"/>
  <c r="O135" i="33"/>
  <c r="S135" i="33"/>
  <c r="U135" i="33"/>
  <c r="W135" i="33"/>
  <c r="Y135" i="33"/>
  <c r="AA135" i="33"/>
  <c r="AC135" i="33"/>
  <c r="C136" i="33"/>
  <c r="E136" i="33"/>
  <c r="G136" i="33"/>
  <c r="I136" i="33"/>
  <c r="K136" i="33"/>
  <c r="M136" i="33"/>
  <c r="O136" i="33"/>
  <c r="S136" i="33"/>
  <c r="U136" i="33"/>
  <c r="W136" i="33"/>
  <c r="Y136" i="33"/>
  <c r="AA136" i="33"/>
  <c r="AC136" i="33"/>
  <c r="C137" i="33"/>
  <c r="E137" i="33"/>
  <c r="G137" i="33"/>
  <c r="I137" i="33"/>
  <c r="K137" i="33"/>
  <c r="M137" i="33"/>
  <c r="O137" i="33"/>
  <c r="S137" i="33"/>
  <c r="U137" i="33"/>
  <c r="W137" i="33"/>
  <c r="Y137" i="33"/>
  <c r="AA137" i="33"/>
  <c r="AC137" i="33"/>
  <c r="C138" i="33"/>
  <c r="E138" i="33"/>
  <c r="G138" i="33"/>
  <c r="I138" i="33"/>
  <c r="K138" i="33"/>
  <c r="M138" i="33"/>
  <c r="O138" i="33"/>
  <c r="S138" i="33"/>
  <c r="U138" i="33"/>
  <c r="W138" i="33"/>
  <c r="Y138" i="33"/>
  <c r="AA138" i="33"/>
  <c r="AC138" i="33"/>
  <c r="C139" i="33"/>
  <c r="E139" i="33"/>
  <c r="G139" i="33"/>
  <c r="I139" i="33"/>
  <c r="K139" i="33"/>
  <c r="M139" i="33"/>
  <c r="O139" i="33"/>
  <c r="S139" i="33"/>
  <c r="U139" i="33"/>
  <c r="W139" i="33"/>
  <c r="Y139" i="33"/>
  <c r="AA139" i="33"/>
  <c r="AC139" i="33"/>
  <c r="C140" i="33"/>
  <c r="E140" i="33"/>
  <c r="G140" i="33"/>
  <c r="I140" i="33"/>
  <c r="K140" i="33"/>
  <c r="M140" i="33"/>
  <c r="O140" i="33"/>
  <c r="S140" i="33"/>
  <c r="U140" i="33"/>
  <c r="W140" i="33"/>
  <c r="Y140" i="33"/>
  <c r="AA140" i="33"/>
  <c r="AC140" i="33"/>
  <c r="C141" i="33"/>
  <c r="E141" i="33"/>
  <c r="G141" i="33"/>
  <c r="I141" i="33"/>
  <c r="K141" i="33"/>
  <c r="M141" i="33"/>
  <c r="O141" i="33"/>
  <c r="S141" i="33"/>
  <c r="U141" i="33"/>
  <c r="W141" i="33"/>
  <c r="Y141" i="33"/>
  <c r="AA141" i="33"/>
  <c r="AC141" i="33"/>
  <c r="C142" i="33"/>
  <c r="E142" i="33"/>
  <c r="G142" i="33"/>
  <c r="I142" i="33"/>
  <c r="K142" i="33"/>
  <c r="M142" i="33"/>
  <c r="O142" i="33"/>
  <c r="S142" i="33"/>
  <c r="U142" i="33"/>
  <c r="W142" i="33"/>
  <c r="Y142" i="33"/>
  <c r="AA142" i="33"/>
  <c r="AC142" i="33"/>
  <c r="C143" i="33"/>
  <c r="E143" i="33"/>
  <c r="G143" i="33"/>
  <c r="I143" i="33"/>
  <c r="K143" i="33"/>
  <c r="M143" i="33"/>
  <c r="O143" i="33"/>
  <c r="S143" i="33"/>
  <c r="U143" i="33"/>
  <c r="W143" i="33"/>
  <c r="Y143" i="33"/>
  <c r="AA143" i="33"/>
  <c r="AC143" i="33"/>
  <c r="C144" i="33"/>
  <c r="E144" i="33"/>
  <c r="G144" i="33"/>
  <c r="I144" i="33"/>
  <c r="K144" i="33"/>
  <c r="M144" i="33"/>
  <c r="O144" i="33"/>
  <c r="S144" i="33"/>
  <c r="U144" i="33"/>
  <c r="W144" i="33"/>
  <c r="Y144" i="33"/>
  <c r="AA144" i="33"/>
  <c r="AC144" i="33"/>
  <c r="C145" i="33"/>
  <c r="E145" i="33"/>
  <c r="G145" i="33"/>
  <c r="I145" i="33"/>
  <c r="K145" i="33"/>
  <c r="M145" i="33"/>
  <c r="O145" i="33"/>
  <c r="S145" i="33"/>
  <c r="U145" i="33"/>
  <c r="W145" i="33"/>
  <c r="Y145" i="33"/>
  <c r="AA145" i="33"/>
  <c r="AC145" i="33"/>
  <c r="C146" i="33"/>
  <c r="E146" i="33"/>
  <c r="G146" i="33"/>
  <c r="I146" i="33"/>
  <c r="K146" i="33"/>
  <c r="M146" i="33"/>
  <c r="O146" i="33"/>
  <c r="S146" i="33"/>
  <c r="U146" i="33"/>
  <c r="W146" i="33"/>
  <c r="Y146" i="33"/>
  <c r="AA146" i="33"/>
  <c r="AC146" i="33"/>
  <c r="C147" i="33"/>
  <c r="E147" i="33"/>
  <c r="G147" i="33"/>
  <c r="I147" i="33"/>
  <c r="K147" i="33"/>
  <c r="M147" i="33"/>
  <c r="O147" i="33"/>
  <c r="S147" i="33"/>
  <c r="U147" i="33"/>
  <c r="W147" i="33"/>
  <c r="Y147" i="33"/>
  <c r="AA147" i="33"/>
  <c r="AC147" i="33"/>
  <c r="C148" i="33"/>
  <c r="E148" i="33"/>
  <c r="G148" i="33"/>
  <c r="I148" i="33"/>
  <c r="K148" i="33"/>
  <c r="M148" i="33"/>
  <c r="O148" i="33"/>
  <c r="S148" i="33"/>
  <c r="U148" i="33"/>
  <c r="W148" i="33"/>
  <c r="Y148" i="33"/>
  <c r="AA148" i="33"/>
  <c r="AC148" i="33"/>
  <c r="C149" i="33"/>
  <c r="E149" i="33"/>
  <c r="G149" i="33"/>
  <c r="I149" i="33"/>
  <c r="K149" i="33"/>
  <c r="M149" i="33"/>
  <c r="O149" i="33"/>
  <c r="S149" i="33"/>
  <c r="U149" i="33"/>
  <c r="W149" i="33"/>
  <c r="Y149" i="33"/>
  <c r="AA149" i="33"/>
  <c r="AC149" i="33"/>
  <c r="AD149" i="33"/>
  <c r="AH149" i="33"/>
  <c r="C150" i="33"/>
  <c r="E150" i="33"/>
  <c r="G150" i="33"/>
  <c r="I150" i="33"/>
  <c r="K150" i="33"/>
  <c r="O150" i="33"/>
  <c r="Q150" i="33"/>
  <c r="S150" i="33"/>
  <c r="U150" i="33"/>
  <c r="W150" i="33"/>
  <c r="Y150" i="33"/>
  <c r="AA150" i="33"/>
  <c r="AC150" i="33"/>
  <c r="C151" i="33"/>
  <c r="E151" i="33"/>
  <c r="G151" i="33"/>
  <c r="I151" i="33"/>
  <c r="K151" i="33"/>
  <c r="O151" i="33"/>
  <c r="Q151" i="33"/>
  <c r="S151" i="33"/>
  <c r="U151" i="33"/>
  <c r="W151" i="33"/>
  <c r="Y151" i="33"/>
  <c r="AA151" i="33"/>
  <c r="AC151" i="33"/>
  <c r="C152" i="33"/>
  <c r="E152" i="33"/>
  <c r="G152" i="33"/>
  <c r="I152" i="33"/>
  <c r="K152" i="33"/>
  <c r="O152" i="33"/>
  <c r="Q152" i="33"/>
  <c r="S152" i="33"/>
  <c r="U152" i="33"/>
  <c r="W152" i="33"/>
  <c r="Y152" i="33"/>
  <c r="AA152" i="33"/>
  <c r="AC152" i="33"/>
  <c r="C153" i="33"/>
  <c r="E153" i="33"/>
  <c r="G153" i="33"/>
  <c r="I153" i="33"/>
  <c r="K153" i="33"/>
  <c r="O153" i="33"/>
  <c r="Q153" i="33"/>
  <c r="S153" i="33"/>
  <c r="U153" i="33"/>
  <c r="W153" i="33"/>
  <c r="Y153" i="33"/>
  <c r="AA153" i="33"/>
  <c r="AC153" i="33"/>
  <c r="C154" i="33"/>
  <c r="E154" i="33"/>
  <c r="G154" i="33"/>
  <c r="I154" i="33"/>
  <c r="K154" i="33"/>
  <c r="O154" i="33"/>
  <c r="Q154" i="33"/>
  <c r="S154" i="33"/>
  <c r="U154" i="33"/>
  <c r="W154" i="33"/>
  <c r="Y154" i="33"/>
  <c r="AA154" i="33"/>
  <c r="AC154" i="33"/>
  <c r="C155" i="33"/>
  <c r="E155" i="33"/>
  <c r="G155" i="33"/>
  <c r="I155" i="33"/>
  <c r="K155" i="33"/>
  <c r="O155" i="33"/>
  <c r="Q155" i="33"/>
  <c r="S155" i="33"/>
  <c r="U155" i="33"/>
  <c r="W155" i="33"/>
  <c r="Y155" i="33"/>
  <c r="AA155" i="33"/>
  <c r="AC155" i="33"/>
  <c r="C156" i="33"/>
  <c r="E156" i="33"/>
  <c r="G156" i="33"/>
  <c r="I156" i="33"/>
  <c r="K156" i="33"/>
  <c r="O156" i="33"/>
  <c r="Q156" i="33"/>
  <c r="S156" i="33"/>
  <c r="U156" i="33"/>
  <c r="W156" i="33"/>
  <c r="Y156" i="33"/>
  <c r="AA156" i="33"/>
  <c r="AC156" i="33"/>
  <c r="C157" i="33"/>
  <c r="E157" i="33"/>
  <c r="G157" i="33"/>
  <c r="I157" i="33"/>
  <c r="K157" i="33"/>
  <c r="O157" i="33"/>
  <c r="Q157" i="33"/>
  <c r="S157" i="33"/>
  <c r="U157" i="33"/>
  <c r="W157" i="33"/>
  <c r="Y157" i="33"/>
  <c r="AA157" i="33"/>
  <c r="AC157" i="33"/>
  <c r="C158" i="33"/>
  <c r="E158" i="33"/>
  <c r="G158" i="33"/>
  <c r="I158" i="33"/>
  <c r="K158" i="33"/>
  <c r="O158" i="33"/>
  <c r="Q158" i="33"/>
  <c r="S158" i="33"/>
  <c r="U158" i="33"/>
  <c r="W158" i="33"/>
  <c r="Y158" i="33"/>
  <c r="AA158" i="33"/>
  <c r="AC158" i="33"/>
  <c r="C159" i="33"/>
  <c r="E159" i="33"/>
  <c r="G159" i="33"/>
  <c r="I159" i="33"/>
  <c r="K159" i="33"/>
  <c r="O159" i="33"/>
  <c r="Q159" i="33"/>
  <c r="S159" i="33"/>
  <c r="U159" i="33"/>
  <c r="W159" i="33"/>
  <c r="Y159" i="33"/>
  <c r="AA159" i="33"/>
  <c r="AC159" i="33"/>
  <c r="C160" i="33"/>
  <c r="E160" i="33"/>
  <c r="G160" i="33"/>
  <c r="I160" i="33"/>
  <c r="K160" i="33"/>
  <c r="O160" i="33"/>
  <c r="Q160" i="33"/>
  <c r="S160" i="33"/>
  <c r="U160" i="33"/>
  <c r="W160" i="33"/>
  <c r="Y160" i="33"/>
  <c r="AA160" i="33"/>
  <c r="AC160" i="33"/>
  <c r="C161" i="33"/>
  <c r="E161" i="33"/>
  <c r="G161" i="33"/>
  <c r="I161" i="33"/>
  <c r="K161" i="33"/>
  <c r="O161" i="33"/>
  <c r="Q161" i="33"/>
  <c r="S161" i="33"/>
  <c r="U161" i="33"/>
  <c r="W161" i="33"/>
  <c r="Y161" i="33"/>
  <c r="AA161" i="33"/>
  <c r="AC161" i="33"/>
  <c r="C162" i="33"/>
  <c r="E162" i="33"/>
  <c r="G162" i="33"/>
  <c r="I162" i="33"/>
  <c r="K162" i="33"/>
  <c r="O162" i="33"/>
  <c r="Q162" i="33"/>
  <c r="S162" i="33"/>
  <c r="U162" i="33"/>
  <c r="W162" i="33"/>
  <c r="Y162" i="33"/>
  <c r="AA162" i="33"/>
  <c r="AC162" i="33"/>
  <c r="C163" i="33"/>
  <c r="E163" i="33"/>
  <c r="G163" i="33"/>
  <c r="I163" i="33"/>
  <c r="K163" i="33"/>
  <c r="O163" i="33"/>
  <c r="Q163" i="33"/>
  <c r="S163" i="33"/>
  <c r="U163" i="33"/>
  <c r="W163" i="33"/>
  <c r="Y163" i="33"/>
  <c r="AA163" i="33"/>
  <c r="AC163" i="33"/>
  <c r="C164" i="33"/>
  <c r="E164" i="33"/>
  <c r="G164" i="33"/>
  <c r="I164" i="33"/>
  <c r="K164" i="33"/>
  <c r="O164" i="33"/>
  <c r="Q164" i="33"/>
  <c r="S164" i="33"/>
  <c r="U164" i="33"/>
  <c r="W164" i="33"/>
  <c r="Y164" i="33"/>
  <c r="AA164" i="33"/>
  <c r="AC164" i="33"/>
  <c r="C165" i="33"/>
  <c r="E165" i="33"/>
  <c r="G165" i="33"/>
  <c r="I165" i="33"/>
  <c r="K165" i="33"/>
  <c r="O165" i="33"/>
  <c r="Q165" i="33"/>
  <c r="S165" i="33"/>
  <c r="U165" i="33"/>
  <c r="W165" i="33"/>
  <c r="Y165" i="33"/>
  <c r="AA165" i="33"/>
  <c r="AC165" i="33"/>
  <c r="C166" i="33"/>
  <c r="E166" i="33"/>
  <c r="G166" i="33"/>
  <c r="I166" i="33"/>
  <c r="K166" i="33"/>
  <c r="O166" i="33"/>
  <c r="Q166" i="33"/>
  <c r="S166" i="33"/>
  <c r="U166" i="33"/>
  <c r="W166" i="33"/>
  <c r="Y166" i="33"/>
  <c r="AA166" i="33"/>
  <c r="AC166" i="33"/>
  <c r="C167" i="33"/>
  <c r="E167" i="33"/>
  <c r="G167" i="33"/>
  <c r="I167" i="33"/>
  <c r="K167" i="33"/>
  <c r="O167" i="33"/>
  <c r="Q167" i="33"/>
  <c r="S167" i="33"/>
  <c r="U167" i="33"/>
  <c r="W167" i="33"/>
  <c r="Y167" i="33"/>
  <c r="AA167" i="33"/>
  <c r="AC167" i="33"/>
  <c r="C168" i="33"/>
  <c r="E168" i="33"/>
  <c r="G168" i="33"/>
  <c r="I168" i="33"/>
  <c r="K168" i="33"/>
  <c r="O168" i="33"/>
  <c r="Q168" i="33"/>
  <c r="S168" i="33"/>
  <c r="U168" i="33"/>
  <c r="W168" i="33"/>
  <c r="Y168" i="33"/>
  <c r="AA168" i="33"/>
  <c r="AC168" i="33"/>
  <c r="C169" i="33"/>
  <c r="E169" i="33"/>
  <c r="G169" i="33"/>
  <c r="I169" i="33"/>
  <c r="K169" i="33"/>
  <c r="O169" i="33"/>
  <c r="Q169" i="33"/>
  <c r="S169" i="33"/>
  <c r="U169" i="33"/>
  <c r="W169" i="33"/>
  <c r="Y169" i="33"/>
  <c r="AA169" i="33"/>
  <c r="AC169" i="33"/>
  <c r="C170" i="33"/>
  <c r="E170" i="33"/>
  <c r="G170" i="33"/>
  <c r="I170" i="33"/>
  <c r="K170" i="33"/>
  <c r="O170" i="33"/>
  <c r="Q170" i="33"/>
  <c r="S170" i="33"/>
  <c r="U170" i="33"/>
  <c r="W170" i="33"/>
  <c r="Y170" i="33"/>
  <c r="AA170" i="33"/>
  <c r="AC170" i="33"/>
  <c r="C171" i="33"/>
  <c r="E171" i="33"/>
  <c r="G171" i="33"/>
  <c r="I171" i="33"/>
  <c r="K171" i="33"/>
  <c r="O171" i="33"/>
  <c r="Q171" i="33"/>
  <c r="S171" i="33"/>
  <c r="U171" i="33"/>
  <c r="W171" i="33"/>
  <c r="Y171" i="33"/>
  <c r="AA171" i="33"/>
  <c r="AC171" i="33"/>
  <c r="C172" i="33"/>
  <c r="E172" i="33"/>
  <c r="G172" i="33"/>
  <c r="I172" i="33"/>
  <c r="K172" i="33"/>
  <c r="O172" i="33"/>
  <c r="Q172" i="33"/>
  <c r="S172" i="33"/>
  <c r="U172" i="33"/>
  <c r="W172" i="33"/>
  <c r="Y172" i="33"/>
  <c r="AA172" i="33"/>
  <c r="AC172" i="33"/>
  <c r="C173" i="33"/>
  <c r="E173" i="33"/>
  <c r="G173" i="33"/>
  <c r="I173" i="33"/>
  <c r="K173" i="33"/>
  <c r="O173" i="33"/>
  <c r="Q173" i="33"/>
  <c r="S173" i="33"/>
  <c r="U173" i="33"/>
  <c r="W173" i="33"/>
  <c r="Y173" i="33"/>
  <c r="AA173" i="33"/>
  <c r="AC173" i="33"/>
  <c r="C174" i="33"/>
  <c r="E174" i="33"/>
  <c r="G174" i="33"/>
  <c r="I174" i="33"/>
  <c r="K174" i="33"/>
  <c r="O174" i="33"/>
  <c r="Q174" i="33"/>
  <c r="S174" i="33"/>
  <c r="U174" i="33"/>
  <c r="W174" i="33"/>
  <c r="Y174" i="33"/>
  <c r="AA174" i="33"/>
  <c r="AC174" i="33"/>
  <c r="C175" i="33"/>
  <c r="E175" i="33"/>
  <c r="G175" i="33"/>
  <c r="I175" i="33"/>
  <c r="K175" i="33"/>
  <c r="O175" i="33"/>
  <c r="Q175" i="33"/>
  <c r="S175" i="33"/>
  <c r="U175" i="33"/>
  <c r="W175" i="33"/>
  <c r="Y175" i="33"/>
  <c r="AA175" i="33"/>
  <c r="AC175" i="33"/>
  <c r="C176" i="33"/>
  <c r="E176" i="33"/>
  <c r="G176" i="33"/>
  <c r="I176" i="33"/>
  <c r="K176" i="33"/>
  <c r="O176" i="33"/>
  <c r="Q176" i="33"/>
  <c r="S176" i="33"/>
  <c r="U176" i="33"/>
  <c r="W176" i="33"/>
  <c r="Y176" i="33"/>
  <c r="AA176" i="33"/>
  <c r="AC176" i="33"/>
  <c r="C177" i="33"/>
  <c r="E177" i="33"/>
  <c r="G177" i="33"/>
  <c r="I177" i="33"/>
  <c r="K177" i="33"/>
  <c r="O177" i="33"/>
  <c r="Q177" i="33"/>
  <c r="S177" i="33"/>
  <c r="U177" i="33"/>
  <c r="W177" i="33"/>
  <c r="Y177" i="33"/>
  <c r="AA177" i="33"/>
  <c r="AC177" i="33"/>
  <c r="C178" i="33"/>
  <c r="E178" i="33"/>
  <c r="G178" i="33"/>
  <c r="I178" i="33"/>
  <c r="K178" i="33"/>
  <c r="O178" i="33"/>
  <c r="Q178" i="33"/>
  <c r="S178" i="33"/>
  <c r="U178" i="33"/>
  <c r="W178" i="33"/>
  <c r="Y178" i="33"/>
  <c r="AA178" i="33"/>
  <c r="AC178" i="33"/>
  <c r="C179" i="33"/>
  <c r="E179" i="33"/>
  <c r="G179" i="33"/>
  <c r="I179" i="33"/>
  <c r="K179" i="33"/>
  <c r="O179" i="33"/>
  <c r="Q179" i="33"/>
  <c r="S179" i="33"/>
  <c r="U179" i="33"/>
  <c r="W179" i="33"/>
  <c r="Y179" i="33"/>
  <c r="AA179" i="33"/>
  <c r="AC179" i="33"/>
  <c r="C180" i="33"/>
  <c r="E180" i="33"/>
  <c r="G180" i="33"/>
  <c r="I180" i="33"/>
  <c r="K180" i="33"/>
  <c r="O180" i="33"/>
  <c r="Q180" i="33"/>
  <c r="S180" i="33"/>
  <c r="U180" i="33"/>
  <c r="W180" i="33"/>
  <c r="Y180" i="33"/>
  <c r="AA180" i="33"/>
  <c r="AC180" i="33"/>
  <c r="C181" i="33"/>
  <c r="E181" i="33"/>
  <c r="G181" i="33"/>
  <c r="I181" i="33"/>
  <c r="K181" i="33"/>
  <c r="O181" i="33"/>
  <c r="Q181" i="33"/>
  <c r="S181" i="33"/>
  <c r="U181" i="33"/>
  <c r="W181" i="33"/>
  <c r="Y181" i="33"/>
  <c r="AA181" i="33"/>
  <c r="AC181" i="33"/>
  <c r="C182" i="33"/>
  <c r="E182" i="33"/>
  <c r="G182" i="33"/>
  <c r="I182" i="33"/>
  <c r="K182" i="33"/>
  <c r="O182" i="33"/>
  <c r="Q182" i="33"/>
  <c r="S182" i="33"/>
  <c r="U182" i="33"/>
  <c r="W182" i="33"/>
  <c r="Y182" i="33"/>
  <c r="AA182" i="33"/>
  <c r="AC182" i="33"/>
  <c r="C183" i="33"/>
  <c r="E183" i="33"/>
  <c r="G183" i="33"/>
  <c r="I183" i="33"/>
  <c r="K183" i="33"/>
  <c r="O183" i="33"/>
  <c r="Q183" i="33"/>
  <c r="S183" i="33"/>
  <c r="U183" i="33"/>
  <c r="W183" i="33"/>
  <c r="Y183" i="33"/>
  <c r="AA183" i="33"/>
  <c r="AC183" i="33"/>
  <c r="C184" i="33"/>
  <c r="E184" i="33"/>
  <c r="G184" i="33"/>
  <c r="I184" i="33"/>
  <c r="K184" i="33"/>
  <c r="M184" i="33"/>
  <c r="O184" i="33"/>
  <c r="Q184" i="33"/>
  <c r="S184" i="33"/>
  <c r="U184" i="33"/>
  <c r="W184" i="33"/>
  <c r="Y184" i="33"/>
  <c r="AA184" i="33"/>
  <c r="AC184" i="33"/>
  <c r="AD184" i="33"/>
  <c r="AH184" i="33"/>
  <c r="C185" i="33"/>
  <c r="E185" i="33"/>
  <c r="G185" i="33"/>
  <c r="I185" i="33"/>
  <c r="K185" i="33"/>
  <c r="M185" i="33"/>
  <c r="O185" i="33"/>
  <c r="Q185" i="33"/>
  <c r="S185" i="33"/>
  <c r="U185" i="33"/>
  <c r="W185" i="33"/>
  <c r="Y185" i="33"/>
  <c r="AA185" i="33"/>
  <c r="AC185" i="33"/>
  <c r="C186" i="33"/>
  <c r="E186" i="33"/>
  <c r="G186" i="33"/>
  <c r="I186" i="33"/>
  <c r="K186" i="33"/>
  <c r="M186" i="33"/>
  <c r="O186" i="33"/>
  <c r="Q186" i="33"/>
  <c r="S186" i="33"/>
  <c r="U186" i="33"/>
  <c r="W186" i="33"/>
  <c r="Y186" i="33"/>
  <c r="AA186" i="33"/>
  <c r="AC186" i="33"/>
  <c r="C187" i="33"/>
  <c r="E187" i="33"/>
  <c r="G187" i="33"/>
  <c r="I187" i="33"/>
  <c r="K187" i="33"/>
  <c r="M187" i="33"/>
  <c r="O187" i="33"/>
  <c r="Q187" i="33"/>
  <c r="S187" i="33"/>
  <c r="U187" i="33"/>
  <c r="W187" i="33"/>
  <c r="Y187" i="33"/>
  <c r="AA187" i="33"/>
  <c r="AC187" i="33"/>
  <c r="C188" i="33"/>
  <c r="E188" i="33"/>
  <c r="G188" i="33"/>
  <c r="I188" i="33"/>
  <c r="K188" i="33"/>
  <c r="M188" i="33"/>
  <c r="O188" i="33"/>
  <c r="Q188" i="33"/>
  <c r="S188" i="33"/>
  <c r="U188" i="33"/>
  <c r="W188" i="33"/>
  <c r="Y188" i="33"/>
  <c r="AA188" i="33"/>
  <c r="AC188" i="33"/>
  <c r="C189" i="33"/>
  <c r="E189" i="33"/>
  <c r="G189" i="33"/>
  <c r="I189" i="33"/>
  <c r="K189" i="33"/>
  <c r="M189" i="33"/>
  <c r="O189" i="33"/>
  <c r="Q189" i="33"/>
  <c r="S189" i="33"/>
  <c r="U189" i="33"/>
  <c r="W189" i="33"/>
  <c r="Y189" i="33"/>
  <c r="AA189" i="33"/>
  <c r="AC189" i="33"/>
  <c r="C190" i="33"/>
  <c r="E190" i="33"/>
  <c r="G190" i="33"/>
  <c r="I190" i="33"/>
  <c r="K190" i="33"/>
  <c r="M190" i="33"/>
  <c r="O190" i="33"/>
  <c r="Q190" i="33"/>
  <c r="S190" i="33"/>
  <c r="U190" i="33"/>
  <c r="W190" i="33"/>
  <c r="Y190" i="33"/>
  <c r="AA190" i="33"/>
  <c r="AC190" i="33"/>
  <c r="C191" i="33"/>
  <c r="E191" i="33"/>
  <c r="G191" i="33"/>
  <c r="I191" i="33"/>
  <c r="K191" i="33"/>
  <c r="M191" i="33"/>
  <c r="O191" i="33"/>
  <c r="Q191" i="33"/>
  <c r="S191" i="33"/>
  <c r="U191" i="33"/>
  <c r="W191" i="33"/>
  <c r="Y191" i="33"/>
  <c r="AA191" i="33"/>
  <c r="AC191" i="33"/>
  <c r="C192" i="33"/>
  <c r="E192" i="33"/>
  <c r="G192" i="33"/>
  <c r="I192" i="33"/>
  <c r="K192" i="33"/>
  <c r="M192" i="33"/>
  <c r="O192" i="33"/>
  <c r="Q192" i="33"/>
  <c r="S192" i="33"/>
  <c r="U192" i="33"/>
  <c r="W192" i="33"/>
  <c r="Y192" i="33"/>
  <c r="AA192" i="33"/>
  <c r="AC192" i="33"/>
  <c r="C193" i="33"/>
  <c r="E193" i="33"/>
  <c r="G193" i="33"/>
  <c r="I193" i="33"/>
  <c r="K193" i="33"/>
  <c r="M193" i="33"/>
  <c r="O193" i="33"/>
  <c r="Q193" i="33"/>
  <c r="S193" i="33"/>
  <c r="U193" i="33"/>
  <c r="W193" i="33"/>
  <c r="Y193" i="33"/>
  <c r="AA193" i="33"/>
  <c r="AC193" i="33"/>
  <c r="C194" i="33"/>
  <c r="E194" i="33"/>
  <c r="G194" i="33"/>
  <c r="I194" i="33"/>
  <c r="K194" i="33"/>
  <c r="M194" i="33"/>
  <c r="O194" i="33"/>
  <c r="Q194" i="33"/>
  <c r="S194" i="33"/>
  <c r="U194" i="33"/>
  <c r="W194" i="33"/>
  <c r="Y194" i="33"/>
  <c r="AA194" i="33"/>
  <c r="AC194" i="33"/>
  <c r="C195" i="33"/>
  <c r="E195" i="33"/>
  <c r="G195" i="33"/>
  <c r="I195" i="33"/>
  <c r="K195" i="33"/>
  <c r="M195" i="33"/>
  <c r="O195" i="33"/>
  <c r="Q195" i="33"/>
  <c r="S195" i="33"/>
  <c r="U195" i="33"/>
  <c r="W195" i="33"/>
  <c r="Y195" i="33"/>
  <c r="AA195" i="33"/>
  <c r="AC195" i="33"/>
  <c r="C196" i="33"/>
  <c r="E196" i="33"/>
  <c r="G196" i="33"/>
  <c r="I196" i="33"/>
  <c r="K196" i="33"/>
  <c r="M196" i="33"/>
  <c r="O196" i="33"/>
  <c r="Q196" i="33"/>
  <c r="S196" i="33"/>
  <c r="U196" i="33"/>
  <c r="W196" i="33"/>
  <c r="Y196" i="33"/>
  <c r="AA196" i="33"/>
  <c r="AC196" i="33"/>
  <c r="C197" i="33"/>
  <c r="E197" i="33"/>
  <c r="G197" i="33"/>
  <c r="I197" i="33"/>
  <c r="K197" i="33"/>
  <c r="M197" i="33"/>
  <c r="O197" i="33"/>
  <c r="Q197" i="33"/>
  <c r="S197" i="33"/>
  <c r="U197" i="33"/>
  <c r="W197" i="33"/>
  <c r="Y197" i="33"/>
  <c r="AA197" i="33"/>
  <c r="AC197" i="33"/>
  <c r="C198" i="33"/>
  <c r="E198" i="33"/>
  <c r="G198" i="33"/>
  <c r="I198" i="33"/>
  <c r="K198" i="33"/>
  <c r="M198" i="33"/>
  <c r="O198" i="33"/>
  <c r="Q198" i="33"/>
  <c r="S198" i="33"/>
  <c r="U198" i="33"/>
  <c r="W198" i="33"/>
  <c r="Y198" i="33"/>
  <c r="AA198" i="33"/>
  <c r="AC198" i="33"/>
  <c r="C199" i="33"/>
  <c r="E199" i="33"/>
  <c r="G199" i="33"/>
  <c r="I199" i="33"/>
  <c r="K199" i="33"/>
  <c r="M199" i="33"/>
  <c r="O199" i="33"/>
  <c r="Q199" i="33"/>
  <c r="S199" i="33"/>
  <c r="U199" i="33"/>
  <c r="W199" i="33"/>
  <c r="Y199" i="33"/>
  <c r="AA199" i="33"/>
  <c r="AC199" i="33"/>
  <c r="C200" i="33"/>
  <c r="E200" i="33"/>
  <c r="G200" i="33"/>
  <c r="I200" i="33"/>
  <c r="K200" i="33"/>
  <c r="M200" i="33"/>
  <c r="O200" i="33"/>
  <c r="Q200" i="33"/>
  <c r="S200" i="33"/>
  <c r="U200" i="33"/>
  <c r="W200" i="33"/>
  <c r="Y200" i="33"/>
  <c r="AA200" i="33"/>
  <c r="AC200" i="33"/>
  <c r="C201" i="33"/>
  <c r="E201" i="33"/>
  <c r="G201" i="33"/>
  <c r="I201" i="33"/>
  <c r="K201" i="33"/>
  <c r="M201" i="33"/>
  <c r="O201" i="33"/>
  <c r="Q201" i="33"/>
  <c r="S201" i="33"/>
  <c r="U201" i="33"/>
  <c r="W201" i="33"/>
  <c r="Y201" i="33"/>
  <c r="AA201" i="33"/>
  <c r="AC201" i="33"/>
  <c r="C202" i="33"/>
  <c r="E202" i="33"/>
  <c r="G202" i="33"/>
  <c r="I202" i="33"/>
  <c r="K202" i="33"/>
  <c r="M202" i="33"/>
  <c r="O202" i="33"/>
  <c r="Q202" i="33"/>
  <c r="S202" i="33"/>
  <c r="U202" i="33"/>
  <c r="W202" i="33"/>
  <c r="Y202" i="33"/>
  <c r="AA202" i="33"/>
  <c r="AC202" i="33"/>
  <c r="C203" i="33"/>
  <c r="E203" i="33"/>
  <c r="G203" i="33"/>
  <c r="I203" i="33"/>
  <c r="K203" i="33"/>
  <c r="M203" i="33"/>
  <c r="O203" i="33"/>
  <c r="Q203" i="33"/>
  <c r="S203" i="33"/>
  <c r="U203" i="33"/>
  <c r="W203" i="33"/>
  <c r="Y203" i="33"/>
  <c r="AA203" i="33"/>
  <c r="AC203" i="33"/>
  <c r="C204" i="33"/>
  <c r="E204" i="33"/>
  <c r="G204" i="33"/>
  <c r="I204" i="33"/>
  <c r="K204" i="33"/>
  <c r="M204" i="33"/>
  <c r="O204" i="33"/>
  <c r="Q204" i="33"/>
  <c r="S204" i="33"/>
  <c r="U204" i="33"/>
  <c r="W204" i="33"/>
  <c r="Y204" i="33"/>
  <c r="AA204" i="33"/>
  <c r="AC204" i="33"/>
  <c r="C205" i="33"/>
  <c r="E205" i="33"/>
  <c r="G205" i="33"/>
  <c r="I205" i="33"/>
  <c r="K205" i="33"/>
  <c r="M205" i="33"/>
  <c r="O205" i="33"/>
  <c r="Q205" i="33"/>
  <c r="S205" i="33"/>
  <c r="U205" i="33"/>
  <c r="W205" i="33"/>
  <c r="Y205" i="33"/>
  <c r="AA205" i="33"/>
  <c r="AC205" i="33"/>
  <c r="C206" i="33"/>
  <c r="E206" i="33"/>
  <c r="G206" i="33"/>
  <c r="I206" i="33"/>
  <c r="K206" i="33"/>
  <c r="M206" i="33"/>
  <c r="O206" i="33"/>
  <c r="Q206" i="33"/>
  <c r="S206" i="33"/>
  <c r="U206" i="33"/>
  <c r="W206" i="33"/>
  <c r="Y206" i="33"/>
  <c r="AA206" i="33"/>
  <c r="AC206" i="33"/>
  <c r="C207" i="33"/>
  <c r="E207" i="33"/>
  <c r="G207" i="33"/>
  <c r="I207" i="33"/>
  <c r="K207" i="33"/>
  <c r="M207" i="33"/>
  <c r="O207" i="33"/>
  <c r="Q207" i="33"/>
  <c r="S207" i="33"/>
  <c r="U207" i="33"/>
  <c r="W207" i="33"/>
  <c r="Y207" i="33"/>
  <c r="AA207" i="33"/>
  <c r="AC207" i="33"/>
  <c r="C208" i="33"/>
  <c r="E208" i="33"/>
  <c r="G208" i="33"/>
  <c r="I208" i="33"/>
  <c r="K208" i="33"/>
  <c r="M208" i="33"/>
  <c r="O208" i="33"/>
  <c r="Q208" i="33"/>
  <c r="S208" i="33"/>
  <c r="U208" i="33"/>
  <c r="W208" i="33"/>
  <c r="Y208" i="33"/>
  <c r="AA208" i="33"/>
  <c r="AC208" i="33"/>
  <c r="C209" i="33"/>
  <c r="E209" i="33"/>
  <c r="G209" i="33"/>
  <c r="I209" i="33"/>
  <c r="K209" i="33"/>
  <c r="M209" i="33"/>
  <c r="O209" i="33"/>
  <c r="Q209" i="33"/>
  <c r="S209" i="33"/>
  <c r="U209" i="33"/>
  <c r="W209" i="33"/>
  <c r="Y209" i="33"/>
  <c r="AA209" i="33"/>
  <c r="AC209" i="33"/>
  <c r="C210" i="33"/>
  <c r="E210" i="33"/>
  <c r="G210" i="33"/>
  <c r="I210" i="33"/>
  <c r="K210" i="33"/>
  <c r="M210" i="33"/>
  <c r="O210" i="33"/>
  <c r="Q210" i="33"/>
  <c r="S210" i="33"/>
  <c r="U210" i="33"/>
  <c r="W210" i="33"/>
  <c r="Y210" i="33"/>
  <c r="AA210" i="33"/>
  <c r="AC210" i="33"/>
  <c r="C211" i="33"/>
  <c r="E211" i="33"/>
  <c r="G211" i="33"/>
  <c r="I211" i="33"/>
  <c r="K211" i="33"/>
  <c r="M211" i="33"/>
  <c r="O211" i="33"/>
  <c r="Q211" i="33"/>
  <c r="S211" i="33"/>
  <c r="U211" i="33"/>
  <c r="W211" i="33"/>
  <c r="Y211" i="33"/>
  <c r="AA211" i="33"/>
  <c r="AC211" i="33"/>
  <c r="C212" i="33"/>
  <c r="E212" i="33"/>
  <c r="G212" i="33"/>
  <c r="I212" i="33"/>
  <c r="K212" i="33"/>
  <c r="M212" i="33"/>
  <c r="O212" i="33"/>
  <c r="Q212" i="33"/>
  <c r="S212" i="33"/>
  <c r="U212" i="33"/>
  <c r="W212" i="33"/>
  <c r="Y212" i="33"/>
  <c r="AA212" i="33"/>
  <c r="AC212" i="33"/>
  <c r="C213" i="33"/>
  <c r="E213" i="33"/>
  <c r="G213" i="33"/>
  <c r="I213" i="33"/>
  <c r="K213" i="33"/>
  <c r="M213" i="33"/>
  <c r="O213" i="33"/>
  <c r="Q213" i="33"/>
  <c r="S213" i="33"/>
  <c r="U213" i="33"/>
  <c r="W213" i="33"/>
  <c r="Y213" i="33"/>
  <c r="AA213" i="33"/>
  <c r="AC213" i="33"/>
  <c r="C214" i="33"/>
  <c r="E214" i="33"/>
  <c r="G214" i="33"/>
  <c r="I214" i="33"/>
  <c r="K214" i="33"/>
  <c r="M214" i="33"/>
  <c r="O214" i="33"/>
  <c r="Q214" i="33"/>
  <c r="S214" i="33"/>
  <c r="U214" i="33"/>
  <c r="W214" i="33"/>
  <c r="Y214" i="33"/>
  <c r="AA214" i="33"/>
  <c r="AC214" i="33"/>
  <c r="C215" i="33"/>
  <c r="E215" i="33"/>
  <c r="G215" i="33"/>
  <c r="I215" i="33"/>
  <c r="K215" i="33"/>
  <c r="M215" i="33"/>
  <c r="O215" i="33"/>
  <c r="Q215" i="33"/>
  <c r="S215" i="33"/>
  <c r="U215" i="33"/>
  <c r="W215" i="33"/>
  <c r="Y215" i="33"/>
  <c r="AA215" i="33"/>
  <c r="AC215" i="33"/>
  <c r="C216" i="33"/>
  <c r="E216" i="33"/>
  <c r="G216" i="33"/>
  <c r="I216" i="33"/>
  <c r="K216" i="33"/>
  <c r="M216" i="33"/>
  <c r="O216" i="33"/>
  <c r="Q216" i="33"/>
  <c r="S216" i="33"/>
  <c r="U216" i="33"/>
  <c r="W216" i="33"/>
  <c r="Y216" i="33"/>
  <c r="AA216" i="33"/>
  <c r="AC216" i="33"/>
  <c r="C217" i="33"/>
  <c r="E217" i="33"/>
  <c r="G217" i="33"/>
  <c r="I217" i="33"/>
  <c r="K217" i="33"/>
  <c r="M217" i="33"/>
  <c r="O217" i="33"/>
  <c r="Q217" i="33"/>
  <c r="S217" i="33"/>
  <c r="U217" i="33"/>
  <c r="W217" i="33"/>
  <c r="Y217" i="33"/>
  <c r="AA217" i="33"/>
  <c r="AC217" i="33"/>
  <c r="C218" i="33"/>
  <c r="E218" i="33"/>
  <c r="G218" i="33"/>
  <c r="I218" i="33"/>
  <c r="K218" i="33"/>
  <c r="M218" i="33"/>
  <c r="O218" i="33"/>
  <c r="Q218" i="33"/>
  <c r="S218" i="33"/>
  <c r="U218" i="33"/>
  <c r="W218" i="33"/>
  <c r="Y218" i="33"/>
  <c r="AA218" i="33"/>
  <c r="AC218" i="33"/>
  <c r="C219" i="33"/>
  <c r="E219" i="33"/>
  <c r="G219" i="33"/>
  <c r="I219" i="33"/>
  <c r="K219" i="33"/>
  <c r="M219" i="33"/>
  <c r="O219" i="33"/>
  <c r="Q219" i="33"/>
  <c r="S219" i="33"/>
  <c r="U219" i="33"/>
  <c r="W219" i="33"/>
  <c r="Y219" i="33"/>
  <c r="AA219" i="33"/>
  <c r="AC219" i="33"/>
  <c r="AD219" i="33"/>
  <c r="AH219" i="33"/>
  <c r="C220" i="33"/>
  <c r="E220" i="33"/>
  <c r="G220" i="33"/>
  <c r="I220" i="33"/>
  <c r="K220" i="33"/>
  <c r="M220" i="33"/>
  <c r="O220" i="33"/>
  <c r="Q220" i="33"/>
  <c r="S220" i="33"/>
  <c r="U220" i="33"/>
  <c r="W220" i="33"/>
  <c r="Y220" i="33"/>
  <c r="AA220" i="33"/>
  <c r="AC220" i="33"/>
  <c r="C221" i="33"/>
  <c r="E221" i="33"/>
  <c r="G221" i="33"/>
  <c r="I221" i="33"/>
  <c r="K221" i="33"/>
  <c r="M221" i="33"/>
  <c r="O221" i="33"/>
  <c r="Q221" i="33"/>
  <c r="S221" i="33"/>
  <c r="U221" i="33"/>
  <c r="W221" i="33"/>
  <c r="Y221" i="33"/>
  <c r="AA221" i="33"/>
  <c r="AC221" i="33"/>
  <c r="C222" i="33"/>
  <c r="E222" i="33"/>
  <c r="G222" i="33"/>
  <c r="I222" i="33"/>
  <c r="K222" i="33"/>
  <c r="M222" i="33"/>
  <c r="O222" i="33"/>
  <c r="Q222" i="33"/>
  <c r="S222" i="33"/>
  <c r="U222" i="33"/>
  <c r="W222" i="33"/>
  <c r="Y222" i="33"/>
  <c r="AA222" i="33"/>
  <c r="AC222" i="33"/>
  <c r="C223" i="33"/>
  <c r="E223" i="33"/>
  <c r="G223" i="33"/>
  <c r="I223" i="33"/>
  <c r="K223" i="33"/>
  <c r="M223" i="33"/>
  <c r="O223" i="33"/>
  <c r="Q223" i="33"/>
  <c r="S223" i="33"/>
  <c r="U223" i="33"/>
  <c r="W223" i="33"/>
  <c r="Y223" i="33"/>
  <c r="AA223" i="33"/>
  <c r="AC223" i="33"/>
  <c r="C224" i="33"/>
  <c r="E224" i="33"/>
  <c r="G224" i="33"/>
  <c r="I224" i="33"/>
  <c r="K224" i="33"/>
  <c r="M224" i="33"/>
  <c r="O224" i="33"/>
  <c r="Q224" i="33"/>
  <c r="S224" i="33"/>
  <c r="U224" i="33"/>
  <c r="W224" i="33"/>
  <c r="Y224" i="33"/>
  <c r="AA224" i="33"/>
  <c r="AC224" i="33"/>
  <c r="C225" i="33"/>
  <c r="E225" i="33"/>
  <c r="G225" i="33"/>
  <c r="I225" i="33"/>
  <c r="K225" i="33"/>
  <c r="M225" i="33"/>
  <c r="O225" i="33"/>
  <c r="Q225" i="33"/>
  <c r="S225" i="33"/>
  <c r="U225" i="33"/>
  <c r="W225" i="33"/>
  <c r="Y225" i="33"/>
  <c r="AA225" i="33"/>
  <c r="AC225" i="33"/>
  <c r="C226" i="33"/>
  <c r="E226" i="33"/>
  <c r="G226" i="33"/>
  <c r="I226" i="33"/>
  <c r="K226" i="33"/>
  <c r="M226" i="33"/>
  <c r="O226" i="33"/>
  <c r="Q226" i="33"/>
  <c r="S226" i="33"/>
  <c r="U226" i="33"/>
  <c r="W226" i="33"/>
  <c r="Y226" i="33"/>
  <c r="AA226" i="33"/>
  <c r="AC226" i="33"/>
  <c r="C227" i="33"/>
  <c r="E227" i="33"/>
  <c r="G227" i="33"/>
  <c r="I227" i="33"/>
  <c r="K227" i="33"/>
  <c r="M227" i="33"/>
  <c r="O227" i="33"/>
  <c r="Q227" i="33"/>
  <c r="S227" i="33"/>
  <c r="U227" i="33"/>
  <c r="W227" i="33"/>
  <c r="Y227" i="33"/>
  <c r="AA227" i="33"/>
  <c r="AC227" i="33"/>
  <c r="C228" i="33"/>
  <c r="E228" i="33"/>
  <c r="G228" i="33"/>
  <c r="I228" i="33"/>
  <c r="K228" i="33"/>
  <c r="M228" i="33"/>
  <c r="O228" i="33"/>
  <c r="Q228" i="33"/>
  <c r="S228" i="33"/>
  <c r="U228" i="33"/>
  <c r="W228" i="33"/>
  <c r="Y228" i="33"/>
  <c r="AA228" i="33"/>
  <c r="AC228" i="33"/>
  <c r="C229" i="33"/>
  <c r="E229" i="33"/>
  <c r="G229" i="33"/>
  <c r="I229" i="33"/>
  <c r="K229" i="33"/>
  <c r="M229" i="33"/>
  <c r="O229" i="33"/>
  <c r="Q229" i="33"/>
  <c r="S229" i="33"/>
  <c r="U229" i="33"/>
  <c r="W229" i="33"/>
  <c r="Y229" i="33"/>
  <c r="AA229" i="33"/>
  <c r="AC229" i="33"/>
  <c r="C230" i="33"/>
  <c r="E230" i="33"/>
  <c r="G230" i="33"/>
  <c r="I230" i="33"/>
  <c r="K230" i="33"/>
  <c r="M230" i="33"/>
  <c r="O230" i="33"/>
  <c r="Q230" i="33"/>
  <c r="S230" i="33"/>
  <c r="U230" i="33"/>
  <c r="W230" i="33"/>
  <c r="Y230" i="33"/>
  <c r="AA230" i="33"/>
  <c r="AC230" i="33"/>
  <c r="C231" i="33"/>
  <c r="E231" i="33"/>
  <c r="G231" i="33"/>
  <c r="I231" i="33"/>
  <c r="K231" i="33"/>
  <c r="M231" i="33"/>
  <c r="O231" i="33"/>
  <c r="Q231" i="33"/>
  <c r="S231" i="33"/>
  <c r="U231" i="33"/>
  <c r="W231" i="33"/>
  <c r="Y231" i="33"/>
  <c r="AA231" i="33"/>
  <c r="AC231" i="33"/>
  <c r="C232" i="33"/>
  <c r="E232" i="33"/>
  <c r="G232" i="33"/>
  <c r="I232" i="33"/>
  <c r="K232" i="33"/>
  <c r="M232" i="33"/>
  <c r="O232" i="33"/>
  <c r="Q232" i="33"/>
  <c r="S232" i="33"/>
  <c r="U232" i="33"/>
  <c r="W232" i="33"/>
  <c r="Y232" i="33"/>
  <c r="AA232" i="33"/>
  <c r="AC232" i="33"/>
  <c r="C233" i="33"/>
  <c r="E233" i="33"/>
  <c r="G233" i="33"/>
  <c r="I233" i="33"/>
  <c r="K233" i="33"/>
  <c r="M233" i="33"/>
  <c r="O233" i="33"/>
  <c r="Q233" i="33"/>
  <c r="S233" i="33"/>
  <c r="U233" i="33"/>
  <c r="W233" i="33"/>
  <c r="Y233" i="33"/>
  <c r="AA233" i="33"/>
  <c r="AC233" i="33"/>
  <c r="C234" i="33"/>
  <c r="E234" i="33"/>
  <c r="G234" i="33"/>
  <c r="I234" i="33"/>
  <c r="K234" i="33"/>
  <c r="M234" i="33"/>
  <c r="O234" i="33"/>
  <c r="Q234" i="33"/>
  <c r="S234" i="33"/>
  <c r="U234" i="33"/>
  <c r="W234" i="33"/>
  <c r="Y234" i="33"/>
  <c r="AA234" i="33"/>
  <c r="AC234" i="33"/>
  <c r="C235" i="33"/>
  <c r="E235" i="33"/>
  <c r="G235" i="33"/>
  <c r="I235" i="33"/>
  <c r="K235" i="33"/>
  <c r="M235" i="33"/>
  <c r="O235" i="33"/>
  <c r="Q235" i="33"/>
  <c r="S235" i="33"/>
  <c r="U235" i="33"/>
  <c r="W235" i="33"/>
  <c r="Y235" i="33"/>
  <c r="AA235" i="33"/>
  <c r="AC235" i="33"/>
  <c r="C236" i="33"/>
  <c r="E236" i="33"/>
  <c r="G236" i="33"/>
  <c r="I236" i="33"/>
  <c r="K236" i="33"/>
  <c r="M236" i="33"/>
  <c r="O236" i="33"/>
  <c r="Q236" i="33"/>
  <c r="S236" i="33"/>
  <c r="U236" i="33"/>
  <c r="W236" i="33"/>
  <c r="Y236" i="33"/>
  <c r="AA236" i="33"/>
  <c r="AC236" i="33"/>
  <c r="C237" i="33"/>
  <c r="E237" i="33"/>
  <c r="G237" i="33"/>
  <c r="I237" i="33"/>
  <c r="K237" i="33"/>
  <c r="M237" i="33"/>
  <c r="O237" i="33"/>
  <c r="Q237" i="33"/>
  <c r="S237" i="33"/>
  <c r="U237" i="33"/>
  <c r="W237" i="33"/>
  <c r="Y237" i="33"/>
  <c r="AA237" i="33"/>
  <c r="AC237" i="33"/>
  <c r="C238" i="33"/>
  <c r="E238" i="33"/>
  <c r="G238" i="33"/>
  <c r="I238" i="33"/>
  <c r="K238" i="33"/>
  <c r="M238" i="33"/>
  <c r="O238" i="33"/>
  <c r="Q238" i="33"/>
  <c r="S238" i="33"/>
  <c r="U238" i="33"/>
  <c r="W238" i="33"/>
  <c r="Y238" i="33"/>
  <c r="AA238" i="33"/>
  <c r="AC238" i="33"/>
  <c r="C239" i="33"/>
  <c r="E239" i="33"/>
  <c r="G239" i="33"/>
  <c r="I239" i="33"/>
  <c r="K239" i="33"/>
  <c r="M239" i="33"/>
  <c r="O239" i="33"/>
  <c r="Q239" i="33"/>
  <c r="S239" i="33"/>
  <c r="U239" i="33"/>
  <c r="W239" i="33"/>
  <c r="Y239" i="33"/>
  <c r="AA239" i="33"/>
  <c r="AC239" i="33"/>
  <c r="C240" i="33"/>
  <c r="E240" i="33"/>
  <c r="G240" i="33"/>
  <c r="I240" i="33"/>
  <c r="K240" i="33"/>
  <c r="M240" i="33"/>
  <c r="O240" i="33"/>
  <c r="Q240" i="33"/>
  <c r="S240" i="33"/>
  <c r="U240" i="33"/>
  <c r="W240" i="33"/>
  <c r="Y240" i="33"/>
  <c r="AA240" i="33"/>
  <c r="AC240" i="33"/>
  <c r="C241" i="33"/>
  <c r="E241" i="33"/>
  <c r="G241" i="33"/>
  <c r="I241" i="33"/>
  <c r="K241" i="33"/>
  <c r="M241" i="33"/>
  <c r="O241" i="33"/>
  <c r="Q241" i="33"/>
  <c r="S241" i="33"/>
  <c r="U241" i="33"/>
  <c r="W241" i="33"/>
  <c r="Y241" i="33"/>
  <c r="AA241" i="33"/>
  <c r="AC241" i="33"/>
  <c r="C242" i="33"/>
  <c r="E242" i="33"/>
  <c r="G242" i="33"/>
  <c r="I242" i="33"/>
  <c r="K242" i="33"/>
  <c r="M242" i="33"/>
  <c r="O242" i="33"/>
  <c r="Q242" i="33"/>
  <c r="S242" i="33"/>
  <c r="U242" i="33"/>
  <c r="W242" i="33"/>
  <c r="Y242" i="33"/>
  <c r="AA242" i="33"/>
  <c r="AC242" i="33"/>
  <c r="C243" i="33"/>
  <c r="E243" i="33"/>
  <c r="G243" i="33"/>
  <c r="I243" i="33"/>
  <c r="K243" i="33"/>
  <c r="M243" i="33"/>
  <c r="O243" i="33"/>
  <c r="Q243" i="33"/>
  <c r="S243" i="33"/>
  <c r="U243" i="33"/>
  <c r="W243" i="33"/>
  <c r="Y243" i="33"/>
  <c r="AA243" i="33"/>
  <c r="AC243" i="33"/>
  <c r="C244" i="33"/>
  <c r="E244" i="33"/>
  <c r="G244" i="33"/>
  <c r="I244" i="33"/>
  <c r="K244" i="33"/>
  <c r="M244" i="33"/>
  <c r="O244" i="33"/>
  <c r="Q244" i="33"/>
  <c r="S244" i="33"/>
  <c r="U244" i="33"/>
  <c r="W244" i="33"/>
  <c r="Y244" i="33"/>
  <c r="AA244" i="33"/>
  <c r="AC244" i="33"/>
  <c r="C245" i="33"/>
  <c r="E245" i="33"/>
  <c r="G245" i="33"/>
  <c r="I245" i="33"/>
  <c r="K245" i="33"/>
  <c r="M245" i="33"/>
  <c r="O245" i="33"/>
  <c r="Q245" i="33"/>
  <c r="S245" i="33"/>
  <c r="U245" i="33"/>
  <c r="W245" i="33"/>
  <c r="Y245" i="33"/>
  <c r="AA245" i="33"/>
  <c r="AC245" i="33"/>
  <c r="C246" i="33"/>
  <c r="E246" i="33"/>
  <c r="G246" i="33"/>
  <c r="I246" i="33"/>
  <c r="K246" i="33"/>
  <c r="M246" i="33"/>
  <c r="O246" i="33"/>
  <c r="Q246" i="33"/>
  <c r="S246" i="33"/>
  <c r="U246" i="33"/>
  <c r="W246" i="33"/>
  <c r="Y246" i="33"/>
  <c r="AA246" i="33"/>
  <c r="AC246" i="33"/>
  <c r="C247" i="33"/>
  <c r="E247" i="33"/>
  <c r="G247" i="33"/>
  <c r="I247" i="33"/>
  <c r="K247" i="33"/>
  <c r="M247" i="33"/>
  <c r="O247" i="33"/>
  <c r="Q247" i="33"/>
  <c r="S247" i="33"/>
  <c r="U247" i="33"/>
  <c r="W247" i="33"/>
  <c r="Y247" i="33"/>
  <c r="AA247" i="33"/>
  <c r="AC247" i="33"/>
  <c r="C248" i="33"/>
  <c r="E248" i="33"/>
  <c r="G248" i="33"/>
  <c r="I248" i="33"/>
  <c r="K248" i="33"/>
  <c r="M248" i="33"/>
  <c r="O248" i="33"/>
  <c r="Q248" i="33"/>
  <c r="S248" i="33"/>
  <c r="U248" i="33"/>
  <c r="W248" i="33"/>
  <c r="Y248" i="33"/>
  <c r="AA248" i="33"/>
  <c r="AC248" i="33"/>
  <c r="C249" i="33"/>
  <c r="E249" i="33"/>
  <c r="G249" i="33"/>
  <c r="I249" i="33"/>
  <c r="K249" i="33"/>
  <c r="M249" i="33"/>
  <c r="O249" i="33"/>
  <c r="Q249" i="33"/>
  <c r="S249" i="33"/>
  <c r="U249" i="33"/>
  <c r="W249" i="33"/>
  <c r="Y249" i="33"/>
  <c r="AA249" i="33"/>
  <c r="AC249" i="33"/>
  <c r="C250" i="33"/>
  <c r="E250" i="33"/>
  <c r="G250" i="33"/>
  <c r="I250" i="33"/>
  <c r="K250" i="33"/>
  <c r="M250" i="33"/>
  <c r="O250" i="33"/>
  <c r="Q250" i="33"/>
  <c r="S250" i="33"/>
  <c r="U250" i="33"/>
  <c r="W250" i="33"/>
  <c r="Y250" i="33"/>
  <c r="AA250" i="33"/>
  <c r="AC250" i="33"/>
  <c r="C251" i="33"/>
  <c r="E251" i="33"/>
  <c r="G251" i="33"/>
  <c r="I251" i="33"/>
  <c r="K251" i="33"/>
  <c r="M251" i="33"/>
  <c r="O251" i="33"/>
  <c r="Q251" i="33"/>
  <c r="S251" i="33"/>
  <c r="U251" i="33"/>
  <c r="W251" i="33"/>
  <c r="Y251" i="33"/>
  <c r="AA251" i="33"/>
  <c r="AC251" i="33"/>
  <c r="C252" i="33"/>
  <c r="E252" i="33"/>
  <c r="G252" i="33"/>
  <c r="I252" i="33"/>
  <c r="K252" i="33"/>
  <c r="M252" i="33"/>
  <c r="O252" i="33"/>
  <c r="Q252" i="33"/>
  <c r="S252" i="33"/>
  <c r="U252" i="33"/>
  <c r="W252" i="33"/>
  <c r="Y252" i="33"/>
  <c r="AA252" i="33"/>
  <c r="AC252" i="33"/>
  <c r="C253" i="33"/>
  <c r="E253" i="33"/>
  <c r="G253" i="33"/>
  <c r="I253" i="33"/>
  <c r="K253" i="33"/>
  <c r="M253" i="33"/>
  <c r="O253" i="33"/>
  <c r="Q253" i="33"/>
  <c r="S253" i="33"/>
  <c r="U253" i="33"/>
  <c r="W253" i="33"/>
  <c r="Y253" i="33"/>
  <c r="AA253" i="33"/>
  <c r="AC253"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HP-PC</author>
  </authors>
  <commentList>
    <comment ref="E32" authorId="0" shapeId="0" xr:uid="{2D4BFD06-0199-4F69-912F-8C39EA107510}">
      <text>
        <r>
          <rPr>
            <sz val="9"/>
            <color indexed="81"/>
            <rFont val="Tahoma"/>
            <family val="2"/>
          </rPr>
          <t>El máximo de puntos de progresión que se lograron para el ejercicio en cuestión historicamente. Los puntos de progresión se calculan como el producto entre el número de series, número de repeticiones y peso levantado.</t>
        </r>
      </text>
    </comment>
    <comment ref="F32" authorId="0" shapeId="0" xr:uid="{4605FD83-306E-4C88-8BC0-B951E2F556AF}">
      <text>
        <r>
          <rPr>
            <sz val="9"/>
            <color indexed="81"/>
            <rFont val="Tahoma"/>
            <family val="2"/>
          </rPr>
          <t>El máximo peso levantado para el ejercicio en cuestión historicamente</t>
        </r>
      </text>
    </comment>
    <comment ref="G32" authorId="0" shapeId="0" xr:uid="{35E5E6AA-5947-4E58-962B-80C35E99DD3A}">
      <text>
        <r>
          <rPr>
            <sz val="9"/>
            <color indexed="81"/>
            <rFont val="Tahoma"/>
            <family val="2"/>
          </rPr>
          <t>La cantidad de veces que el ejercicio en cuestión fue agregado a rutinas de esta plantilla</t>
        </r>
      </text>
    </comment>
    <comment ref="H32" authorId="0" shapeId="0" xr:uid="{76882C3F-8885-40F6-BD81-A52D8EF87392}">
      <text>
        <r>
          <rPr>
            <sz val="9"/>
            <color indexed="81"/>
            <rFont val="Tahoma"/>
            <family val="2"/>
          </rPr>
          <t>Link de video de Youtube que muestra como se debe ejecutar el ejercicio en cuestión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HP-PC</author>
  </authors>
  <commentList>
    <comment ref="B11" authorId="0" shapeId="0" xr:uid="{D85BEDF5-7310-42E8-8F8D-1344A6EDBE5F}">
      <text>
        <r>
          <rPr>
            <sz val="9"/>
            <color indexed="81"/>
            <rFont val="Tahoma"/>
            <family val="2"/>
          </rPr>
          <t>El metabolísmo basal es la cantidad de calorías que tienes que ingerir al día para seguir conservando tu mismo peso</t>
        </r>
      </text>
    </comment>
    <comment ref="B13" authorId="0" shapeId="0" xr:uid="{C02C3533-A01B-4310-8F5A-93B0C428F48A}">
      <text>
        <r>
          <rPr>
            <sz val="9"/>
            <color indexed="81"/>
            <rFont val="Tahoma"/>
            <family val="2"/>
          </rPr>
          <t>Dependiendo de tu objetivo debes ingerir 500 calorías por encima o por abajo de tu metabolísmo basal para lograr lo que quieres</t>
        </r>
      </text>
    </comment>
    <comment ref="B23" authorId="0" shapeId="0" xr:uid="{8C5AB5B6-D799-46F1-AD9D-2E93B794C03F}">
      <text>
        <r>
          <rPr>
            <sz val="9"/>
            <color indexed="81"/>
            <rFont val="Tahoma"/>
            <family val="2"/>
          </rPr>
          <t xml:space="preserve">Existen dos tipos de nutrientes: Los micronutrientes y los macronutrientes. Los más relevantes para tonificar y/o ganar masa muscular son los macronutrientes, que a su vez se dividen en proteínas, carbohidratos y grasas. </t>
        </r>
      </text>
    </comment>
    <comment ref="M23" authorId="0" shapeId="0" xr:uid="{366D5C2A-5C71-4AF2-B6F5-E1CBB9A2AE51}">
      <text>
        <r>
          <rPr>
            <sz val="9"/>
            <color indexed="81"/>
            <rFont val="Tahoma"/>
            <family val="2"/>
          </rPr>
          <t>Para calcular la cantidad de calorías que tiene el alimento para los gramos indicados se buscan las</t>
        </r>
        <r>
          <rPr>
            <b/>
            <sz val="9"/>
            <color indexed="81"/>
            <rFont val="Tahoma"/>
            <family val="2"/>
          </rPr>
          <t xml:space="preserve"> (Calorías x g) </t>
        </r>
        <r>
          <rPr>
            <sz val="9"/>
            <color indexed="81"/>
            <rFont val="Tahoma"/>
            <family val="2"/>
          </rPr>
          <t>en la tabla de alimentos que está a la izquierda</t>
        </r>
        <r>
          <rPr>
            <b/>
            <sz val="9"/>
            <color indexed="81"/>
            <rFont val="Tahoma"/>
            <family val="2"/>
          </rPr>
          <t xml:space="preserve"> </t>
        </r>
        <r>
          <rPr>
            <sz val="9"/>
            <color indexed="81"/>
            <rFont val="Tahoma"/>
            <family val="2"/>
          </rPr>
          <t xml:space="preserve">para el  alimento indicado y se múltiplica ese valor por el peso en gramos indicado en esta sección </t>
        </r>
        <r>
          <rPr>
            <b/>
            <sz val="9"/>
            <color indexed="81"/>
            <rFont val="Tahoma"/>
            <family val="2"/>
          </rPr>
          <t>(g)
Este cálculo se hace automáticamente tras clickear el botón rojo de esta hoja</t>
        </r>
      </text>
    </comment>
    <comment ref="N23" authorId="0" shapeId="0" xr:uid="{E533EBFF-1107-42B8-8DC2-BD5EECAF3FB7}">
      <text>
        <r>
          <rPr>
            <sz val="9"/>
            <color indexed="81"/>
            <rFont val="Tahoma"/>
            <family val="2"/>
          </rPr>
          <t xml:space="preserve">Para calcular los gramos de proteína que tiene el alimento para los gramos indicados se busca la </t>
        </r>
        <r>
          <rPr>
            <b/>
            <sz val="9"/>
            <color indexed="81"/>
            <rFont val="Tahoma"/>
            <family val="2"/>
          </rPr>
          <t>(Proteína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t>
        </r>
        <r>
          <rPr>
            <sz val="9"/>
            <color indexed="81"/>
            <rFont val="Tahoma"/>
            <family val="2"/>
          </rPr>
          <t xml:space="preserve">
</t>
        </r>
        <r>
          <rPr>
            <b/>
            <sz val="9"/>
            <color indexed="81"/>
            <rFont val="Tahoma"/>
            <family val="2"/>
          </rPr>
          <t>Este cálculo se hace automáticamente tras clickear el botón rojo de esta hoja</t>
        </r>
      </text>
    </comment>
    <comment ref="Q23" authorId="0" shapeId="0" xr:uid="{95FF097D-108A-4759-BB77-95D8D6D1B780}">
      <text>
        <r>
          <rPr>
            <sz val="9"/>
            <color indexed="81"/>
            <rFont val="Tahoma"/>
            <family val="2"/>
          </rPr>
          <t xml:space="preserve">Para calcular la cantidad de calorías que tiene el alimento para los gramos indicados se buscan las (Calorías x g) en la tabla de alimentos que está a la izquierda para el  alimento indicado y se múltiplica ese valor por el peso en gramos indicado en esta sección (g)
</t>
        </r>
        <r>
          <rPr>
            <b/>
            <sz val="9"/>
            <color indexed="81"/>
            <rFont val="Tahoma"/>
            <family val="2"/>
          </rPr>
          <t>Este cálculo se hace automáticamente tras clickear el botón rojo de esta hoja</t>
        </r>
      </text>
    </comment>
    <comment ref="R23" authorId="0" shapeId="0" xr:uid="{19371B56-A353-4059-ADA9-CA5AE6E2BE4C}">
      <text>
        <r>
          <rPr>
            <sz val="9"/>
            <color indexed="81"/>
            <rFont val="Tahoma"/>
            <family val="2"/>
          </rPr>
          <t xml:space="preserve">Para calcular los gramos de proteína que tiene el alimento para los gramos indicados se busca la </t>
        </r>
        <r>
          <rPr>
            <b/>
            <sz val="9"/>
            <color indexed="81"/>
            <rFont val="Tahoma"/>
            <family val="2"/>
          </rPr>
          <t>(Proteína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t>
        </r>
        <r>
          <rPr>
            <sz val="9"/>
            <color indexed="81"/>
            <rFont val="Tahoma"/>
            <family val="2"/>
          </rPr>
          <t xml:space="preserve">
</t>
        </r>
        <r>
          <rPr>
            <b/>
            <sz val="9"/>
            <color indexed="81"/>
            <rFont val="Tahoma"/>
            <family val="2"/>
          </rPr>
          <t>Este cálculo se hace automáticamente tras clickear el botón rojo de esta hoja</t>
        </r>
      </text>
    </comment>
    <comment ref="U23" authorId="0" shapeId="0" xr:uid="{9E17A813-9244-4D36-B64C-393BA45C31D7}">
      <text>
        <r>
          <rPr>
            <sz val="9"/>
            <color indexed="81"/>
            <rFont val="Tahoma"/>
            <family val="2"/>
          </rPr>
          <t xml:space="preserve">Para calcular la cantidad de calorías que tiene el alimento para los gramos indicados se buscan las </t>
        </r>
        <r>
          <rPr>
            <b/>
            <sz val="9"/>
            <color indexed="81"/>
            <rFont val="Tahoma"/>
            <family val="2"/>
          </rPr>
          <t>(Calorías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t>
        </r>
        <r>
          <rPr>
            <sz val="9"/>
            <color indexed="81"/>
            <rFont val="Tahoma"/>
            <family val="2"/>
          </rPr>
          <t xml:space="preserve">
</t>
        </r>
        <r>
          <rPr>
            <b/>
            <sz val="9"/>
            <color indexed="81"/>
            <rFont val="Tahoma"/>
            <family val="2"/>
          </rPr>
          <t>Este cálculo se hace automáticamente tras clickear el botón rojo de esta hoja</t>
        </r>
      </text>
    </comment>
    <comment ref="V23" authorId="0" shapeId="0" xr:uid="{D66D7834-0580-4FCD-A179-E4572D8FF0D7}">
      <text>
        <r>
          <rPr>
            <sz val="9"/>
            <color indexed="81"/>
            <rFont val="Tahoma"/>
            <family val="2"/>
          </rPr>
          <t xml:space="preserve">Para calcular los gramos de proteína que tiene el alimento para los gramos indicados se busca la </t>
        </r>
        <r>
          <rPr>
            <b/>
            <sz val="9"/>
            <color indexed="81"/>
            <rFont val="Tahoma"/>
            <family val="2"/>
          </rPr>
          <t>(Proteína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
Este cálculo se hace automáticamente tras clickear el botón rojo de esta hoja</t>
        </r>
      </text>
    </comment>
    <comment ref="Y23" authorId="0" shapeId="0" xr:uid="{498DF014-BF09-41AA-8361-F4B83F490912}">
      <text>
        <r>
          <rPr>
            <sz val="9"/>
            <color indexed="81"/>
            <rFont val="Tahoma"/>
            <family val="2"/>
          </rPr>
          <t xml:space="preserve">Para calcular la cantidad de calorías que tiene el alimento para los gramos indicados se buscan las </t>
        </r>
        <r>
          <rPr>
            <b/>
            <sz val="9"/>
            <color indexed="81"/>
            <rFont val="Tahoma"/>
            <family val="2"/>
          </rPr>
          <t>(Calorías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t>
        </r>
        <r>
          <rPr>
            <sz val="9"/>
            <color indexed="81"/>
            <rFont val="Tahoma"/>
            <family val="2"/>
          </rPr>
          <t xml:space="preserve">
</t>
        </r>
        <r>
          <rPr>
            <b/>
            <sz val="9"/>
            <color indexed="81"/>
            <rFont val="Tahoma"/>
            <family val="2"/>
          </rPr>
          <t>Este cálculo se hace automáticamente tras clickear el botón rojo de esta hoja</t>
        </r>
      </text>
    </comment>
    <comment ref="Z23" authorId="0" shapeId="0" xr:uid="{194960D7-353F-4195-A1F0-D2E022BBC7CC}">
      <text>
        <r>
          <rPr>
            <sz val="9"/>
            <color indexed="81"/>
            <rFont val="Tahoma"/>
            <family val="2"/>
          </rPr>
          <t xml:space="preserve">Para calcular los gramos de proteína que tiene el alimento para los gramos indicados se busca la </t>
        </r>
        <r>
          <rPr>
            <b/>
            <sz val="9"/>
            <color indexed="81"/>
            <rFont val="Tahoma"/>
            <family val="2"/>
          </rPr>
          <t>(Proteína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
Este cálculo se hace automáticamente tras clickear el botón rojo de esta hoja</t>
        </r>
      </text>
    </comment>
    <comment ref="AC23" authorId="0" shapeId="0" xr:uid="{38F32902-C0D3-4903-AD16-CF319F82E637}">
      <text>
        <r>
          <rPr>
            <sz val="9"/>
            <color indexed="81"/>
            <rFont val="Tahoma"/>
            <family val="2"/>
          </rPr>
          <t xml:space="preserve">Para calcular la cantidad de calorías que tiene el alimento para los gramos indicados se buscan las </t>
        </r>
        <r>
          <rPr>
            <b/>
            <sz val="9"/>
            <color indexed="81"/>
            <rFont val="Tahoma"/>
            <family val="2"/>
          </rPr>
          <t>(Calorías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
Este cálculo se hace automáticamente tras clickear el botón rojo de esta hoja</t>
        </r>
      </text>
    </comment>
    <comment ref="AD23" authorId="0" shapeId="0" xr:uid="{922D9380-8F56-46DB-9356-E23C32D7143E}">
      <text>
        <r>
          <rPr>
            <sz val="9"/>
            <color indexed="81"/>
            <rFont val="Tahoma"/>
            <family val="2"/>
          </rPr>
          <t xml:space="preserve">Para calcular los gramos de proteína que tiene el alimento para los gramos indicados se busca la </t>
        </r>
        <r>
          <rPr>
            <b/>
            <sz val="9"/>
            <color indexed="81"/>
            <rFont val="Tahoma"/>
            <family val="2"/>
          </rPr>
          <t>(Proteína x g)</t>
        </r>
        <r>
          <rPr>
            <sz val="9"/>
            <color indexed="81"/>
            <rFont val="Tahoma"/>
            <family val="2"/>
          </rPr>
          <t xml:space="preserve"> en la tabla de alimentos que está a la izquierda para el  alimento indicado y se múltiplica ese valor por el peso en gramos indicado en esta sección </t>
        </r>
        <r>
          <rPr>
            <b/>
            <sz val="9"/>
            <color indexed="81"/>
            <rFont val="Tahoma"/>
            <family val="2"/>
          </rPr>
          <t>(g)
Este cálculo se hace automáticamente tras clickear el botón rojo de esta hoja</t>
        </r>
      </text>
    </comment>
    <comment ref="AE29" authorId="0" shapeId="0" xr:uid="{CDB1866A-564A-46E3-B430-AE1300DA06C4}">
      <text>
        <r>
          <rPr>
            <sz val="9"/>
            <color indexed="81"/>
            <rFont val="Tahoma"/>
            <family val="2"/>
          </rPr>
          <t xml:space="preserve">El número total de calorías para esta opción. Este valor es la suma de calorías que da cada una de las comidas de esta opción
</t>
        </r>
        <r>
          <rPr>
            <b/>
            <sz val="9"/>
            <color indexed="81"/>
            <rFont val="Tahoma"/>
            <family val="2"/>
          </rPr>
          <t>Si esta celda aparece en verde es porque cumple con el objetivo seleccionado en la sección del metabolísmo basal. Si esta celda aparece en rojo es porque NO cumple con los objetivos.</t>
        </r>
      </text>
    </comment>
    <comment ref="AE30" authorId="0" shapeId="0" xr:uid="{F82BB5B2-770C-46A4-BAD1-82802B862496}">
      <text>
        <r>
          <rPr>
            <sz val="9"/>
            <color indexed="81"/>
            <rFont val="Tahoma"/>
            <family val="2"/>
          </rPr>
          <t>El total de gramos de proteína para esta opción. Este valor es la suma de los gramos de proteína que da cada una de las comidas de esta opción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HP-PC</author>
  </authors>
  <commentList>
    <comment ref="B5" authorId="0" shapeId="0" xr:uid="{5225624F-0090-452A-8CBF-56F65FFF0737}">
      <text>
        <r>
          <rPr>
            <sz val="9"/>
            <color indexed="81"/>
            <rFont val="Tahoma"/>
            <family val="2"/>
          </rPr>
          <t>Fecha en las que se hizo progresión para cada rutina. El éstandar que sigue esta plantilla es el de hacer progresión cada 14 días</t>
        </r>
      </text>
    </comment>
    <comment ref="C5" authorId="0" shapeId="0" xr:uid="{BB7F73A3-B0F6-4E2A-878C-B5746094E181}">
      <text>
        <r>
          <rPr>
            <sz val="9"/>
            <color indexed="81"/>
            <rFont val="Tahoma"/>
            <family val="2"/>
          </rPr>
          <t>El total de puntos de progresión que se lograron hasta la fecha. Para calcular este valor se suman todos los puntos de todos los ejercicios de la rutina en ese momento. Los puntos de progresión se calculan como el producto entre el número de series, número de repeticiones y peso levantado.</t>
        </r>
      </text>
    </comment>
    <comment ref="D5" authorId="0" shapeId="0" xr:uid="{72A0DD8E-C1B3-4814-9A35-083BD4E776E7}">
      <text>
        <r>
          <rPr>
            <sz val="9"/>
            <color indexed="81"/>
            <rFont val="Tahoma"/>
            <family val="2"/>
          </rPr>
          <t xml:space="preserve">La tasa de variación, o en el caso ideal lo que viene a llamarse el incremento se calcula como el valor final menos el valor inicial dividido todo por el valor inicial
</t>
        </r>
        <r>
          <rPr>
            <b/>
            <sz val="9"/>
            <color indexed="81"/>
            <rFont val="Tahoma"/>
            <family val="2"/>
          </rPr>
          <t>(Vf-Vi)/Vi</t>
        </r>
      </text>
    </comment>
    <comment ref="F5" authorId="0" shapeId="0" xr:uid="{77668B35-C9AF-43D2-A305-1CB82B79F348}">
      <text>
        <r>
          <rPr>
            <sz val="9"/>
            <color indexed="81"/>
            <rFont val="Tahoma"/>
            <family val="2"/>
          </rPr>
          <t xml:space="preserve">La tasa de variación, o en el caso ideal lo que viene a llamarse el incremento se calcula como el valor final menos el valor inicial dividido todo por el valor inicial
</t>
        </r>
        <r>
          <rPr>
            <b/>
            <sz val="9"/>
            <color indexed="81"/>
            <rFont val="Tahoma"/>
            <family val="2"/>
          </rPr>
          <t>(Vf-Vi)/Vi</t>
        </r>
      </text>
    </comment>
    <comment ref="G5" authorId="0" shapeId="0" xr:uid="{128BD248-8CC9-472B-8B38-B2E46692D395}">
      <text>
        <r>
          <rPr>
            <sz val="9"/>
            <color indexed="81"/>
            <rFont val="Tahoma"/>
            <family val="2"/>
          </rPr>
          <t>Al igual que en la columna anterior, este valor se calcula como el valor final menos el valor inicial dividido todo por el valor inicial. La diferencia es que en este caso el valor final es el peso corporal en la última fecha de progresión de la rutina actual, y el valor inicial es el peso corporal en la última fecha de progresión de la rutina anterior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<sst xmlns="http://schemas.openxmlformats.org/spreadsheetml/2006/main" count="2204" uniqueCount="719">
  <si>
    <r>
      <rPr>
        <sz val="24"/>
        <color rgb="FF00B0F0"/>
        <rFont val="Bahnschrift SemiBold Condensed"/>
        <family val="2"/>
      </rPr>
      <t>SUDOR</t>
    </r>
    <r>
      <rPr>
        <sz val="24"/>
        <color theme="1"/>
        <rFont val="Bahnschrift SemiBold Condensed"/>
        <family val="2"/>
      </rPr>
      <t xml:space="preserve"> &amp; </t>
    </r>
    <r>
      <rPr>
        <sz val="24"/>
        <color rgb="FFC00000"/>
        <rFont val="Bahnschrift SemiBold Condensed"/>
        <family val="2"/>
      </rPr>
      <t>SANGRE</t>
    </r>
  </si>
  <si>
    <t>Acerca del programador</t>
  </si>
  <si>
    <t>Leer detenidamente antes de empezar a utilizar la plantilla</t>
  </si>
  <si>
    <t>Navega por la plantilla</t>
  </si>
  <si>
    <t>Hojas de interés</t>
  </si>
  <si>
    <t>Resumenes de rutina</t>
  </si>
  <si>
    <t>Periodo</t>
  </si>
  <si>
    <t>2022-1</t>
  </si>
  <si>
    <t>2022-2</t>
  </si>
  <si>
    <t>2022-3</t>
  </si>
  <si>
    <t>2022-4</t>
  </si>
  <si>
    <t>2023-1</t>
  </si>
  <si>
    <t>2023-2</t>
  </si>
  <si>
    <t>2023-3</t>
  </si>
  <si>
    <t>2023-4</t>
  </si>
  <si>
    <t>Nombre del ejercicio</t>
  </si>
  <si>
    <t>Grupo muscular</t>
  </si>
  <si>
    <t>Dificultad</t>
  </si>
  <si>
    <t>Max puntos</t>
  </si>
  <si>
    <t>Max peso levantado</t>
  </si>
  <si>
    <t>Cantidad de veces incluido en rutinas</t>
  </si>
  <si>
    <t>Link de demostración</t>
  </si>
  <si>
    <t>Press plano</t>
  </si>
  <si>
    <t>Pecho</t>
  </si>
  <si>
    <t>Media</t>
  </si>
  <si>
    <t>https://www.youtube.com/watch?v=gRVjAtPip0Y</t>
  </si>
  <si>
    <t>Press plano mancuerna</t>
  </si>
  <si>
    <t>https://www.youtube.com/watch?v=VmB1G1K7v94</t>
  </si>
  <si>
    <t>Press plano mancuerna alternado</t>
  </si>
  <si>
    <t>https://www.youtube.com/watch?v=p8A3oaWhU6U</t>
  </si>
  <si>
    <t>Press plano mancuerna agarre invertido</t>
  </si>
  <si>
    <t>https://www.youtube.com/watch?v=uBRFq6sBzlQ</t>
  </si>
  <si>
    <t>Press plano mancuerna trifásico</t>
  </si>
  <si>
    <t>https://www.youtube.com/watch?v=_yBn_X_oOv8</t>
  </si>
  <si>
    <t>Press plano máquina</t>
  </si>
  <si>
    <t>https://www.youtube.com/watch?v=xUm0BiZCWlQ</t>
  </si>
  <si>
    <t>Press plano polea</t>
  </si>
  <si>
    <t>Baja</t>
  </si>
  <si>
    <t>https://www.youtube.com/watch?v=FVWJglwid4I</t>
  </si>
  <si>
    <t>Press plano disco</t>
  </si>
  <si>
    <t>Alta</t>
  </si>
  <si>
    <t>https://www.youtube.com/watch?v=1DK6qYRFurw</t>
  </si>
  <si>
    <t>Press guillotina</t>
  </si>
  <si>
    <t>https://www.youtube.com/watch?v=y90T12sTukg</t>
  </si>
  <si>
    <t>Press inclinado</t>
  </si>
  <si>
    <t>https://www.youtube.com/watch?v=u69PdOXI9QA</t>
  </si>
  <si>
    <t>Press inclinado mancuerna</t>
  </si>
  <si>
    <t>https://www.youtube.com/watch?v=8iPEnn-ltC8</t>
  </si>
  <si>
    <t>Press inclinado mancuerna alternado</t>
  </si>
  <si>
    <t>https://www.youtube.com/watch?v=12zz4KCeGOQ</t>
  </si>
  <si>
    <t>Press inclinado mancuerna agarre invertido</t>
  </si>
  <si>
    <t>https://www.youtube.com/watch?v=bxQqbnF30-8</t>
  </si>
  <si>
    <t>Press inclinado mancuerna trifásico</t>
  </si>
  <si>
    <t>Press inclinado máquina</t>
  </si>
  <si>
    <t>https://www.youtube.com/watch?v=ui2jh0A2lcQ</t>
  </si>
  <si>
    <t>Press inclinado polea</t>
  </si>
  <si>
    <t>https://www.youtube.com/watch?v=Gz6bobAEQ1U</t>
  </si>
  <si>
    <t>Press inclinado disco</t>
  </si>
  <si>
    <t>https://www.youtube.com/watch?v=R3mrlFvle1A</t>
  </si>
  <si>
    <t>Press declinado</t>
  </si>
  <si>
    <t>https://www.youtube.com/watch?v=LfyQBUKR8SE</t>
  </si>
  <si>
    <t>Press declinado mancuerna</t>
  </si>
  <si>
    <t>https://www.youtube.com/watch?v=0xRvl4Qv3ZY</t>
  </si>
  <si>
    <t>Press declinado mancuerna alternado</t>
  </si>
  <si>
    <t>https://www.youtube.com/watch?v=1YzqOUeCLLE</t>
  </si>
  <si>
    <t>Press declinado mancuerna agarre invertido</t>
  </si>
  <si>
    <t>https://www.youtube.com/watch?v=A6XjVGy84UU</t>
  </si>
  <si>
    <t>Press declinado mancuerna trifásico</t>
  </si>
  <si>
    <t>Vuelos mancuerna</t>
  </si>
  <si>
    <t>https://www.youtube.com/watch?v=eozdVDA78K0</t>
  </si>
  <si>
    <t>Vuelos inclinado mancuerna</t>
  </si>
  <si>
    <t>https://www.youtube.com/watch?v=ajdFwa-qM98</t>
  </si>
  <si>
    <t>Vuelos declinado mancuerna</t>
  </si>
  <si>
    <t>https://www.youtube.com/watch?v=IMALXhhHRKM</t>
  </si>
  <si>
    <t>Vuelos máquina</t>
  </si>
  <si>
    <t>https://www.youtube.com/watch?v=Z57CtFmRMxA</t>
  </si>
  <si>
    <t>Vuelos peso corporal</t>
  </si>
  <si>
    <t>https://www.youtube.com/watch?v=fo9L3jgI8Fw</t>
  </si>
  <si>
    <t>Vuelos polea inclinado</t>
  </si>
  <si>
    <t>https://www.youtube.com/watch?v=Rrta_LRJPiA&amp;t=5s</t>
  </si>
  <si>
    <t>Vuelos polea declinado</t>
  </si>
  <si>
    <t>https://www.youtube.com/watch?v=TR4FdOs_7PY</t>
  </si>
  <si>
    <t>Around the worlds</t>
  </si>
  <si>
    <t>https://www.youtube.com/watch?v=w_Pplr0hI1s</t>
  </si>
  <si>
    <t>Press svend</t>
  </si>
  <si>
    <t>https://www.youtube.com/watch?v=cIoUZOnypS8</t>
  </si>
  <si>
    <t>Pullover pecho mancuerna</t>
  </si>
  <si>
    <t>https://www.youtube.com/watch?v=ar-eEXkHLO4</t>
  </si>
  <si>
    <t>Pullover pecho barra</t>
  </si>
  <si>
    <t>Fondos pecho paralelas</t>
  </si>
  <si>
    <t>https://www.youtube.com/watch?v=sM6XUdt1rm4&amp;t=145s</t>
  </si>
  <si>
    <t>Pushups</t>
  </si>
  <si>
    <t>https://www.youtube.com/watch?v=IODxDxX7oi4</t>
  </si>
  <si>
    <t>Pushups diamante</t>
  </si>
  <si>
    <t>https://www.youtube.com/watch?v=J0DnG1_S92I</t>
  </si>
  <si>
    <t>Pushups archer</t>
  </si>
  <si>
    <t>https://www.youtube.com/watch?v=jiA3RnMxFU0</t>
  </si>
  <si>
    <t>Pushups thumbs-up</t>
  </si>
  <si>
    <t>https://www.youtube.com/watch?v=nblU7yyVLbI</t>
  </si>
  <si>
    <t>Wipers isométricos</t>
  </si>
  <si>
    <t>https://www.youtube.com/watch?v=nF7iK4DE0eM</t>
  </si>
  <si>
    <t>Remo shotgun</t>
  </si>
  <si>
    <t>Espalda media</t>
  </si>
  <si>
    <t>https://www.youtube.com/watch?v=hZzJJ0HJbvw</t>
  </si>
  <si>
    <t>Remo mancuerna unipodal</t>
  </si>
  <si>
    <t>https://www.youtube.com/watch?v=-koP10y1qZI</t>
  </si>
  <si>
    <t>Remo mancuerna banco inclinado</t>
  </si>
  <si>
    <t>https://www.youtube.com/watch?v=OvdT43CDk8k</t>
  </si>
  <si>
    <t>Remo barra parado</t>
  </si>
  <si>
    <t>https://www.youtube.com/watch?v=9efgcAjQe7E</t>
  </si>
  <si>
    <t>Remo polea sentado</t>
  </si>
  <si>
    <t>https://www.youtube.com/watch?v=GZbfZ033f74</t>
  </si>
  <si>
    <t>Remo polea sentado unipodal</t>
  </si>
  <si>
    <t>https://www.youtube.com/watch?v=CrylzZHfO1c</t>
  </si>
  <si>
    <t>Remo máquina</t>
  </si>
  <si>
    <t>https://www.youtube.com/watch?v=8MKGArS7w7c</t>
  </si>
  <si>
    <t>Remo landmine</t>
  </si>
  <si>
    <t>https://www.youtube.com/watch?v=9hSQVBHLOX0</t>
  </si>
  <si>
    <t>Remo invertido smith</t>
  </si>
  <si>
    <t>https://www.youtube.com/watch?v=XZV9IwluPjw</t>
  </si>
  <si>
    <t>Remo invertido trx</t>
  </si>
  <si>
    <t>https://www.youtube.com/watch?v=utTuYn6ncGE</t>
  </si>
  <si>
    <t>Muscleups</t>
  </si>
  <si>
    <t>Lats</t>
  </si>
  <si>
    <t>https://www.youtube.com/watch?v=Fpk1a_PxEw4</t>
  </si>
  <si>
    <t>Pullups</t>
  </si>
  <si>
    <t>https://www.youtube.com/watch?v=vw5Xmu5CIew</t>
  </si>
  <si>
    <t>Escapulario mancuerna banco inclinado</t>
  </si>
  <si>
    <t>https://www.youtube.com/watch?v=ZED1DsQZhTs</t>
  </si>
  <si>
    <t>Escapulario mancuerna sobre rodilla</t>
  </si>
  <si>
    <t>https://www.youtube.com/watch?v=EA7u4Q_8HQ0</t>
  </si>
  <si>
    <t>Escapulario máquina</t>
  </si>
  <si>
    <t>https://www.youtube.com/watch?v=T_dkYUgQLCY</t>
  </si>
  <si>
    <t>Pullover lat mancuerna</t>
  </si>
  <si>
    <t>Pullover lat barra</t>
  </si>
  <si>
    <t>Chinups</t>
  </si>
  <si>
    <t>https://www.youtube.com/watch?v=brhRXlOhsAM</t>
  </si>
  <si>
    <t>Pullups asistidos</t>
  </si>
  <si>
    <t>https://www.youtube.com/watch?v=y00_rMYk1Oc</t>
  </si>
  <si>
    <t>Chinups asistidos</t>
  </si>
  <si>
    <t xml:space="preserve">Pulldown polea sentado </t>
  </si>
  <si>
    <t>https://www.youtube.com/watch?v=ROxoibEv2hI</t>
  </si>
  <si>
    <t>Pulldown polea sentado agarre en v</t>
  </si>
  <si>
    <t>https://www.youtube.com/watch?v=v_eJFvdAcUw</t>
  </si>
  <si>
    <t>Lat pulldown polea sentado</t>
  </si>
  <si>
    <t>https://www.youtube.com/watch?v=AOpi-p0cJkc</t>
  </si>
  <si>
    <t>Pulldown polea parado</t>
  </si>
  <si>
    <t>https://www.youtube.com/watch?v=SUEvPczIlWA</t>
  </si>
  <si>
    <t>Pulldown polea parado lazo</t>
  </si>
  <si>
    <t>https://www.youtube.com/watch?v=QAMQz8lsPC8</t>
  </si>
  <si>
    <t>Pulldown máquina</t>
  </si>
  <si>
    <t>https://www.youtube.com/watch?v=kwJeh3QyhVE</t>
  </si>
  <si>
    <t>Lat pulldown máquina</t>
  </si>
  <si>
    <t>Extensión de espalda libre</t>
  </si>
  <si>
    <t>Espalda baja</t>
  </si>
  <si>
    <t>https://www.youtube.com/watch?v=ph3pddpKzzw</t>
  </si>
  <si>
    <t>Extensión de espalda máquina</t>
  </si>
  <si>
    <t>https://www.youtube.com/watch?v=iSIFVCzzNOY</t>
  </si>
  <si>
    <t>Supermans</t>
  </si>
  <si>
    <t>https://www.youtube.com/watch?v=z6PJMT2y8GQ</t>
  </si>
  <si>
    <t>Paracaídas</t>
  </si>
  <si>
    <t>https://www.youtube.com/watch?v=u0N7gkePfwI&amp;t=35s</t>
  </si>
  <si>
    <t>Plancha paracaídas</t>
  </si>
  <si>
    <t>https://www.youtube.com/watch?v=_dBZ0bMxjug</t>
  </si>
  <si>
    <t>Good mornings sentado</t>
  </si>
  <si>
    <t>https://www.youtube.com/watch?v=ScBgwqMrv3Q</t>
  </si>
  <si>
    <t>Shrug smith</t>
  </si>
  <si>
    <t>Traps</t>
  </si>
  <si>
    <t>https://www.youtube.com/watch?v=cT5_GyOXIgE</t>
  </si>
  <si>
    <t>Shrug smith invertido</t>
  </si>
  <si>
    <t>https://www.youtube.com/watch?v=GaHtS9SUqh4</t>
  </si>
  <si>
    <t>Shrug mancuerna</t>
  </si>
  <si>
    <t>https://www.youtube.com/watch?v=cJRVVxmytaM</t>
  </si>
  <si>
    <t>Shrug barra</t>
  </si>
  <si>
    <t>https://www.youtube.com/watch?v=NAqCVe2mwzM</t>
  </si>
  <si>
    <t>Shrug polea</t>
  </si>
  <si>
    <t>https://www.youtube.com/watch?v=ipwwB1LglGY</t>
  </si>
  <si>
    <t>Shrug polea lazo</t>
  </si>
  <si>
    <t>https://www.youtube.com/watch?v=Wab3-dsZohU</t>
  </si>
  <si>
    <t>Shrug disco</t>
  </si>
  <si>
    <t>https://www.youtube.com/watch?v=dKUB6MOB908</t>
  </si>
  <si>
    <t>Upright row smith</t>
  </si>
  <si>
    <t>https://www.youtube.com/watch?v=vcXkzN6QXbk</t>
  </si>
  <si>
    <t>Upright row mancuerna</t>
  </si>
  <si>
    <t>https://www.youtube.com/watch?v=IhZLB48kluc</t>
  </si>
  <si>
    <t>Upright row barra</t>
  </si>
  <si>
    <t>https://www.youtube.com/watch?v=amCU-ziHITM</t>
  </si>
  <si>
    <t>Upright row polea</t>
  </si>
  <si>
    <t>https://www.youtube.com/watch?v=9Q-j2tPu2Sk</t>
  </si>
  <si>
    <t>Upright row polea lazo</t>
  </si>
  <si>
    <t>https://www.youtube.com/watch?v=otPzfO9P3d4</t>
  </si>
  <si>
    <t>Upright row disco</t>
  </si>
  <si>
    <t>https://www.youtube.com/watch?v=UKw0LNPUvlc</t>
  </si>
  <si>
    <t>Elevaciones frontales disco para traps</t>
  </si>
  <si>
    <t>https://www.youtube.com/watch?v=e8my9OOCXVo</t>
  </si>
  <si>
    <t>Press antigravedad mancuerna</t>
  </si>
  <si>
    <t>https://www.youtube.com/watch?v=MN9Nb1l9kJE</t>
  </si>
  <si>
    <t>Press antigravedad barra</t>
  </si>
  <si>
    <t>https://www.youtube.com/watch?v=W6FlyxQzw98</t>
  </si>
  <si>
    <t xml:space="preserve">Peso muerto </t>
  </si>
  <si>
    <t>Muslo</t>
  </si>
  <si>
    <t>https://www.youtube.com/watch?v=-4qRntuXBSc</t>
  </si>
  <si>
    <t>Peso muerto mancuerna</t>
  </si>
  <si>
    <t>https://www.youtube.com/watch?v=lJ3QwaXNJfw</t>
  </si>
  <si>
    <t>Peso muerto sumo</t>
  </si>
  <si>
    <t>https://www.youtube.com/watch?v=1v4r9hht_K4</t>
  </si>
  <si>
    <t>Peso muerto sumo mancuerna</t>
  </si>
  <si>
    <t>https://www.youtube.com/watch?v=YHdektUDKfo</t>
  </si>
  <si>
    <t>Curl femoral mancuerna</t>
  </si>
  <si>
    <t>https://www.youtube.com/watch?v=xSjmKTf4QbA</t>
  </si>
  <si>
    <t>Curl femoral máquina sentado</t>
  </si>
  <si>
    <t>https://www.youtube.com/watch?v=YLJJJYOfSfc</t>
  </si>
  <si>
    <t>Curl femoral máquina acostado</t>
  </si>
  <si>
    <t>https://www.youtube.com/watch?v=1Tq3QdYUuHs</t>
  </si>
  <si>
    <t>Press pierna máquina</t>
  </si>
  <si>
    <t>Quadriceps</t>
  </si>
  <si>
    <t>https://www.youtube.com/watch?v=IZxyjW7MPJQ</t>
  </si>
  <si>
    <t>Press pierna péndulo</t>
  </si>
  <si>
    <t>https://www.youtube.com/watch?v=s9vZlsFPcmQ</t>
  </si>
  <si>
    <t>Sentadilla hack</t>
  </si>
  <si>
    <t>https://www.youtube.com/watch?v=0tn5K9NlCfo</t>
  </si>
  <si>
    <t>Estocada mancuerna</t>
  </si>
  <si>
    <t>https://www.youtube.com/watch?v=D7KaRcUTQeE</t>
  </si>
  <si>
    <t>Estocada barra</t>
  </si>
  <si>
    <t>https://www.youtube.com/watch?v=ci4rsmlOk24</t>
  </si>
  <si>
    <t>Sentadilla barra libre</t>
  </si>
  <si>
    <t>https://www.youtube.com/watch?v=Dy28eq2PjcM</t>
  </si>
  <si>
    <t>Sentadilla sumo mancuerna</t>
  </si>
  <si>
    <t>https://www.youtube.com/watch?v=i7m0NQz7Pb8</t>
  </si>
  <si>
    <t>Sentadilla sumo barra libre</t>
  </si>
  <si>
    <t>https://www.youtube.com/watch?v=NdNQ51TJPZw</t>
  </si>
  <si>
    <t>Sentadilla mancuerna</t>
  </si>
  <si>
    <t>https://www.youtube.com/watch?v=v_c67Omje48</t>
  </si>
  <si>
    <t>Sentadilla smith</t>
  </si>
  <si>
    <t>https://www.youtube.com/watch?v=AHnX-aimA4E</t>
  </si>
  <si>
    <t>Sentadilla máquina</t>
  </si>
  <si>
    <t>https://www.youtube.com/watch?v=VEQZeeEAHCM</t>
  </si>
  <si>
    <t>Saltos explosivos</t>
  </si>
  <si>
    <t>https://www.youtube.com/watch?v=wmpz7JQ5EJ8</t>
  </si>
  <si>
    <t>Saltos en tijera</t>
  </si>
  <si>
    <t>https://www.youtube.com/watch?v=R1VNNkSHI9I</t>
  </si>
  <si>
    <t>Extensiones de pierna máquina</t>
  </si>
  <si>
    <t>https://www.youtube.com/watch?v=YyvSfVjQeL0</t>
  </si>
  <si>
    <t>Sentadilla alien</t>
  </si>
  <si>
    <t>https://www.youtube.com/watch?v=586AMWsRbgs</t>
  </si>
  <si>
    <t>Sentadilla goblet</t>
  </si>
  <si>
    <t>https://www.youtube.com/watch?v=MeIiIdhvXT4</t>
  </si>
  <si>
    <t>Sentadilla pistol</t>
  </si>
  <si>
    <t>https://www.youtube.com/watch?v=smn5zko8Kpk</t>
  </si>
  <si>
    <t>Sentadilla búlgara unipodal</t>
  </si>
  <si>
    <t>https://www.youtube.com/watch?v=7Aqeb8UHl4k</t>
  </si>
  <si>
    <t>Puente</t>
  </si>
  <si>
    <t>Glúteo</t>
  </si>
  <si>
    <t>https://www.youtube.com/watch?v=-5nJtvt7la0</t>
  </si>
  <si>
    <t>Puente barra</t>
  </si>
  <si>
    <t>https://www.youtube.com/watch?v=ylpfCk3i-0Y</t>
  </si>
  <si>
    <t>Hip trust barra</t>
  </si>
  <si>
    <t>https://www.youtube.com/watch?v=Zp26q4BY5HE</t>
  </si>
  <si>
    <t>Extensión cadera polea</t>
  </si>
  <si>
    <t>https://www.youtube.com/watch?v=Fr6fdKPdyfM</t>
  </si>
  <si>
    <t>Puente unipodal</t>
  </si>
  <si>
    <t>https://www.youtube.com/watch?v=0KEhga2e2r4</t>
  </si>
  <si>
    <t>Kickback gluteo colchoneta</t>
  </si>
  <si>
    <t>https://www.youtube.com/watch?v=lKqa30WKWVk</t>
  </si>
  <si>
    <t>Kickback gluteo polea</t>
  </si>
  <si>
    <t>https://www.youtube.com/watch?v=jhKleTqfIrA</t>
  </si>
  <si>
    <t>Pull throughs polea</t>
  </si>
  <si>
    <t>https://www.youtube.com/watch?v=4oZ_0_bQcOg</t>
  </si>
  <si>
    <t>Aducción cadera máquina</t>
  </si>
  <si>
    <t>Aductores</t>
  </si>
  <si>
    <t>https://www.youtube.com/watch?v=GmRSV_n2E_0</t>
  </si>
  <si>
    <t>Groiners</t>
  </si>
  <si>
    <t>https://www.youtube.com/watch?v=lRwHnF_aJZ0</t>
  </si>
  <si>
    <t>Groiners unipodal</t>
  </si>
  <si>
    <t>https://www.youtube.com/watch?v=kMv0HWdBfpM</t>
  </si>
  <si>
    <t>Lateral hop</t>
  </si>
  <si>
    <t>https://www.youtube.com/watch?v=Nk9I6dOCneI</t>
  </si>
  <si>
    <t>Abducción cadera polea</t>
  </si>
  <si>
    <t>https://www.youtube.com/watch?v=pvnR8CDb4BU</t>
  </si>
  <si>
    <t>Hidrante de fuego</t>
  </si>
  <si>
    <t>Abductores</t>
  </si>
  <si>
    <t>https://www.youtube.com/watch?v=La3xYT8MGks</t>
  </si>
  <si>
    <t>Clam</t>
  </si>
  <si>
    <t>https://www.youtube.com/watch?v=m7RyKQV4XhE</t>
  </si>
  <si>
    <t>Clam banda de resistencia</t>
  </si>
  <si>
    <t>https://www.youtube.com/watch?v=m_ZPapmqeNM</t>
  </si>
  <si>
    <t>Monster walk</t>
  </si>
  <si>
    <t>https://www.youtube.com/watch?v=dgbhiejP7oI</t>
  </si>
  <si>
    <t>Abducción cadera máquina</t>
  </si>
  <si>
    <t>https://www.youtube.com/watch?v=2b97cvyH9sE</t>
  </si>
  <si>
    <t xml:space="preserve">Elevación pantorrilla </t>
  </si>
  <si>
    <t>Pantorrilla</t>
  </si>
  <si>
    <t>https://www.youtube.com/watch?v=-M4-G8p8fmc</t>
  </si>
  <si>
    <t>Elevación pantorrilla unipodal</t>
  </si>
  <si>
    <t>https://www.youtube.com/watch?v=ORT4oJ_R8Qs</t>
  </si>
  <si>
    <t>Elevación pantorrilla máquina sentado</t>
  </si>
  <si>
    <t>https://www.youtube.com/watch?v=JbyjNymZOt0</t>
  </si>
  <si>
    <t>Press pantorilla en prensa</t>
  </si>
  <si>
    <t>https://www.youtube.com/watch?v=M4FojyRAcuE</t>
  </si>
  <si>
    <t>Press pantorilla smith</t>
  </si>
  <si>
    <t>https://www.youtube.com/watch?v=rh8L34lAKC0</t>
  </si>
  <si>
    <t>Frog situps</t>
  </si>
  <si>
    <t>Abdomen</t>
  </si>
  <si>
    <t>https://www.youtube.com/watch?v=VTltuiTGLYA</t>
  </si>
  <si>
    <t>Situps 3/4</t>
  </si>
  <si>
    <t>https://www.youtube.com/watch?v=nxFgeTpBP6s</t>
  </si>
  <si>
    <t>Elevaciones de pierna</t>
  </si>
  <si>
    <t>https://www.youtube.com/watch?v=JB2oyawG9KI</t>
  </si>
  <si>
    <t>Elevaciones de pierna balón</t>
  </si>
  <si>
    <t>https://www.youtube.com/watch?v=sHP9YgKNpgc</t>
  </si>
  <si>
    <t>Elevaciones de pierna colgando</t>
  </si>
  <si>
    <t>https://www.youtube.com/watch?v=hdng3Nm1x_E</t>
  </si>
  <si>
    <t>Elevaciones around the world</t>
  </si>
  <si>
    <t>https://www.youtube.com/watch?v=jy2zjpcrtAI</t>
  </si>
  <si>
    <t>Plancha</t>
  </si>
  <si>
    <t>https://www.youtube.com/watch?v=pSHjTRCQxIw</t>
  </si>
  <si>
    <t>Plancha con disco</t>
  </si>
  <si>
    <t>https://www.youtube.com/watch?v=A2XNC_uk3A0</t>
  </si>
  <si>
    <t>Plancha con una pierna</t>
  </si>
  <si>
    <t>https://www.youtube.com/watch?v=YEf3DVebjcU</t>
  </si>
  <si>
    <t>Plancha sierra</t>
  </si>
  <si>
    <t>https://www.youtube.com/watch?v=FGLRgxgG084</t>
  </si>
  <si>
    <t>Plancha spiderman</t>
  </si>
  <si>
    <t>https://www.youtube.com/watch?v=DVXT7xBA_jU</t>
  </si>
  <si>
    <t>Escalador</t>
  </si>
  <si>
    <t>https://www.youtube.com/watch?v=nmwgirgXLYM</t>
  </si>
  <si>
    <t>Burpees</t>
  </si>
  <si>
    <t>https://www.youtube.com/watch?v=wS4OsJ4yzx4</t>
  </si>
  <si>
    <t>Crunch inverso</t>
  </si>
  <si>
    <t>https://www.youtube.com/watch?v=lmSP-c1X_iY</t>
  </si>
  <si>
    <t>Crunch inverso declinado</t>
  </si>
  <si>
    <t>https://www.youtube.com/watch?v=YcMj0EEadQo</t>
  </si>
  <si>
    <t>Cocoons</t>
  </si>
  <si>
    <t>https://www.youtube.com/watch?v=anSY8wZtnqk</t>
  </si>
  <si>
    <t>Crunch declinado</t>
  </si>
  <si>
    <t>https://www.youtube.com/watch?v=Pbfj9xXFpm0</t>
  </si>
  <si>
    <t>Crunch de codo a rodilla</t>
  </si>
  <si>
    <t>https://www.youtube.com/watch?v=FcjwuLMdGyM</t>
  </si>
  <si>
    <t>Crunch suitcase</t>
  </si>
  <si>
    <t>https://www.youtube.com/watch?v=mBW1NSUGVsc</t>
  </si>
  <si>
    <t>Giro ruso con disco</t>
  </si>
  <si>
    <t>https://www.youtube.com/watch?v=wkD8rjkodUI</t>
  </si>
  <si>
    <t>Rollout de abdomen</t>
  </si>
  <si>
    <t>https://www.youtube.com/watch?v=DA2QGI0NPWU</t>
  </si>
  <si>
    <t>Roullout de abdomen parado</t>
  </si>
  <si>
    <t>https://www.youtube.com/watch?v=SFTn_VON9qw</t>
  </si>
  <si>
    <t>Pull-in con balón</t>
  </si>
  <si>
    <t>https://www.youtube.com/watch?v=3R81zuUD_L0</t>
  </si>
  <si>
    <t>Otis-up</t>
  </si>
  <si>
    <t>baja</t>
  </si>
  <si>
    <t>https://www.youtube.com/watch?v=BhtnaHGJa8w</t>
  </si>
  <si>
    <t>Crunches</t>
  </si>
  <si>
    <t>https://www.youtube.com/watch?v=Xyd_fa5zoEU</t>
  </si>
  <si>
    <t>V-ups</t>
  </si>
  <si>
    <t>https://www.youtube.com/watch?v=iP2fjvG0g3w</t>
  </si>
  <si>
    <t>Crunch oblicuos declinado</t>
  </si>
  <si>
    <t>https://www.youtube.com/watch?v=DQ6QuvPll8U</t>
  </si>
  <si>
    <t>Pull-in de pierna en borde de banco</t>
  </si>
  <si>
    <t>https://www.youtube.com/watch?v=GPBVNHl5cS8</t>
  </si>
  <si>
    <t>Butt-ups</t>
  </si>
  <si>
    <t>https://www.youtube.com/watch?v=VBSKr9C4xdc</t>
  </si>
  <si>
    <t>Tocada de tobillos alternada</t>
  </si>
  <si>
    <t>https://www.youtube.com/watch?v=fLajmFLpJ_w</t>
  </si>
  <si>
    <t>Puente lateral</t>
  </si>
  <si>
    <t>https://www.youtube.com/watch?v=9C9sbJfFjJM</t>
  </si>
  <si>
    <t>Crunch de oblicuos colchoneta</t>
  </si>
  <si>
    <t>https://www.youtube.com/watch?v=bjyNm0PIc9U</t>
  </si>
  <si>
    <t>Toe touchers</t>
  </si>
  <si>
    <t>https://www.youtube.com/watch?v=fPithMwiwr8</t>
  </si>
  <si>
    <t>Full moon</t>
  </si>
  <si>
    <t>https://www.youtube.com/watch?v=g-r5OWcsWdI</t>
  </si>
  <si>
    <t>Patada lateral</t>
  </si>
  <si>
    <t>https://www.youtube.com/watch?v=86NNY5U6jqk</t>
  </si>
  <si>
    <t>Windmill</t>
  </si>
  <si>
    <t>https://www.youtube.com/watch?v=a-KqiYR7CZc</t>
  </si>
  <si>
    <t>Curl barra</t>
  </si>
  <si>
    <t>Bíceps</t>
  </si>
  <si>
    <t>https://www.youtube.com/watch?v=kwG2ipFRgfo</t>
  </si>
  <si>
    <t>Curl mancuerna</t>
  </si>
  <si>
    <t>https://www.youtube.com/watch?v=av7-8igSXTs</t>
  </si>
  <si>
    <t>Curl mancuerna unipodal</t>
  </si>
  <si>
    <t>https://www.youtube.com/watch?v=sAq_ocpRh_I</t>
  </si>
  <si>
    <t>Curl zottman</t>
  </si>
  <si>
    <t>https://www.youtube.com/watch?v=ZrpRBgswtHs</t>
  </si>
  <si>
    <t>Curl martillo mancuerna</t>
  </si>
  <si>
    <t>https://www.youtube.com/watch?v=TwD-YGVP4Bk</t>
  </si>
  <si>
    <t>Curl martillo barra suisa</t>
  </si>
  <si>
    <t>https://www.youtube.com/watch?v=2NDonzv8grs</t>
  </si>
  <si>
    <t>Curl invertido mancuerna</t>
  </si>
  <si>
    <t>https://www.youtube.com/watch?v=uiH-2J85mzI</t>
  </si>
  <si>
    <t>Curl invertido barra z</t>
  </si>
  <si>
    <t>https://www.youtube.com/watch?v=nRgxYX2Ve9w</t>
  </si>
  <si>
    <t>Curl spider</t>
  </si>
  <si>
    <t>https://www.youtube.com/watch?v=BsE9zhhTU1A</t>
  </si>
  <si>
    <t>Curl concentrado unipodal</t>
  </si>
  <si>
    <t>https://www.youtube.com/watch?v=0AUGkch3tzc</t>
  </si>
  <si>
    <t>Predicador barra</t>
  </si>
  <si>
    <t>https://www.youtube.com/watch?v=fIWP-FRFNU0</t>
  </si>
  <si>
    <t>Predicador mancuerna unipodal</t>
  </si>
  <si>
    <t>https://www.youtube.com/watch?v=vngli9UR6Hw</t>
  </si>
  <si>
    <t>Predicador máquina</t>
  </si>
  <si>
    <t xml:space="preserve"> Baja</t>
  </si>
  <si>
    <t>https://www.youtube.com/watch?v=sxQtmRXj6LY</t>
  </si>
  <si>
    <t>Curl polea</t>
  </si>
  <si>
    <t>https://www.youtube.com/watch?v=NFzTWp2qpiE</t>
  </si>
  <si>
    <t>Curl polea lazo</t>
  </si>
  <si>
    <t>https://www.youtube.com/watch?v=NfBrTXT1f7Q</t>
  </si>
  <si>
    <t>De curl a press hombro</t>
  </si>
  <si>
    <t>https://www.youtube.com/watch?v=MkSxYPEnpws</t>
  </si>
  <si>
    <t>Curl trifásico</t>
  </si>
  <si>
    <t>https://www.youtube.com/watch?v=vznbfhHP7hc</t>
  </si>
  <si>
    <t>Curl ancho barra</t>
  </si>
  <si>
    <t>https://www.youtube.com/watch?v=jnfveKq1i3E</t>
  </si>
  <si>
    <t>Curl estrecho barra</t>
  </si>
  <si>
    <t>https://www.youtube.com/watch?v=wFfSlfe00-A</t>
  </si>
  <si>
    <t>Curl mancuerna sentado inclinado</t>
  </si>
  <si>
    <t>https://www.youtube.com/watch?v=soxrZlIl35U</t>
  </si>
  <si>
    <t>Curl polea por encima de la cabeza</t>
  </si>
  <si>
    <t>https://www.youtube.com/watch?v=5_n3gVeGEqc</t>
  </si>
  <si>
    <t>Curl polea acostado</t>
  </si>
  <si>
    <t>https://www.youtube.com/watch?v=khyjpRPUEB0</t>
  </si>
  <si>
    <t xml:space="preserve">Patada doble </t>
  </si>
  <si>
    <t>Tríceps</t>
  </si>
  <si>
    <t>https://www.youtube.com/watch?v=jxYMhEjrQsM</t>
  </si>
  <si>
    <t>Extensión tríceps mancuerna acostado</t>
  </si>
  <si>
    <t>https://www.youtube.com/watch?v=R6SdxvZGK5s</t>
  </si>
  <si>
    <t>Extensión tríceps mancuerna sentado</t>
  </si>
  <si>
    <t>https://www.youtube.com/watch?v=YbX7Wd8jQ-Q</t>
  </si>
  <si>
    <t>Skullcrusher</t>
  </si>
  <si>
    <t>https://www.youtube.com/watch?v=NIWKqcmpBug</t>
  </si>
  <si>
    <t xml:space="preserve">Tate press </t>
  </si>
  <si>
    <t>https://www.youtube.com/watch?v=IgSjoXbpy1M</t>
  </si>
  <si>
    <t>Press estrecho</t>
  </si>
  <si>
    <t>https://www.youtube.com/watch?v=wxVRe9pmJdk</t>
  </si>
  <si>
    <t>Body ups</t>
  </si>
  <si>
    <t>https://www.youtube.com/watch?v=sa1k_vNTPWo</t>
  </si>
  <si>
    <t>Push ups estrechos</t>
  </si>
  <si>
    <t>https://www.youtube.com/watch?v=IcWPQo1i0k4</t>
  </si>
  <si>
    <t>Extensión tríceps máquina</t>
  </si>
  <si>
    <t>https://www.youtube.com/watch?v=cBt1X8fwKKc</t>
  </si>
  <si>
    <t>Extensión tríceps mancuerna unipodal sentado</t>
  </si>
  <si>
    <t>https://www.youtube.com/watch?v=_gsUck-7M74</t>
  </si>
  <si>
    <t>Fondos tríceps paralelas</t>
  </si>
  <si>
    <t>https://www.youtube.com/watch?v=sM6XUdt1rm4</t>
  </si>
  <si>
    <t>Fondos tríceps máquina sentado</t>
  </si>
  <si>
    <t>https://www.youtube.com/watch?v=-QxSfeRBvlU</t>
  </si>
  <si>
    <t>Fondos tríceps máquina asistencia</t>
  </si>
  <si>
    <t>https://www.youtube.com/watch?v=YFnVxMk5MEs</t>
  </si>
  <si>
    <t>Extensión tríceps polea</t>
  </si>
  <si>
    <t>https://www.youtube.com/watch?v=2-LAMcpzODU</t>
  </si>
  <si>
    <t>Extensión tríceps polea unipodal</t>
  </si>
  <si>
    <t>https://www.youtube.com/watch?v=YfDxCvoadsM</t>
  </si>
  <si>
    <t>Extensión tríceps polea unipodal lazo</t>
  </si>
  <si>
    <t>https://www.youtube.com/watch?v=G-fG5lkuE-c</t>
  </si>
  <si>
    <t>Extensión tríceps polea lazo</t>
  </si>
  <si>
    <t>https://www.youtube.com/watch?v=kiuVA0gs3EI</t>
  </si>
  <si>
    <t>Extensión tríceps suspendido</t>
  </si>
  <si>
    <t>https://www.youtube.com/watch?v=xODm0GuXPMY</t>
  </si>
  <si>
    <t>Press militar mancuerna parado</t>
  </si>
  <si>
    <t>Hombro</t>
  </si>
  <si>
    <t>https://www.youtube.com/watch?v=OOe_HrNnQWw</t>
  </si>
  <si>
    <t>Press militar mancuerna sentado</t>
  </si>
  <si>
    <t>https://www.youtube.com/watch?v=TacMZ7g6OIw</t>
  </si>
  <si>
    <t>Press militar barra parado</t>
  </si>
  <si>
    <t>https://www.youtube.com/watch?v=8E4oWpi0RkA</t>
  </si>
  <si>
    <t>Press militar barra sentado</t>
  </si>
  <si>
    <t>https://www.youtube.com/watch?v=uiYOYMDiA44</t>
  </si>
  <si>
    <t xml:space="preserve">Press militar máquina </t>
  </si>
  <si>
    <t>https://www.youtube.com/watch?v=3R14MnZbcpw</t>
  </si>
  <si>
    <t>Press hombro mancuerna parado</t>
  </si>
  <si>
    <t>https://www.youtube.com/watch?v=6eDlfTDb7Po</t>
  </si>
  <si>
    <t>Press hombro mancuerna sentado</t>
  </si>
  <si>
    <t>https://www.youtube.com/watch?v=MPvZGsMsCmw</t>
  </si>
  <si>
    <t>Press hombro mancuerna trifásico</t>
  </si>
  <si>
    <t>https://youtu.be/rEWeG8jKnXU?t=34</t>
  </si>
  <si>
    <t>Press hombro mancuerna sentado alternado</t>
  </si>
  <si>
    <t>https://www.youtube.com/watch?v=3GNIashFZO4</t>
  </si>
  <si>
    <t xml:space="preserve"> </t>
  </si>
  <si>
    <t>Press hombro barra parado</t>
  </si>
  <si>
    <t>https://www.youtube.com/watch?v=8gVEdhS5AEs</t>
  </si>
  <si>
    <t>Press hombro barra sentado</t>
  </si>
  <si>
    <t>Press hombro máquina</t>
  </si>
  <si>
    <t>Press arnold</t>
  </si>
  <si>
    <t>https://www.youtube.com/watch?v=6Z15_WdXmVw</t>
  </si>
  <si>
    <t>Press cubano</t>
  </si>
  <si>
    <t>https://www.youtube.com/watch?v=oQJoK0a3h44</t>
  </si>
  <si>
    <t>Elevaciones laterales mancuerna</t>
  </si>
  <si>
    <t>https://www.youtube.com/watch?v=3VcKaXpzqRo</t>
  </si>
  <si>
    <t>Elevaciones laterales mancuerna unipodal</t>
  </si>
  <si>
    <t>https://www.youtube.com/watch?v=WxAKPTOmYSw</t>
  </si>
  <si>
    <t>Elevaciones laterales polea unipodal</t>
  </si>
  <si>
    <t>https://www.youtube.com/watch?v=PPrzBWZDOhA</t>
  </si>
  <si>
    <t>Elevaciones laterales mancuerna banco inclinado</t>
  </si>
  <si>
    <t>https://www.youtube.com/watch?v=v7WRsQDjsEc</t>
  </si>
  <si>
    <t>Elevaciones laterales máquina</t>
  </si>
  <si>
    <t>https://www.youtube.com/watch?v=siazAOww2Tc</t>
  </si>
  <si>
    <t>Elevaciones frontales disco</t>
  </si>
  <si>
    <t>https://www.youtube.com/watch?v=hFo-LIkCozU</t>
  </si>
  <si>
    <t>Elevaciones frontales mancuerna</t>
  </si>
  <si>
    <t>https://www.youtube.com/watch?v=ugPIPY7j-GM</t>
  </si>
  <si>
    <t>Elevaciones frontales barra</t>
  </si>
  <si>
    <t>https://www.youtube.com/watch?v=sxeY7kMYhLc</t>
  </si>
  <si>
    <t>Elevaciones frontales polea</t>
  </si>
  <si>
    <t>https://www.youtube.com/watch?v=H0O4HNvtB70</t>
  </si>
  <si>
    <t>Elevaciones frontales barra banco inclinado</t>
  </si>
  <si>
    <t>https://www.youtube.com/watch?v=PdNca3B1afo</t>
  </si>
  <si>
    <t>Car driver</t>
  </si>
  <si>
    <t>https://www.youtube.com/watch?v=25g1bRCOoHc</t>
  </si>
  <si>
    <t>Rotación hombro disco</t>
  </si>
  <si>
    <t>https://www.youtube.com/watch?v=0qHUUo3VJ3s</t>
  </si>
  <si>
    <t>Elevaciones de lateral a frontal</t>
  </si>
  <si>
    <t>https://www.youtube.com/watch?v=fVPB3FN8OXg</t>
  </si>
  <si>
    <t>Rotación externa polea unipodal</t>
  </si>
  <si>
    <t>https://www.youtube.com/watch?v=uFnx9sA_LCs</t>
  </si>
  <si>
    <t>Rotación interna polea unipodal</t>
  </si>
  <si>
    <t>Dieta, nutrición y alimentación</t>
  </si>
  <si>
    <t>Metabolísmo basal</t>
  </si>
  <si>
    <t>Peso (kg)</t>
  </si>
  <si>
    <t>Altura (cm)</t>
  </si>
  <si>
    <t>Edad (años)</t>
  </si>
  <si>
    <t>Sexo (Masculino: m/Femenino: f)</t>
  </si>
  <si>
    <t>Del 1 al 5, que tanta actividad 
física realiza? siendo 1 muy poco o 
nada y 5 mucha actividad intensa</t>
  </si>
  <si>
    <t>Tu metabolísmo basal es de</t>
  </si>
  <si>
    <t>cal</t>
  </si>
  <si>
    <t>Objetivo (Volumen: v/Definición: d)</t>
  </si>
  <si>
    <t>La cantidad de calorías que debes consumir al día</t>
  </si>
  <si>
    <t>Descripción escala 1-5 actividad física</t>
  </si>
  <si>
    <t>Muy poca o ninguna actividad física</t>
  </si>
  <si>
    <t>Actividad física baja ocasional</t>
  </si>
  <si>
    <t>Actividad física moderada frecuente</t>
  </si>
  <si>
    <t>Actividad física intensa a menudo</t>
  </si>
  <si>
    <t>Actividad física constante muy intensa</t>
  </si>
  <si>
    <r>
      <t xml:space="preserve">Alimentos </t>
    </r>
    <r>
      <rPr>
        <sz val="11"/>
        <color theme="1"/>
        <rFont val="Calibri"/>
        <family val="2"/>
        <scheme val="minor"/>
      </rPr>
      <t>(Fuente: USDA - https://fdc.nal.usda.gov)</t>
    </r>
  </si>
  <si>
    <t>Comidas</t>
  </si>
  <si>
    <t>Nombre del alimento</t>
  </si>
  <si>
    <t>Nutriente predominante</t>
  </si>
  <si>
    <t>Tipo de alimento</t>
  </si>
  <si>
    <t>g por porción</t>
  </si>
  <si>
    <t>Calorías x porción</t>
  </si>
  <si>
    <t>Proteína x porción</t>
  </si>
  <si>
    <t>Calorías x g</t>
  </si>
  <si>
    <t>Proteína x g</t>
  </si>
  <si>
    <t>Nombre del nutriente</t>
  </si>
  <si>
    <t>Comida 1</t>
  </si>
  <si>
    <t>g</t>
  </si>
  <si>
    <t>Calorías</t>
  </si>
  <si>
    <t>Proteína</t>
  </si>
  <si>
    <t>Comida 2</t>
  </si>
  <si>
    <t>Comida 3</t>
  </si>
  <si>
    <t>Comida 4</t>
  </si>
  <si>
    <t>Comida 5</t>
  </si>
  <si>
    <t>Total</t>
  </si>
  <si>
    <t>Opción</t>
  </si>
  <si>
    <t>Semilla de calabaza</t>
  </si>
  <si>
    <t>Grasas</t>
  </si>
  <si>
    <t>Semilla</t>
  </si>
  <si>
    <t>Pechuga de pollo</t>
  </si>
  <si>
    <t>Lomo de cerdo</t>
  </si>
  <si>
    <t>Lomo de res</t>
  </si>
  <si>
    <t>Proteínas</t>
  </si>
  <si>
    <t>Carne</t>
  </si>
  <si>
    <t>Carbohidrato</t>
  </si>
  <si>
    <t>Pasta</t>
  </si>
  <si>
    <t>Maní</t>
  </si>
  <si>
    <t>Carbohidratos</t>
  </si>
  <si>
    <t>Legumbre</t>
  </si>
  <si>
    <t>Fuente de micronutrientes</t>
  </si>
  <si>
    <t>Guayaba</t>
  </si>
  <si>
    <t>Pera</t>
  </si>
  <si>
    <t>Queso provolone</t>
  </si>
  <si>
    <t>Lácteo</t>
  </si>
  <si>
    <t>Adicional 1</t>
  </si>
  <si>
    <t>Aceite de oliva</t>
  </si>
  <si>
    <t>Lenteja</t>
  </si>
  <si>
    <t>Adicional 2</t>
  </si>
  <si>
    <t>Aceite de coco</t>
  </si>
  <si>
    <t>Queso mozarella</t>
  </si>
  <si>
    <t>Queso cheddar</t>
  </si>
  <si>
    <t>Atún</t>
  </si>
  <si>
    <t>Almendra</t>
  </si>
  <si>
    <t>Nuez</t>
  </si>
  <si>
    <t>Arroz</t>
  </si>
  <si>
    <t>Pistacho</t>
  </si>
  <si>
    <t>Naranja</t>
  </si>
  <si>
    <t>Salmón</t>
  </si>
  <si>
    <t>Semilla de girasol</t>
  </si>
  <si>
    <t>Marañón</t>
  </si>
  <si>
    <t>Queso americano</t>
  </si>
  <si>
    <t>Pescado blanco (Haddock)</t>
  </si>
  <si>
    <t>Harina de trigo</t>
  </si>
  <si>
    <t>Cereal</t>
  </si>
  <si>
    <t>Avellana</t>
  </si>
  <si>
    <t>Piñon</t>
  </si>
  <si>
    <t>Trigo sarraceno</t>
  </si>
  <si>
    <t>Soya</t>
  </si>
  <si>
    <t>Proveniente de cereales</t>
  </si>
  <si>
    <t>Brote de soya</t>
  </si>
  <si>
    <t>Micronutrientes</t>
  </si>
  <si>
    <t>Verdura</t>
  </si>
  <si>
    <t>Huevo</t>
  </si>
  <si>
    <t>Origen animal</t>
  </si>
  <si>
    <t>Queso cottage</t>
  </si>
  <si>
    <t xml:space="preserve">Pan </t>
  </si>
  <si>
    <t>Centeno</t>
  </si>
  <si>
    <t>Yogurt griego</t>
  </si>
  <si>
    <t>Cebada</t>
  </si>
  <si>
    <t>Maíz</t>
  </si>
  <si>
    <t>Pecana</t>
  </si>
  <si>
    <t>Tofu</t>
  </si>
  <si>
    <t>Origen vegetal</t>
  </si>
  <si>
    <t>Avena</t>
  </si>
  <si>
    <t>Habas</t>
  </si>
  <si>
    <t>Macadamia</t>
  </si>
  <si>
    <t>Garbanzo</t>
  </si>
  <si>
    <t>Arbeja</t>
  </si>
  <si>
    <t>Frijol</t>
  </si>
  <si>
    <t>Quinoa</t>
  </si>
  <si>
    <t>Alfalfa</t>
  </si>
  <si>
    <t>Amaranto</t>
  </si>
  <si>
    <t>Leche de soya</t>
  </si>
  <si>
    <t>Col de bruselas</t>
  </si>
  <si>
    <t>Leche de vaca</t>
  </si>
  <si>
    <t>Champiñon (Blancos)</t>
  </si>
  <si>
    <t>Espinaca</t>
  </si>
  <si>
    <t>Brocoli</t>
  </si>
  <si>
    <t>Papa</t>
  </si>
  <si>
    <t>Tubérculo</t>
  </si>
  <si>
    <t>Fruta</t>
  </si>
  <si>
    <t>Esparragos</t>
  </si>
  <si>
    <t>Aguacate</t>
  </si>
  <si>
    <t>Coliflor</t>
  </si>
  <si>
    <t>Uchuva</t>
  </si>
  <si>
    <t>Habichuelas</t>
  </si>
  <si>
    <t>Acelga</t>
  </si>
  <si>
    <t>Remolacha</t>
  </si>
  <si>
    <t>Túberculo</t>
  </si>
  <si>
    <t>Camote</t>
  </si>
  <si>
    <t>Ñame</t>
  </si>
  <si>
    <t>Taro</t>
  </si>
  <si>
    <t>Mora</t>
  </si>
  <si>
    <t>Yuca</t>
  </si>
  <si>
    <t>Repollo</t>
  </si>
  <si>
    <t>Chirivia</t>
  </si>
  <si>
    <t>Frambuesa</t>
  </si>
  <si>
    <t>Cebolla</t>
  </si>
  <si>
    <t>Lima</t>
  </si>
  <si>
    <t>Cereza</t>
  </si>
  <si>
    <t>Kiwi</t>
  </si>
  <si>
    <t>Calabaza</t>
  </si>
  <si>
    <t>Durazno</t>
  </si>
  <si>
    <t>Nabo</t>
  </si>
  <si>
    <t>Lechuga (Iceberg)</t>
  </si>
  <si>
    <t>Tomate</t>
  </si>
  <si>
    <t>Toronja</t>
  </si>
  <si>
    <t>Mantequilla</t>
  </si>
  <si>
    <t>Melón</t>
  </si>
  <si>
    <t>Mandarina</t>
  </si>
  <si>
    <t>Higo</t>
  </si>
  <si>
    <t>Arandano azul</t>
  </si>
  <si>
    <t>Jícama</t>
  </si>
  <si>
    <t>Feijoa</t>
  </si>
  <si>
    <t>Limón</t>
  </si>
  <si>
    <t>Rábano</t>
  </si>
  <si>
    <t>Daikon</t>
  </si>
  <si>
    <t>Fresa</t>
  </si>
  <si>
    <t>Sandia</t>
  </si>
  <si>
    <t>Leche de almendra</t>
  </si>
  <si>
    <t>Piña</t>
  </si>
  <si>
    <t>Arandano rojo</t>
  </si>
  <si>
    <t>Margarina</t>
  </si>
  <si>
    <t>Miel</t>
  </si>
  <si>
    <t>Manzana</t>
  </si>
  <si>
    <t>Azucar morena</t>
  </si>
  <si>
    <t>Aceite de girasol</t>
  </si>
  <si>
    <t>Aceite de canola</t>
  </si>
  <si>
    <t>Aceite de aguacate</t>
  </si>
  <si>
    <t>Aceite de maní</t>
  </si>
  <si>
    <t>Manteca de cerdo</t>
  </si>
  <si>
    <t>Azucar blanca</t>
  </si>
  <si>
    <t>Resumen general de todas las rutinas</t>
  </si>
  <si>
    <t>Rutina</t>
  </si>
  <si>
    <t>Fecha</t>
  </si>
  <si>
    <t>Puntos progresión</t>
  </si>
  <si>
    <t>Incremento puntos sobrecarga respecto a progresión previa (%)</t>
  </si>
  <si>
    <t>Peso corporal (kg)</t>
  </si>
  <si>
    <t>Incremento de peso corporal respecto a progresión previa (%)</t>
  </si>
  <si>
    <t>Incremento de peso corporal respecto a rutina previa (%)</t>
  </si>
  <si>
    <t>PECHO</t>
  </si>
  <si>
    <t>TRICEPS</t>
  </si>
  <si>
    <t>ESPALDA</t>
  </si>
  <si>
    <t>BICEPS</t>
  </si>
  <si>
    <t>HOMBRO</t>
  </si>
  <si>
    <t>PIERNA</t>
  </si>
  <si>
    <t>ABDOMEN</t>
  </si>
  <si>
    <t>NOMBRE</t>
  </si>
  <si>
    <t>SETS</t>
  </si>
  <si>
    <t>REPS</t>
  </si>
  <si>
    <t>PESO</t>
  </si>
  <si>
    <t>LUNES</t>
  </si>
  <si>
    <t>Fondos máquina</t>
  </si>
  <si>
    <t>MARTES</t>
  </si>
  <si>
    <t>33.5</t>
  </si>
  <si>
    <t>MIERCOLES</t>
  </si>
  <si>
    <t>JUEVES</t>
  </si>
  <si>
    <t>VIERNES</t>
  </si>
  <si>
    <t>SABADO</t>
  </si>
  <si>
    <t>DOMINGO</t>
  </si>
  <si>
    <t>PROGRESIONES</t>
  </si>
  <si>
    <t>FECHA</t>
  </si>
  <si>
    <t>PUNTOS</t>
  </si>
  <si>
    <t>TOTAL PUNTOS 
DE PROGRESIÓN</t>
  </si>
  <si>
    <t>INCREMENTO 
(%)</t>
  </si>
  <si>
    <t>PESO CORPORAL
(kg)</t>
  </si>
  <si>
    <t>Licensiamiento y uso legal de la plantilla</t>
  </si>
  <si>
    <t>Todo el software utilizado en la plantilla Sudor y sangre es publicado bajo la licencia del MIT.
Copyright © 2022 Daniel Ricardo Ramírez Molina
Por medio de la presente licencia se concede permiso, sin cargo, a cualquier persona que obtenga una copia de este software y archivos de documentación asociados (el "Software"), para operar con el Software sin restricciones,
incluidos, entre otros, los derechos de uso, copia, modificación, fusión, publicación, distribución, sublicencia,
y/o vender copias del Software, y permitir que las personas a las que se les proporcione el Software lo hagan,
sujeto a las siguientes condiciones:
El aviso de derechos de autor (Copyright) anterior y este aviso de permiso se incluirán en todas las copias o partes sustanciales del Software.
EL SOFTWARE SE PROPORCIONA "TAL CUAL", SIN GARANTÍA DE NINGÚN TIPO, EXPRESA O IMPLÍCITA, INCLUYENDO PERO NO
LIMITADO A LAS GARANTÍAS DE COMERCIABILIDAD, IDONEIDAD PARA UN FIN DETERMINADO Y NO VIOLACIÓN.
EN NINGÚN CASO LOS AUTORES O LOS TITULARES DE LOS DERECHOS DE AUTOR SERÁN RESPONSABLES DE CUALQUIER RECLAMACIÓN, DAÑOS U OTRA RESPONSABILIDAD,
YA SEA EN UNA ACCIÓN DE CONTRATO, AGRAVIO O DE CUALQUIER OTRA FORMA, DERIVADA DE O EN CONEXIÓN CON LA SOFTWARE O EL USO U OTRAS OPERACIONES EN EL SOFTWARE.</t>
  </si>
  <si>
    <t>17.5</t>
  </si>
  <si>
    <r>
      <rPr>
        <b/>
        <sz val="11"/>
        <color theme="1"/>
        <rFont val="Calibri"/>
        <family val="2"/>
        <scheme val="minor"/>
      </rPr>
      <t>1.</t>
    </r>
    <r>
      <rPr>
        <sz val="11"/>
        <color theme="1"/>
        <rFont val="Calibri"/>
        <family val="2"/>
        <scheme val="minor"/>
      </rPr>
      <t xml:space="preserve"> Esta plantilla provee un apartado para rutinas de entrenamiento donde usted puede llevar el registro de los ejercicios que está haciendo actualmente. Además de poder registrar el nombre del ejercicio, se puede también registrar el número de series, número de repeticiones y peso levantado. Adicionalmente, la plantilla calcula puntos de progresión para que pueda saber si el cambio de carga efectuado en los ejercicios actuales (con el objetivo de llevar a cabo la progesión) fue efectivo con respecto a las previas progresiones. En cada hoja de rutina usted se dará cuenta que también hay un espacio para que registre su peso corporal. El peso corporal resulta muy relevante a la hora de saber si el entrenamiento ha sido efectivo o no. Adicionalmente, el peso corporal es uno de los datos que se utilizan para que el resumen general pueda generarse correctamente.
</t>
    </r>
    <r>
      <rPr>
        <b/>
        <sz val="11"/>
        <color theme="1"/>
        <rFont val="Calibri"/>
        <family val="2"/>
        <scheme val="minor"/>
      </rPr>
      <t>2.</t>
    </r>
    <r>
      <rPr>
        <sz val="11"/>
        <color theme="1"/>
        <rFont val="Calibri"/>
        <family val="2"/>
        <scheme val="minor"/>
      </rPr>
      <t xml:space="preserve"> La plantilla provee un apartado de dieta y nutrición que cuenta con una calculadora de metabolísmo basal por medio de la cual usted puede hallar la cantidad de calorías que necesita consumir para cumplir sus objetivos. En la hoja de dieta y nutrición también encontrará una base de datos con múltiples alimentos que se pueden clasificar por macros predominantes en cada alimento, el tipo de alimento, gramos de proteína, calorías, entre otros filtros. La base de datos de alimentos le permite descubrir alimentos para que usted pueda armar múltiples opciones de comidas (meals). En la hoja de dieta y nutrición, usted encontrará el aparatado de "comidas", donde puede seleccionar hasta 5 alimentos por comida e ingresar el peso de cada alimento a ingerir para posteriormente poder visualizar los gramos de proteína y las calorías por cada alimento, por cada comida y por cada día (Teniendo en cuenta que en el día hay hasta 5 comidas). 
</t>
    </r>
    <r>
      <rPr>
        <b/>
        <sz val="11"/>
        <color theme="1"/>
        <rFont val="Calibri"/>
        <family val="2"/>
        <scheme val="minor"/>
      </rPr>
      <t>3.</t>
    </r>
    <r>
      <rPr>
        <sz val="11"/>
        <color theme="1"/>
        <rFont val="Calibri"/>
        <family val="2"/>
        <scheme val="minor"/>
      </rPr>
      <t xml:space="preserve"> La plantilla provee un resumen general de todas las rutinas incluidas y/o rutinas posteriormente agregadas. El resumen general muestra los puntos de progresión y el peso corporal por fecha, junto con sus respectivas tasas de variación de una fecha a otra y de una rutina a otra.
</t>
    </r>
    <r>
      <rPr>
        <b/>
        <sz val="11"/>
        <color theme="1"/>
        <rFont val="Calibri"/>
        <family val="2"/>
        <scheme val="minor"/>
      </rPr>
      <t>4.</t>
    </r>
    <r>
      <rPr>
        <sz val="11"/>
        <color theme="1"/>
        <rFont val="Calibri"/>
        <family val="2"/>
        <scheme val="minor"/>
      </rPr>
      <t xml:space="preserve"> En esta misma hoja hay una base de datos de ejercicios. Esta base de datos posee la gran mayoría de ejercicios que se pueden realizar en un gimnasio. </t>
    </r>
    <r>
      <rPr>
        <b/>
        <sz val="11"/>
        <color theme="1"/>
        <rFont val="Calibri"/>
        <family val="2"/>
        <scheme val="minor"/>
      </rPr>
      <t>Lo ideal es que el nombre de los ejercicios que va a colocar en cada una de las rutinas sea el mismo nombre que aparece en la base de datos</t>
    </r>
    <r>
      <rPr>
        <sz val="11"/>
        <color theme="1"/>
        <rFont val="Calibri"/>
        <family val="2"/>
        <scheme val="minor"/>
      </rPr>
      <t xml:space="preserve">, pues de esta forma al actualizar el resumen de ejercicios se pueden calcular para cada uno de estos: la máxima cantidad de puntos de progresión logradas en cada ejercicio, el máximo peso levantado en cada ejercicio, la cantidad de veces que cada ejercicio fue agregado en rutinas, etc..
</t>
    </r>
    <r>
      <rPr>
        <b/>
        <sz val="11"/>
        <color theme="1"/>
        <rFont val="Calibri"/>
        <family val="2"/>
        <scheme val="minor"/>
      </rPr>
      <t>5.</t>
    </r>
    <r>
      <rPr>
        <sz val="11"/>
        <color theme="1"/>
        <rFont val="Calibri"/>
        <family val="2"/>
        <scheme val="minor"/>
      </rPr>
      <t xml:space="preserve"> </t>
    </r>
    <r>
      <rPr>
        <b/>
        <sz val="11"/>
        <color theme="1"/>
        <rFont val="Calibri"/>
        <family val="2"/>
        <scheme val="minor"/>
      </rPr>
      <t>Cada celda de la plantilla que sea de color azul puede o debe llenarse</t>
    </r>
    <r>
      <rPr>
        <sz val="11"/>
        <color theme="1"/>
        <rFont val="Calibri"/>
        <family val="2"/>
        <scheme val="minor"/>
      </rPr>
      <t xml:space="preserve">. Las celdas de otros colores como gris o blanco NO deben llenarse, pues muchas de ellas se llenan de forma automática al oprimir algunos de los botones de la plantilla o al llenar otras celdas.
</t>
    </r>
    <r>
      <rPr>
        <b/>
        <sz val="11"/>
        <color theme="1"/>
        <rFont val="Calibri"/>
        <family val="2"/>
        <scheme val="minor"/>
      </rPr>
      <t>6.</t>
    </r>
    <r>
      <rPr>
        <sz val="11"/>
        <color theme="1"/>
        <rFont val="Calibri"/>
        <family val="2"/>
        <scheme val="minor"/>
      </rPr>
      <t xml:space="preserve"> Esta plantilla viene con todas las hojas correspondientes a las rutinas del 2022 y del 2023 y con las fechas correctas para hacer progresión y las fechas de inicio y finalización, pero si usted desea agregar hojas de rutina para los trimestres que siguen puede hacerlo copiando alguna de las ya existentes y cambiando las fechas con formato día/mes/año
</t>
    </r>
    <r>
      <rPr>
        <b/>
        <sz val="11"/>
        <color theme="1"/>
        <rFont val="Calibri"/>
        <family val="2"/>
        <scheme val="minor"/>
      </rPr>
      <t>7.</t>
    </r>
    <r>
      <rPr>
        <sz val="11"/>
        <color theme="1"/>
        <rFont val="Calibri"/>
        <family val="2"/>
        <scheme val="minor"/>
      </rPr>
      <t xml:space="preserve"> Recuerde que las nuevas hojas de rutina deben seguir también la nomenclatura &lt;año&gt;-&lt;numero del trimestre&gt;
</t>
    </r>
    <r>
      <rPr>
        <b/>
        <sz val="11"/>
        <color theme="1"/>
        <rFont val="Calibri"/>
        <family val="2"/>
        <scheme val="minor"/>
      </rPr>
      <t>8.</t>
    </r>
    <r>
      <rPr>
        <sz val="11"/>
        <color theme="1"/>
        <rFont val="Calibri"/>
        <family val="2"/>
        <scheme val="minor"/>
      </rPr>
      <t xml:space="preserve"> La duración de cada rutina se mide por meses, donde para cada año la rutina de 1 va a ser para enero, febrero y marzo, la rutina de 2 va a ser para abril, mayo y junio, la rutina de 3 va a ser para julio, agosto y septiembre, y la rutina de 4 va a ser para octubre, noviembre y diciembre
</t>
    </r>
    <r>
      <rPr>
        <b/>
        <sz val="11"/>
        <color theme="1"/>
        <rFont val="Calibri"/>
        <family val="2"/>
        <scheme val="minor"/>
      </rPr>
      <t>9.</t>
    </r>
    <r>
      <rPr>
        <sz val="11"/>
        <color theme="1"/>
        <rFont val="Calibri"/>
        <family val="2"/>
        <scheme val="minor"/>
      </rPr>
      <t xml:space="preserve"> Algunas funcionalidades de la plantilla como la de "Actualizar resumen de ejercicios" pueden demorarse un poco en ejecutar, por favor tenga paciencia y espere a que se procesen los cambios antes de seguir utilizando la plantilla.
</t>
    </r>
    <r>
      <rPr>
        <b/>
        <sz val="11"/>
        <color theme="1"/>
        <rFont val="Calibri"/>
        <family val="2"/>
        <scheme val="minor"/>
      </rPr>
      <t>10.</t>
    </r>
    <r>
      <rPr>
        <sz val="11"/>
        <color theme="1"/>
        <rFont val="Calibri"/>
        <family val="2"/>
        <scheme val="minor"/>
      </rPr>
      <t xml:space="preserve"> Los puntos de progresión expuestos en esta hoja y en la hojas de la rutina se calculan como el producto entre las series, las repeticiones y el peso levantado en cada ejercicio. Estos puntos de progresión permiten medir que tanto se progresó con respecto a la progresión anterior, si los puntos de progresión actuales son inferiores o iguales a los de las progresiones anteriores es por que tiene que modificar las series, repeticiones y peso del ejercicio específico hasta que usted logre tener más puntos de progresión que la última vez.</t>
    </r>
  </si>
  <si>
    <t>Daniel Ricardo Ramírez es ingeniero de 
sistemas egresado de la Pontificia Universidad 
Javeriana de Bogotá. Su pasión por la 
programación y su ambición por maximizar sus 
ganancias musculares lo llevaron a construir 
esta plantilla. Daniel lleva entrenando desde 
el 2015 y cree que nadie debería cometer los 
mismos errores que el cometió cuando empezó 
a entrenar. Los tres pilares del entrenamiento 
son la alimentación, el descanso y la sobrecarga 
progresiva, y está plantilla los tiene en cuenta a 
todos, por favor aprovéchala!</t>
  </si>
  <si>
    <r>
      <t xml:space="preserve">Ejercicios </t>
    </r>
    <r>
      <rPr>
        <sz val="12"/>
        <color theme="1"/>
        <rFont val="Calibri"/>
        <family val="2"/>
        <scheme val="minor"/>
      </rPr>
      <t>(Contraseña para modificar ejercicios: hipertrofia123)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</si>
</sst>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i/>
      <sz val="11"/>
      <color theme="1"/>
      <name val="Calibri"/>
      <family val="2"/>
      <scheme val="minor"/>
    </font>
    <font>
      <sz val="11"/>
      <color rgb="FF9C0006"/>
      <name val="Calibri"/>
      <family val="2"/>
      <scheme val="minor"/>
    </font>
    <font>
      <sz val="18"/>
      <color theme="1"/>
      <name val="Bahnschrift SemiBold Condensed"/>
      <family val="2"/>
    </font>
    <font>
      <sz val="11"/>
      <name val="Calibri"/>
      <family val="2"/>
      <scheme val="minor"/>
    </font>
    <font>
      <sz val="11"/>
      <color theme="1"/>
      <name val="Calibri"/>
      <family val="2"/>
      <scheme val="minor"/>
    </font>
    <font>
      <u/>
      <sz val="11"/>
      <color theme="1"/>
      <name val="Calibri"/>
      <family val="2"/>
      <scheme val="minor"/>
    </font>
    <font>
      <sz val="8"/>
      <name val="Calibri"/>
      <family val="2"/>
      <scheme val="minor"/>
    </font>
    <font>
      <u/>
      <sz val="11"/>
      <color theme="10"/>
      <name val="Calibri"/>
      <family val="2"/>
      <scheme val="minor"/>
    </font>
    <font>
      <sz val="24"/>
      <color rgb="FF00B0F0"/>
      <name val="Bahnschrift SemiBold Condensed"/>
      <family val="2"/>
    </font>
    <font>
      <sz val="24"/>
      <color theme="1"/>
      <name val="Bahnschrift SemiBold Condensed"/>
      <family val="2"/>
    </font>
    <font>
      <sz val="24"/>
      <color rgb="FFC00000"/>
      <name val="Bahnschrift SemiBold Condensed"/>
      <family val="2"/>
    </font>
    <font>
      <b/>
      <sz val="12"/>
      <color theme="1"/>
      <name val="Calibri"/>
      <family val="2"/>
      <scheme val="minor"/>
    </font>
    <font>
      <sz val="12"/>
      <color theme="1"/>
      <name val="Calibri"/>
      <family val="2"/>
      <scheme val="minor"/>
    </font>
    <font>
      <sz val="9"/>
      <color indexed="81"/>
      <name val="Tahoma"/>
      <family val="2"/>
    </font>
    <font>
      <b/>
      <sz val="9"/>
      <color indexed="81"/>
      <name val="Tahoma"/>
      <family val="2"/>
    </font>
  </fonts>
  <fills count="13">
    <fill>
      <patternFill patternType="none"/>
    </fill>
    <fill>
      <patternFill patternType="gray125"/>
    </fill>
    <fill>
      <patternFill patternType="solid">
        <fgColor theme="0" tint="-4.9989318521683403E-2"/>
        <bgColor indexed="64"/>
      </patternFill>
    </fill>
    <fill>
      <patternFill patternType="solid">
        <fgColor rgb="FFFFC7CE"/>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gray0625"/>
    </fill>
    <fill>
      <patternFill patternType="solid">
        <fgColor rgb="FFBAFF21"/>
        <bgColor indexed="64"/>
      </patternFill>
    </fill>
    <fill>
      <patternFill patternType="solid">
        <fgColor rgb="FFFAFF33"/>
        <bgColor indexed="64"/>
      </patternFill>
    </fill>
    <fill>
      <patternFill patternType="solid">
        <fgColor rgb="FFFECE02"/>
        <bgColor indexed="64"/>
      </patternFill>
    </fill>
    <fill>
      <patternFill patternType="solid">
        <fgColor rgb="FFFF8001"/>
        <bgColor indexed="64"/>
      </patternFill>
    </fill>
    <fill>
      <patternFill patternType="solid">
        <fgColor rgb="FFFF370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right/>
      <top style="thin">
        <color indexed="64"/>
      </top>
      <bottom/>
      <diagonal/>
    </border>
  </borders>
  <cellStyleXfs count="4">
    <xf numFmtId="0" fontId="0" fillId="0" borderId="0"/>
    <xf numFmtId="0" fontId="3" fillId="3" borderId="0" applyNumberFormat="0" applyBorder="0" applyAlignment="0" applyProtection="0"/>
    <xf numFmtId="9" fontId="6" fillId="0" borderId="0" applyFont="0" applyFill="0" applyBorder="0" applyAlignment="0" applyProtection="0"/>
    <xf numFmtId="0" fontId="9" fillId="0" borderId="0" applyNumberFormat="0" applyFill="0" applyBorder="0" applyAlignment="0" applyProtection="0"/>
  </cellStyleXfs>
  <cellXfs count="178">
    <xf numFmtId="0" fontId="0" fillId="0" borderId="0" xfId="0"/>
    <xf numFmtId="0" fontId="0" fillId="2" borderId="1" xfId="0" applyFill="1" applyBorder="1" applyAlignment="1">
      <alignment horizontal="left"/>
    </xf>
    <xf numFmtId="0" fontId="0" fillId="2" borderId="17" xfId="0" applyFill="1" applyBorder="1" applyAlignment="1">
      <alignment horizontal="left"/>
    </xf>
    <xf numFmtId="14" fontId="0" fillId="0" borderId="1" xfId="0" applyNumberFormat="1" applyBorder="1" applyAlignment="1">
      <alignment horizontal="center"/>
    </xf>
    <xf numFmtId="0" fontId="5" fillId="6" borderId="1" xfId="1" applyFont="1" applyFill="1" applyBorder="1"/>
    <xf numFmtId="0" fontId="5" fillId="6" borderId="1" xfId="1" applyFont="1" applyFill="1" applyBorder="1" applyAlignment="1">
      <alignment horizontal="center"/>
    </xf>
    <xf numFmtId="0" fontId="5" fillId="6" borderId="1" xfId="0" applyFont="1" applyFill="1" applyBorder="1"/>
    <xf numFmtId="0" fontId="5" fillId="6" borderId="1" xfId="0" applyFont="1" applyFill="1" applyBorder="1" applyAlignment="1">
      <alignment horizontal="center"/>
    </xf>
    <xf numFmtId="0" fontId="5" fillId="6" borderId="1" xfId="1" applyNumberFormat="1" applyFont="1" applyFill="1" applyBorder="1" applyAlignment="1">
      <alignment horizontal="center"/>
    </xf>
    <xf numFmtId="0" fontId="5" fillId="6" borderId="20" xfId="1" applyFont="1" applyFill="1" applyBorder="1"/>
    <xf numFmtId="0" fontId="5" fillId="6" borderId="20" xfId="1" applyNumberFormat="1" applyFont="1" applyFill="1" applyBorder="1" applyAlignment="1">
      <alignment horizontal="center"/>
    </xf>
    <xf numFmtId="0" fontId="5" fillId="6" borderId="20" xfId="1" applyFont="1" applyFill="1" applyBorder="1" applyAlignment="1">
      <alignment horizontal="center"/>
    </xf>
    <xf numFmtId="0" fontId="0" fillId="2" borderId="17" xfId="0" applyFill="1" applyBorder="1"/>
    <xf numFmtId="0" fontId="0" fillId="2" borderId="1" xfId="0" applyFill="1" applyBorder="1"/>
    <xf numFmtId="0" fontId="0" fillId="0" borderId="3" xfId="0" applyBorder="1" applyAlignment="1">
      <alignment vertical="top" wrapText="1"/>
    </xf>
    <xf numFmtId="0" fontId="0" fillId="0" borderId="4" xfId="0" applyBorder="1" applyAlignment="1">
      <alignment vertical="top" wrapText="1"/>
    </xf>
    <xf numFmtId="0" fontId="0" fillId="0" borderId="12" xfId="0" applyBorder="1" applyAlignment="1">
      <alignment vertical="top" wrapText="1"/>
    </xf>
    <xf numFmtId="0" fontId="0" fillId="0" borderId="0" xfId="0" applyAlignment="1">
      <alignment vertical="top" wrapText="1"/>
    </xf>
    <xf numFmtId="0" fontId="0" fillId="0" borderId="6" xfId="0" applyBorder="1" applyAlignment="1">
      <alignment horizontal="center" vertical="top" wrapText="1"/>
    </xf>
    <xf numFmtId="0" fontId="0" fillId="0" borderId="18" xfId="0" applyBorder="1" applyAlignment="1">
      <alignment horizontal="center" vertical="top" wrapText="1"/>
    </xf>
    <xf numFmtId="0" fontId="0" fillId="0" borderId="14" xfId="0" applyBorder="1" applyAlignment="1">
      <alignment vertical="top" wrapText="1"/>
    </xf>
    <xf numFmtId="0" fontId="0" fillId="0" borderId="15" xfId="0" applyBorder="1" applyAlignment="1">
      <alignment vertical="top" wrapText="1"/>
    </xf>
    <xf numFmtId="0" fontId="0" fillId="0" borderId="8" xfId="0" applyBorder="1" applyAlignment="1">
      <alignment horizontal="center" vertical="top" wrapText="1"/>
    </xf>
    <xf numFmtId="0" fontId="0" fillId="0" borderId="0" xfId="0" applyAlignment="1">
      <alignment horizontal="center"/>
    </xf>
    <xf numFmtId="0" fontId="0" fillId="0" borderId="0" xfId="0" applyAlignment="1">
      <alignment horizontal="center" vertical="center"/>
    </xf>
    <xf numFmtId="0" fontId="0" fillId="0" borderId="1" xfId="0" applyBorder="1" applyAlignment="1">
      <alignment horizontal="center"/>
    </xf>
    <xf numFmtId="0" fontId="9" fillId="0" borderId="0" xfId="3" applyBorder="1" applyAlignment="1">
      <alignment horizontal="center"/>
    </xf>
    <xf numFmtId="0" fontId="0" fillId="0" borderId="1" xfId="0" applyBorder="1"/>
    <xf numFmtId="0" fontId="0" fillId="0" borderId="1" xfId="0" applyBorder="1" applyAlignment="1">
      <alignment wrapText="1"/>
    </xf>
    <xf numFmtId="0" fontId="0" fillId="8" borderId="1" xfId="0" applyFill="1" applyBorder="1" applyAlignment="1">
      <alignment horizontal="center"/>
    </xf>
    <xf numFmtId="0" fontId="0" fillId="9" borderId="1" xfId="0" applyFill="1" applyBorder="1" applyAlignment="1">
      <alignment horizontal="center"/>
    </xf>
    <xf numFmtId="0" fontId="0" fillId="10" borderId="1" xfId="0" applyFill="1" applyBorder="1" applyAlignment="1">
      <alignment horizontal="center"/>
    </xf>
    <xf numFmtId="0" fontId="0" fillId="11" borderId="1" xfId="0" applyFill="1" applyBorder="1" applyAlignment="1">
      <alignment horizontal="center"/>
    </xf>
    <xf numFmtId="0" fontId="0" fillId="12" borderId="1" xfId="0" applyFill="1" applyBorder="1" applyAlignment="1">
      <alignment horizontal="center"/>
    </xf>
    <xf numFmtId="0" fontId="1" fillId="0" borderId="21" xfId="0" applyFont="1" applyBorder="1"/>
    <xf numFmtId="0" fontId="0" fillId="6" borderId="1" xfId="0" applyFill="1" applyBorder="1" applyAlignment="1">
      <alignment horizontal="center" vertical="center"/>
    </xf>
    <xf numFmtId="0" fontId="0" fillId="6" borderId="20" xfId="0" applyFill="1" applyBorder="1" applyAlignment="1">
      <alignment horizontal="center" vertical="center"/>
    </xf>
    <xf numFmtId="0" fontId="0" fillId="6" borderId="20" xfId="0" applyFill="1" applyBorder="1" applyAlignment="1">
      <alignment horizontal="center"/>
    </xf>
    <xf numFmtId="1" fontId="1" fillId="0" borderId="22" xfId="0" applyNumberFormat="1" applyFont="1" applyBorder="1" applyAlignment="1">
      <alignment horizontal="right"/>
    </xf>
    <xf numFmtId="3" fontId="0" fillId="0" borderId="0" xfId="0" applyNumberFormat="1" applyAlignment="1">
      <alignment horizontal="center"/>
    </xf>
    <xf numFmtId="0" fontId="0" fillId="6" borderId="1" xfId="0" applyFill="1" applyBorder="1" applyAlignment="1">
      <alignment horizontal="center"/>
    </xf>
    <xf numFmtId="0" fontId="0" fillId="4" borderId="1" xfId="0" applyFill="1" applyBorder="1" applyAlignment="1">
      <alignment horizontal="center"/>
    </xf>
    <xf numFmtId="0" fontId="1" fillId="0" borderId="1" xfId="0" applyFont="1" applyBorder="1" applyAlignment="1">
      <alignment horizontal="center"/>
    </xf>
    <xf numFmtId="0" fontId="0" fillId="0" borderId="0" xfId="0" applyAlignment="1">
      <alignment vertical="center"/>
    </xf>
    <xf numFmtId="0" fontId="1" fillId="0" borderId="0" xfId="0" applyFont="1"/>
    <xf numFmtId="9" fontId="0" fillId="7" borderId="1" xfId="2" applyFont="1" applyFill="1" applyBorder="1"/>
    <xf numFmtId="9" fontId="0" fillId="0" borderId="1" xfId="2" applyFont="1" applyBorder="1"/>
    <xf numFmtId="0" fontId="0" fillId="0" borderId="1" xfId="0" applyBorder="1" applyAlignment="1">
      <alignment horizontal="center" vertical="top" wrapText="1"/>
    </xf>
    <xf numFmtId="0" fontId="0" fillId="0" borderId="7" xfId="0" applyBorder="1" applyAlignment="1">
      <alignment horizontal="center"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12" xfId="0" applyBorder="1" applyAlignment="1">
      <alignment horizontal="left" vertical="top" wrapText="1"/>
    </xf>
    <xf numFmtId="0" fontId="0" fillId="0" borderId="0" xfId="0"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13" fillId="0" borderId="28" xfId="0" applyFont="1" applyBorder="1" applyAlignment="1">
      <alignment horizontal="center"/>
    </xf>
    <xf numFmtId="0" fontId="13" fillId="0" borderId="29" xfId="0" applyFont="1" applyBorder="1" applyAlignment="1">
      <alignment horizontal="center"/>
    </xf>
    <xf numFmtId="0" fontId="13" fillId="0" borderId="30" xfId="0" applyFont="1"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3" xfId="0" applyFont="1" applyBorder="1" applyAlignment="1">
      <alignment horizontal="center" vertical="center" wrapText="1"/>
    </xf>
    <xf numFmtId="0" fontId="13" fillId="0" borderId="4"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12" xfId="0" applyFont="1" applyBorder="1" applyAlignment="1">
      <alignment horizontal="center" vertical="center" wrapText="1"/>
    </xf>
    <xf numFmtId="0" fontId="13" fillId="0" borderId="0" xfId="0" applyFont="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3" fillId="0" borderId="13" xfId="0" applyFont="1" applyBorder="1" applyAlignment="1">
      <alignment horizontal="left" vertical="top" wrapText="1"/>
    </xf>
    <xf numFmtId="0" fontId="13" fillId="0" borderId="12" xfId="0" applyFont="1" applyBorder="1" applyAlignment="1">
      <alignment horizontal="left" vertical="top" wrapText="1"/>
    </xf>
    <xf numFmtId="0" fontId="13" fillId="0" borderId="14" xfId="0" applyFont="1" applyBorder="1" applyAlignment="1">
      <alignment horizontal="left" vertical="top" wrapText="1"/>
    </xf>
    <xf numFmtId="0" fontId="13" fillId="0" borderId="15" xfId="0" applyFont="1" applyBorder="1" applyAlignment="1">
      <alignment horizontal="left" vertical="top" wrapText="1"/>
    </xf>
    <xf numFmtId="0" fontId="13" fillId="0" borderId="16" xfId="0" applyFont="1" applyBorder="1" applyAlignment="1">
      <alignment horizontal="left" vertical="top" wrapText="1"/>
    </xf>
    <xf numFmtId="0" fontId="11"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13" fillId="0" borderId="28" xfId="0" applyFont="1" applyBorder="1" applyAlignment="1">
      <alignment horizontal="center" vertical="top" wrapText="1"/>
    </xf>
    <xf numFmtId="0" fontId="13" fillId="0" borderId="29" xfId="0" applyFont="1" applyBorder="1" applyAlignment="1">
      <alignment horizontal="center" vertical="top" wrapText="1"/>
    </xf>
    <xf numFmtId="0" fontId="13" fillId="0" borderId="30" xfId="0" applyFont="1" applyBorder="1" applyAlignment="1">
      <alignment horizontal="center" vertical="top" wrapText="1"/>
    </xf>
    <xf numFmtId="0" fontId="0" fillId="0" borderId="28" xfId="0" applyBorder="1" applyAlignment="1">
      <alignment horizontal="center" vertical="top" wrapText="1"/>
    </xf>
    <xf numFmtId="0" fontId="0" fillId="0" borderId="29" xfId="0" applyBorder="1" applyAlignment="1">
      <alignment horizontal="center" vertical="top" wrapText="1"/>
    </xf>
    <xf numFmtId="0" fontId="0" fillId="0" borderId="30" xfId="0" applyBorder="1" applyAlignment="1">
      <alignment horizontal="center" vertical="top" wrapText="1"/>
    </xf>
    <xf numFmtId="0" fontId="0" fillId="0" borderId="9" xfId="0" applyBorder="1" applyAlignment="1">
      <alignment horizontal="center" vertical="top" wrapText="1"/>
    </xf>
    <xf numFmtId="0" fontId="0" fillId="0" borderId="10" xfId="0" applyBorder="1" applyAlignment="1">
      <alignment horizontal="center" vertical="top" wrapText="1"/>
    </xf>
    <xf numFmtId="0" fontId="0" fillId="0" borderId="17" xfId="0" applyBorder="1" applyAlignment="1">
      <alignment horizontal="center" vertical="top" wrapText="1"/>
    </xf>
    <xf numFmtId="0" fontId="0" fillId="0" borderId="19" xfId="0" applyBorder="1" applyAlignment="1">
      <alignment horizontal="center" vertical="top"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0" fontId="13" fillId="0" borderId="3" xfId="0" applyFont="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1" fillId="0" borderId="1" xfId="0" applyFont="1" applyBorder="1" applyAlignment="1">
      <alignment horizontal="center"/>
    </xf>
    <xf numFmtId="0" fontId="13" fillId="0" borderId="1" xfId="0" applyFont="1" applyBorder="1" applyAlignment="1">
      <alignment horizontal="center"/>
    </xf>
    <xf numFmtId="0" fontId="0" fillId="0" borderId="1" xfId="0" applyBorder="1" applyAlignment="1">
      <alignment horizontal="center"/>
    </xf>
    <xf numFmtId="0" fontId="0" fillId="0" borderId="20" xfId="0" applyBorder="1" applyAlignment="1">
      <alignment horizontal="center" vertical="center"/>
    </xf>
    <xf numFmtId="0" fontId="0" fillId="0" borderId="24" xfId="0" applyBorder="1" applyAlignment="1">
      <alignment horizontal="center" vertical="center"/>
    </xf>
    <xf numFmtId="0" fontId="0" fillId="0" borderId="17" xfId="0" applyBorder="1" applyAlignment="1">
      <alignment horizontal="center" vertical="center"/>
    </xf>
    <xf numFmtId="0" fontId="0" fillId="0" borderId="22" xfId="0" applyBorder="1" applyAlignment="1">
      <alignment horizontal="right"/>
    </xf>
    <xf numFmtId="0" fontId="0" fillId="0" borderId="11" xfId="0" applyBorder="1" applyAlignment="1">
      <alignment horizontal="right"/>
    </xf>
    <xf numFmtId="0" fontId="0" fillId="0" borderId="21" xfId="0" applyBorder="1" applyAlignment="1">
      <alignment horizontal="right"/>
    </xf>
    <xf numFmtId="0" fontId="0" fillId="0" borderId="1" xfId="0" applyBorder="1" applyAlignment="1">
      <alignment horizontal="center" vertical="center"/>
    </xf>
    <xf numFmtId="0" fontId="0" fillId="6" borderId="1" xfId="0" applyFill="1" applyBorder="1" applyAlignment="1">
      <alignment horizontal="center" vertical="center"/>
    </xf>
    <xf numFmtId="9" fontId="0" fillId="0" borderId="20" xfId="2" applyFont="1" applyBorder="1" applyAlignment="1">
      <alignment horizontal="center" vertical="center"/>
    </xf>
    <xf numFmtId="9" fontId="0" fillId="0" borderId="24" xfId="2" applyFont="1" applyBorder="1" applyAlignment="1">
      <alignment horizontal="center" vertical="center"/>
    </xf>
    <xf numFmtId="9" fontId="0" fillId="0" borderId="17" xfId="2" applyFont="1" applyBorder="1" applyAlignment="1">
      <alignment horizontal="center" vertical="center"/>
    </xf>
    <xf numFmtId="9" fontId="0" fillId="7" borderId="20" xfId="2" applyFont="1" applyFill="1" applyBorder="1" applyAlignment="1">
      <alignment horizontal="center"/>
    </xf>
    <xf numFmtId="9" fontId="0" fillId="7" borderId="24" xfId="2" applyFont="1" applyFill="1" applyBorder="1" applyAlignment="1">
      <alignment horizontal="center"/>
    </xf>
    <xf numFmtId="9" fontId="0" fillId="7" borderId="17" xfId="2" applyFont="1" applyFill="1" applyBorder="1" applyAlignment="1">
      <alignment horizont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0" fillId="6" borderId="20" xfId="0" applyFill="1" applyBorder="1" applyAlignment="1">
      <alignment horizontal="center" vertical="center"/>
    </xf>
    <xf numFmtId="0" fontId="0" fillId="6" borderId="24" xfId="0" applyFill="1" applyBorder="1" applyAlignment="1">
      <alignment horizontal="center" vertical="center"/>
    </xf>
    <xf numFmtId="0" fontId="0" fillId="6" borderId="17" xfId="0" applyFill="1" applyBorder="1" applyAlignment="1">
      <alignment horizontal="center" vertical="center"/>
    </xf>
    <xf numFmtId="0" fontId="0" fillId="2" borderId="22" xfId="0" applyFill="1" applyBorder="1" applyAlignment="1">
      <alignment horizontal="center"/>
    </xf>
    <xf numFmtId="0" fontId="0" fillId="2" borderId="21" xfId="0" applyFill="1" applyBorder="1" applyAlignment="1">
      <alignment horizontal="center"/>
    </xf>
    <xf numFmtId="0" fontId="0" fillId="2" borderId="1" xfId="0" applyFill="1" applyBorder="1" applyAlignment="1">
      <alignment horizontal="center"/>
    </xf>
    <xf numFmtId="0" fontId="2" fillId="0" borderId="20"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23" xfId="0" applyFont="1" applyBorder="1" applyAlignment="1">
      <alignment horizontal="center" vertical="center" wrapText="1"/>
    </xf>
    <xf numFmtId="0" fontId="0" fillId="5" borderId="17" xfId="0" applyFill="1" applyBorder="1" applyAlignment="1">
      <alignment horizontal="center" vertical="center"/>
    </xf>
    <xf numFmtId="0" fontId="0" fillId="5" borderId="1" xfId="0" applyFill="1" applyBorder="1" applyAlignment="1">
      <alignment horizontal="center" vertical="center"/>
    </xf>
    <xf numFmtId="14" fontId="0" fillId="0" borderId="0" xfId="0" applyNumberFormat="1" applyAlignment="1">
      <alignment horizontal="center" vertical="center"/>
    </xf>
    <xf numFmtId="14" fontId="0" fillId="0" borderId="2" xfId="0" applyNumberFormat="1" applyBorder="1" applyAlignment="1">
      <alignment horizontal="center" vertical="center"/>
    </xf>
    <xf numFmtId="0" fontId="0" fillId="2" borderId="17" xfId="0" applyFill="1" applyBorder="1" applyAlignment="1">
      <alignment horizontal="center" vertical="center"/>
    </xf>
    <xf numFmtId="0" fontId="0" fillId="2" borderId="1" xfId="0" applyFill="1" applyBorder="1" applyAlignment="1">
      <alignment horizontal="center" vertical="center"/>
    </xf>
    <xf numFmtId="0" fontId="0" fillId="2" borderId="25" xfId="0" applyFill="1" applyBorder="1" applyAlignment="1">
      <alignment horizontal="center" vertical="center"/>
    </xf>
    <xf numFmtId="0" fontId="0" fillId="2" borderId="33" xfId="0" applyFill="1" applyBorder="1" applyAlignment="1">
      <alignment horizontal="center" vertical="center"/>
    </xf>
    <xf numFmtId="0" fontId="0" fillId="2" borderId="26" xfId="0" applyFill="1" applyBorder="1" applyAlignment="1">
      <alignment horizontal="center" vertical="center"/>
    </xf>
    <xf numFmtId="0" fontId="0" fillId="2" borderId="31" xfId="0" applyFill="1" applyBorder="1" applyAlignment="1">
      <alignment horizontal="center" vertical="center"/>
    </xf>
    <xf numFmtId="0" fontId="0" fillId="2" borderId="0" xfId="0" applyFill="1" applyAlignment="1">
      <alignment horizontal="center" vertical="center"/>
    </xf>
    <xf numFmtId="0" fontId="0" fillId="2" borderId="32" xfId="0" applyFill="1" applyBorder="1" applyAlignment="1">
      <alignment horizontal="center" vertical="center"/>
    </xf>
    <xf numFmtId="0" fontId="0" fillId="2" borderId="27" xfId="0" applyFill="1" applyBorder="1" applyAlignment="1">
      <alignment horizontal="center" vertical="center"/>
    </xf>
    <xf numFmtId="0" fontId="0" fillId="2" borderId="2" xfId="0" applyFill="1" applyBorder="1" applyAlignment="1">
      <alignment horizontal="center" vertical="center"/>
    </xf>
    <xf numFmtId="0" fontId="0" fillId="2" borderId="23"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0" fontId="0" fillId="5" borderId="27" xfId="0" applyFill="1" applyBorder="1" applyAlignment="1">
      <alignment horizontal="center" vertical="center"/>
    </xf>
    <xf numFmtId="0" fontId="0" fillId="5" borderId="23" xfId="0" applyFill="1" applyBorder="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20" xfId="0" applyFont="1" applyBorder="1" applyAlignment="1">
      <alignment horizontal="center" vertical="center"/>
    </xf>
    <xf numFmtId="9" fontId="0" fillId="0" borderId="1" xfId="2" applyFont="1" applyBorder="1" applyAlignment="1">
      <alignment horizontal="center" vertical="center"/>
    </xf>
    <xf numFmtId="0" fontId="7" fillId="2" borderId="22" xfId="0" applyFont="1" applyFill="1" applyBorder="1" applyAlignment="1">
      <alignment horizontal="center"/>
    </xf>
    <xf numFmtId="0" fontId="7" fillId="2" borderId="21" xfId="0" applyFont="1" applyFill="1" applyBorder="1" applyAlignment="1">
      <alignment horizontal="center"/>
    </xf>
    <xf numFmtId="0" fontId="13" fillId="0" borderId="4" xfId="0" applyFont="1" applyBorder="1" applyAlignment="1">
      <alignment horizontal="center" vertical="center"/>
    </xf>
    <xf numFmtId="0" fontId="13" fillId="0" borderId="5" xfId="0" applyFont="1" applyBorder="1" applyAlignment="1">
      <alignment horizontal="center" vertical="center"/>
    </xf>
    <xf numFmtId="0" fontId="13" fillId="0" borderId="12" xfId="0" applyFont="1" applyBorder="1" applyAlignment="1">
      <alignment horizontal="center" vertical="center"/>
    </xf>
    <xf numFmtId="0" fontId="13" fillId="0" borderId="0" xfId="0" applyFont="1" applyBorder="1" applyAlignment="1">
      <alignment horizontal="center"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0" fillId="0" borderId="0" xfId="0" applyBorder="1" applyAlignment="1">
      <alignment vertical="top"/>
    </xf>
    <xf numFmtId="0" fontId="0" fillId="0" borderId="0" xfId="0" applyBorder="1" applyAlignment="1">
      <alignment horizontal="left" vertical="top" wrapText="1"/>
    </xf>
    <xf numFmtId="0" fontId="13" fillId="0" borderId="0" xfId="0" applyFont="1" applyBorder="1" applyAlignment="1">
      <alignment horizontal="left" vertical="top" wrapText="1"/>
    </xf>
    <xf numFmtId="0" fontId="14" fillId="0" borderId="3" xfId="0" applyFont="1" applyBorder="1" applyAlignment="1">
      <alignment horizontal="left" vertical="top" wrapText="1"/>
    </xf>
    <xf numFmtId="0" fontId="13" fillId="0" borderId="4" xfId="0" applyFont="1" applyBorder="1" applyAlignment="1">
      <alignment horizontal="left" vertical="top" wrapText="1"/>
    </xf>
    <xf numFmtId="0" fontId="13" fillId="0" borderId="5" xfId="0" applyFont="1" applyBorder="1" applyAlignment="1">
      <alignment horizontal="left" vertical="top" wrapText="1"/>
    </xf>
  </cellXfs>
  <cellStyles count="4">
    <cellStyle name="Hipervínculo" xfId="3" builtinId="8"/>
    <cellStyle name="Incorrecto" xfId="1" builtinId="27"/>
    <cellStyle name="Normal" xfId="0" builtinId="0"/>
    <cellStyle name="Porcentaje" xfId="2" builtinId="5"/>
  </cellStyles>
  <dxfs count="246">
    <dxf>
      <font>
        <b/>
        <i val="0"/>
      </font>
      <fill>
        <patternFill>
          <bgColor rgb="FFFFFF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b/>
        <i val="0"/>
      </font>
      <fill>
        <patternFill>
          <bgColor rgb="FFFFFF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b/>
        <i val="0"/>
      </font>
      <fill>
        <patternFill>
          <bgColor rgb="FFFFFF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b/>
        <i val="0"/>
      </font>
      <fill>
        <patternFill>
          <bgColor rgb="FFFFFF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b/>
        <i val="0"/>
      </font>
      <fill>
        <patternFill>
          <bgColor rgb="FFFFFF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b/>
        <i val="0"/>
      </font>
      <fill>
        <patternFill>
          <bgColor rgb="FFFFFF0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i val="0"/>
      </font>
      <fill>
        <patternFill>
          <bgColor rgb="FFFFFF00"/>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i val="0"/>
      </font>
      <fill>
        <patternFill>
          <bgColor rgb="FFFFFF00"/>
        </patternFill>
      </fill>
    </dxf>
    <dxf>
      <font>
        <color theme="1"/>
      </font>
      <fill>
        <patternFill>
          <bgColor theme="8" tint="0.79998168889431442"/>
        </patternFill>
      </fill>
    </dxf>
    <dxf>
      <font>
        <color rgb="FF006100"/>
      </font>
      <fill>
        <patternFill>
          <bgColor rgb="FFC6EFCE"/>
        </patternFill>
      </fill>
    </dxf>
    <dxf>
      <font>
        <color rgb="FF9C0006"/>
      </font>
      <fill>
        <patternFill>
          <bgColor rgb="FFFFC7CE"/>
        </patternFill>
      </fill>
    </dxf>
    <dxf>
      <fill>
        <patternFill>
          <bgColor theme="8" tint="0.79998168889431442"/>
        </patternFill>
      </fil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rgb="FF006100"/>
      </font>
      <fill>
        <patternFill>
          <bgColor rgb="FFC6EFCE"/>
        </patternFill>
      </fill>
    </dxf>
    <dxf>
      <font>
        <color rgb="FF9C0006"/>
      </font>
      <fill>
        <patternFill>
          <bgColor rgb="FFFFC7CE"/>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3701"/>
      <color rgb="FFFF8001"/>
      <color rgb="FFFECE02"/>
      <color rgb="FFFAFF33"/>
      <color rgb="FFBAFF21"/>
      <color rgb="FFFFCC00"/>
      <color rgb="FFFFFF00"/>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paypal.com/donate/?hosted_button_id=D2EP9KB7F8EHU" TargetMode="External"/><Relationship Id="rId3" Type="http://schemas.openxmlformats.org/officeDocument/2006/relationships/hyperlink" Target="mailto:dankramirez@outlook.com" TargetMode="External"/><Relationship Id="rId7" Type="http://schemas.openxmlformats.org/officeDocument/2006/relationships/image" Target="../media/image4.jpeg"/><Relationship Id="rId2" Type="http://schemas.openxmlformats.org/officeDocument/2006/relationships/image" Target="../media/image1.png"/><Relationship Id="rId1" Type="http://schemas.openxmlformats.org/officeDocument/2006/relationships/hyperlink" Target="http://www.stackoverflow.com/users/13907814/dacaramo" TargetMode="External"/><Relationship Id="rId6" Type="http://schemas.openxmlformats.org/officeDocument/2006/relationships/image" Target="../media/image3.png"/><Relationship Id="rId5" Type="http://schemas.openxmlformats.org/officeDocument/2006/relationships/hyperlink" Target="http://www.linkedin.com/in/daniel-ram&#237;rez-6465a1211/" TargetMode="External"/><Relationship Id="rId4" Type="http://schemas.openxmlformats.org/officeDocument/2006/relationships/image" Target="../media/image2.png"/><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33618</xdr:colOff>
      <xdr:row>21</xdr:row>
      <xdr:rowOff>17808</xdr:rowOff>
    </xdr:from>
    <xdr:to>
      <xdr:col>3</xdr:col>
      <xdr:colOff>941294</xdr:colOff>
      <xdr:row>22</xdr:row>
      <xdr:rowOff>173934</xdr:rowOff>
    </xdr:to>
    <xdr:sp macro="[0]!UbicarseEnRutinaActual.UbicarseEnRutinaActual" textlink="">
      <xdr:nvSpPr>
        <xdr:cNvPr id="2" name="Rectángulo: esquinas redondeadas 1">
          <a:extLst>
            <a:ext uri="{FF2B5EF4-FFF2-40B4-BE49-F238E27FC236}">
              <a16:creationId xmlns:a16="http://schemas.microsoft.com/office/drawing/2014/main" id="{918C7670-6C37-4963-B523-5C57B6AAECC6}"/>
            </a:ext>
          </a:extLst>
        </xdr:cNvPr>
        <xdr:cNvSpPr/>
      </xdr:nvSpPr>
      <xdr:spPr>
        <a:xfrm>
          <a:off x="280147" y="4264837"/>
          <a:ext cx="4751294" cy="346626"/>
        </a:xfrm>
        <a:prstGeom prst="roundRect">
          <a:avLst/>
        </a:prstGeom>
        <a:solidFill>
          <a:srgbClr val="C00000"/>
        </a:solidFill>
        <a:scene3d>
          <a:camera prst="perspectiveAbove"/>
          <a:lightRig rig="threePt" dir="t"/>
        </a:scene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600" b="1">
              <a:latin typeface="Bahnschrift SemiBold" panose="020B0502040204020203" pitchFamily="34" charset="0"/>
            </a:rPr>
            <a:t>Ir a la rutina</a:t>
          </a:r>
          <a:r>
            <a:rPr lang="es-ES" sz="1600" b="1" baseline="0">
              <a:latin typeface="Bahnschrift SemiBold" panose="020B0502040204020203" pitchFamily="34" charset="0"/>
            </a:rPr>
            <a:t> actual </a:t>
          </a:r>
          <a:r>
            <a:rPr lang="es-ES" sz="1600" b="0" i="0">
              <a:solidFill>
                <a:schemeClr val="lt1"/>
              </a:solidFill>
              <a:effectLst/>
              <a:latin typeface="+mn-lt"/>
              <a:ea typeface="+mn-ea"/>
              <a:cs typeface="+mn-cs"/>
            </a:rPr>
            <a:t>►</a:t>
          </a:r>
          <a:r>
            <a:rPr lang="es-ES" sz="1600" b="1" baseline="0">
              <a:latin typeface="Bahnschrift SemiBold" panose="020B0502040204020203" pitchFamily="34" charset="0"/>
            </a:rPr>
            <a:t> </a:t>
          </a:r>
          <a:endParaRPr lang="es-ES" sz="1600" b="1">
            <a:latin typeface="Bahnschrift SemiBold" panose="020B0502040204020203" pitchFamily="34" charset="0"/>
          </a:endParaRPr>
        </a:p>
      </xdr:txBody>
    </xdr:sp>
    <xdr:clientData/>
  </xdr:twoCellAnchor>
  <xdr:twoCellAnchor>
    <xdr:from>
      <xdr:col>5</xdr:col>
      <xdr:colOff>16565</xdr:colOff>
      <xdr:row>22</xdr:row>
      <xdr:rowOff>18168</xdr:rowOff>
    </xdr:from>
    <xdr:to>
      <xdr:col>6</xdr:col>
      <xdr:colOff>2501348</xdr:colOff>
      <xdr:row>22</xdr:row>
      <xdr:rowOff>182217</xdr:rowOff>
    </xdr:to>
    <xdr:sp macro="[0]!UbicarseEn2022_1.UbicarseEn2022_1" textlink="">
      <xdr:nvSpPr>
        <xdr:cNvPr id="6" name="Rectángulo: esquinas redondeadas 5">
          <a:extLst>
            <a:ext uri="{FF2B5EF4-FFF2-40B4-BE49-F238E27FC236}">
              <a16:creationId xmlns:a16="http://schemas.microsoft.com/office/drawing/2014/main" id="{C2151624-6AC5-4B1F-B779-EC533C8638A0}"/>
            </a:ext>
          </a:extLst>
        </xdr:cNvPr>
        <xdr:cNvSpPr/>
      </xdr:nvSpPr>
      <xdr:spPr>
        <a:xfrm>
          <a:off x="6195391" y="44410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1</xdr:col>
      <xdr:colOff>33618</xdr:colOff>
      <xdr:row>23</xdr:row>
      <xdr:rowOff>16565</xdr:rowOff>
    </xdr:from>
    <xdr:to>
      <xdr:col>3</xdr:col>
      <xdr:colOff>930088</xdr:colOff>
      <xdr:row>24</xdr:row>
      <xdr:rowOff>173935</xdr:rowOff>
    </xdr:to>
    <xdr:sp macro="[0]!UbicarseEnRutinaActual.UbicarseEnRutinaActual" textlink="">
      <xdr:nvSpPr>
        <xdr:cNvPr id="12" name="Rectángulo: esquinas redondeadas 11">
          <a:extLst>
            <a:ext uri="{FF2B5EF4-FFF2-40B4-BE49-F238E27FC236}">
              <a16:creationId xmlns:a16="http://schemas.microsoft.com/office/drawing/2014/main" id="{A6AA73C1-5762-41BB-8156-2FB5CE49EDE8}"/>
            </a:ext>
          </a:extLst>
        </xdr:cNvPr>
        <xdr:cNvSpPr/>
      </xdr:nvSpPr>
      <xdr:spPr>
        <a:xfrm>
          <a:off x="280147" y="4644594"/>
          <a:ext cx="4740088" cy="347870"/>
        </a:xfrm>
        <a:prstGeom prst="roundRect">
          <a:avLst/>
        </a:prstGeom>
        <a:solidFill>
          <a:srgbClr val="C00000"/>
        </a:solidFill>
        <a:scene3d>
          <a:camera prst="perspectiveAbove"/>
          <a:lightRig rig="threePt" dir="t"/>
        </a:scene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600" b="1">
              <a:latin typeface="Bahnschrift SemiBold" panose="020B0502040204020203" pitchFamily="34" charset="0"/>
            </a:rPr>
            <a:t>Ir al</a:t>
          </a:r>
          <a:r>
            <a:rPr lang="es-ES" sz="1600" b="1" baseline="0">
              <a:latin typeface="Bahnschrift SemiBold" panose="020B0502040204020203" pitchFamily="34" charset="0"/>
            </a:rPr>
            <a:t> resumen general </a:t>
          </a:r>
          <a:r>
            <a:rPr lang="es-ES" sz="1600" b="0" i="0">
              <a:solidFill>
                <a:schemeClr val="lt1"/>
              </a:solidFill>
              <a:effectLst/>
              <a:latin typeface="+mn-lt"/>
              <a:ea typeface="+mn-ea"/>
              <a:cs typeface="+mn-cs"/>
            </a:rPr>
            <a:t>►</a:t>
          </a:r>
          <a:endParaRPr lang="es-ES" sz="1600" b="1">
            <a:latin typeface="Bahnschrift SemiBold" panose="020B0502040204020203" pitchFamily="34" charset="0"/>
          </a:endParaRPr>
        </a:p>
      </xdr:txBody>
    </xdr:sp>
    <xdr:clientData/>
  </xdr:twoCellAnchor>
  <xdr:twoCellAnchor>
    <xdr:from>
      <xdr:col>5</xdr:col>
      <xdr:colOff>877956</xdr:colOff>
      <xdr:row>24</xdr:row>
      <xdr:rowOff>16509</xdr:rowOff>
    </xdr:from>
    <xdr:to>
      <xdr:col>6</xdr:col>
      <xdr:colOff>611257</xdr:colOff>
      <xdr:row>24</xdr:row>
      <xdr:rowOff>180560</xdr:rowOff>
    </xdr:to>
    <xdr:sp macro="" textlink="">
      <xdr:nvSpPr>
        <xdr:cNvPr id="16" name="Rectángulo: esquinas redondeadas 15">
          <a:extLst>
            <a:ext uri="{FF2B5EF4-FFF2-40B4-BE49-F238E27FC236}">
              <a16:creationId xmlns:a16="http://schemas.microsoft.com/office/drawing/2014/main" id="{06D464AB-B8E5-46F3-9EB5-29B6A7BFF9E5}"/>
            </a:ext>
          </a:extLst>
        </xdr:cNvPr>
        <xdr:cNvSpPr/>
      </xdr:nvSpPr>
      <xdr:spPr>
        <a:xfrm>
          <a:off x="6609521" y="4820422"/>
          <a:ext cx="1928193" cy="16405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877956</xdr:colOff>
      <xdr:row>25</xdr:row>
      <xdr:rowOff>19822</xdr:rowOff>
    </xdr:from>
    <xdr:to>
      <xdr:col>6</xdr:col>
      <xdr:colOff>614570</xdr:colOff>
      <xdr:row>25</xdr:row>
      <xdr:rowOff>182217</xdr:rowOff>
    </xdr:to>
    <xdr:sp macro="" textlink="">
      <xdr:nvSpPr>
        <xdr:cNvPr id="17" name="Rectángulo: esquinas redondeadas 16">
          <a:extLst>
            <a:ext uri="{FF2B5EF4-FFF2-40B4-BE49-F238E27FC236}">
              <a16:creationId xmlns:a16="http://schemas.microsoft.com/office/drawing/2014/main" id="{00866B24-9730-4C0C-B561-7699EECF4FAE}"/>
            </a:ext>
          </a:extLst>
        </xdr:cNvPr>
        <xdr:cNvSpPr/>
      </xdr:nvSpPr>
      <xdr:spPr>
        <a:xfrm>
          <a:off x="6609521" y="5014235"/>
          <a:ext cx="1931506" cy="162395"/>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877956</xdr:colOff>
      <xdr:row>26</xdr:row>
      <xdr:rowOff>14852</xdr:rowOff>
    </xdr:from>
    <xdr:to>
      <xdr:col>6</xdr:col>
      <xdr:colOff>609601</xdr:colOff>
      <xdr:row>26</xdr:row>
      <xdr:rowOff>178903</xdr:rowOff>
    </xdr:to>
    <xdr:sp macro="" textlink="">
      <xdr:nvSpPr>
        <xdr:cNvPr id="18" name="Rectángulo: esquinas redondeadas 17">
          <a:extLst>
            <a:ext uri="{FF2B5EF4-FFF2-40B4-BE49-F238E27FC236}">
              <a16:creationId xmlns:a16="http://schemas.microsoft.com/office/drawing/2014/main" id="{BDD2277C-AEFE-4187-A8FF-AE66E2884208}"/>
            </a:ext>
          </a:extLst>
        </xdr:cNvPr>
        <xdr:cNvSpPr/>
      </xdr:nvSpPr>
      <xdr:spPr>
        <a:xfrm>
          <a:off x="6609521" y="5199765"/>
          <a:ext cx="1926537" cy="16405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877956</xdr:colOff>
      <xdr:row>23</xdr:row>
      <xdr:rowOff>18165</xdr:rowOff>
    </xdr:from>
    <xdr:to>
      <xdr:col>6</xdr:col>
      <xdr:colOff>612914</xdr:colOff>
      <xdr:row>23</xdr:row>
      <xdr:rowOff>182216</xdr:rowOff>
    </xdr:to>
    <xdr:sp macro="" textlink="">
      <xdr:nvSpPr>
        <xdr:cNvPr id="19" name="Rectángulo: esquinas redondeadas 18">
          <a:extLst>
            <a:ext uri="{FF2B5EF4-FFF2-40B4-BE49-F238E27FC236}">
              <a16:creationId xmlns:a16="http://schemas.microsoft.com/office/drawing/2014/main" id="{E178E85F-21C6-4A62-8DA0-478A8611FD20}"/>
            </a:ext>
          </a:extLst>
        </xdr:cNvPr>
        <xdr:cNvSpPr/>
      </xdr:nvSpPr>
      <xdr:spPr>
        <a:xfrm>
          <a:off x="6609521" y="4631578"/>
          <a:ext cx="1929850" cy="16405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877956</xdr:colOff>
      <xdr:row>27</xdr:row>
      <xdr:rowOff>18165</xdr:rowOff>
    </xdr:from>
    <xdr:to>
      <xdr:col>6</xdr:col>
      <xdr:colOff>612914</xdr:colOff>
      <xdr:row>27</xdr:row>
      <xdr:rowOff>182216</xdr:rowOff>
    </xdr:to>
    <xdr:sp macro="" textlink="">
      <xdr:nvSpPr>
        <xdr:cNvPr id="20" name="Rectángulo: esquinas redondeadas 19">
          <a:extLst>
            <a:ext uri="{FF2B5EF4-FFF2-40B4-BE49-F238E27FC236}">
              <a16:creationId xmlns:a16="http://schemas.microsoft.com/office/drawing/2014/main" id="{932730F4-D6C4-4BB8-AAD2-28D62CEE9336}"/>
            </a:ext>
          </a:extLst>
        </xdr:cNvPr>
        <xdr:cNvSpPr/>
      </xdr:nvSpPr>
      <xdr:spPr>
        <a:xfrm>
          <a:off x="6609521" y="5393578"/>
          <a:ext cx="1929850" cy="16405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877956</xdr:colOff>
      <xdr:row>28</xdr:row>
      <xdr:rowOff>13195</xdr:rowOff>
    </xdr:from>
    <xdr:to>
      <xdr:col>6</xdr:col>
      <xdr:colOff>612912</xdr:colOff>
      <xdr:row>28</xdr:row>
      <xdr:rowOff>182217</xdr:rowOff>
    </xdr:to>
    <xdr:sp macro="" textlink="">
      <xdr:nvSpPr>
        <xdr:cNvPr id="21" name="Rectángulo: esquinas redondeadas 20">
          <a:extLst>
            <a:ext uri="{FF2B5EF4-FFF2-40B4-BE49-F238E27FC236}">
              <a16:creationId xmlns:a16="http://schemas.microsoft.com/office/drawing/2014/main" id="{1093FB8C-C6B6-4DD0-87B6-9E347F1F7667}"/>
            </a:ext>
          </a:extLst>
        </xdr:cNvPr>
        <xdr:cNvSpPr/>
      </xdr:nvSpPr>
      <xdr:spPr>
        <a:xfrm>
          <a:off x="6609521" y="5579108"/>
          <a:ext cx="1929848" cy="169022"/>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877956</xdr:colOff>
      <xdr:row>29</xdr:row>
      <xdr:rowOff>16508</xdr:rowOff>
    </xdr:from>
    <xdr:to>
      <xdr:col>6</xdr:col>
      <xdr:colOff>611257</xdr:colOff>
      <xdr:row>29</xdr:row>
      <xdr:rowOff>190500</xdr:rowOff>
    </xdr:to>
    <xdr:sp macro="" textlink="">
      <xdr:nvSpPr>
        <xdr:cNvPr id="22" name="Rectángulo: esquinas redondeadas 21">
          <a:extLst>
            <a:ext uri="{FF2B5EF4-FFF2-40B4-BE49-F238E27FC236}">
              <a16:creationId xmlns:a16="http://schemas.microsoft.com/office/drawing/2014/main" id="{7F4FF352-BC04-45DA-858B-EC2D06D9D0FC}"/>
            </a:ext>
          </a:extLst>
        </xdr:cNvPr>
        <xdr:cNvSpPr/>
      </xdr:nvSpPr>
      <xdr:spPr>
        <a:xfrm>
          <a:off x="6609521" y="5772921"/>
          <a:ext cx="1928193" cy="173992"/>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23</xdr:row>
      <xdr:rowOff>18168</xdr:rowOff>
    </xdr:from>
    <xdr:to>
      <xdr:col>6</xdr:col>
      <xdr:colOff>2501348</xdr:colOff>
      <xdr:row>23</xdr:row>
      <xdr:rowOff>182217</xdr:rowOff>
    </xdr:to>
    <xdr:sp macro="[0]!UbicarseEn2022_2.UbicarseEn2022_2" textlink="">
      <xdr:nvSpPr>
        <xdr:cNvPr id="13" name="Rectángulo: esquinas redondeadas 12">
          <a:extLst>
            <a:ext uri="{FF2B5EF4-FFF2-40B4-BE49-F238E27FC236}">
              <a16:creationId xmlns:a16="http://schemas.microsoft.com/office/drawing/2014/main" id="{3B59FF08-CED7-4C19-84D0-151304483ADD}"/>
            </a:ext>
          </a:extLst>
        </xdr:cNvPr>
        <xdr:cNvSpPr/>
      </xdr:nvSpPr>
      <xdr:spPr>
        <a:xfrm>
          <a:off x="6195391" y="46315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24</xdr:row>
      <xdr:rowOff>18168</xdr:rowOff>
    </xdr:from>
    <xdr:to>
      <xdr:col>6</xdr:col>
      <xdr:colOff>2501348</xdr:colOff>
      <xdr:row>24</xdr:row>
      <xdr:rowOff>182217</xdr:rowOff>
    </xdr:to>
    <xdr:sp macro="[0]!UbicarseEn2022_3.UbicarseEn2022_3" textlink="">
      <xdr:nvSpPr>
        <xdr:cNvPr id="14" name="Rectángulo: esquinas redondeadas 13">
          <a:extLst>
            <a:ext uri="{FF2B5EF4-FFF2-40B4-BE49-F238E27FC236}">
              <a16:creationId xmlns:a16="http://schemas.microsoft.com/office/drawing/2014/main" id="{EEDEB6A5-C01B-4B24-B88D-D761408CBD90}"/>
            </a:ext>
          </a:extLst>
        </xdr:cNvPr>
        <xdr:cNvSpPr/>
      </xdr:nvSpPr>
      <xdr:spPr>
        <a:xfrm>
          <a:off x="6195391" y="48220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25</xdr:row>
      <xdr:rowOff>18168</xdr:rowOff>
    </xdr:from>
    <xdr:to>
      <xdr:col>6</xdr:col>
      <xdr:colOff>2501348</xdr:colOff>
      <xdr:row>25</xdr:row>
      <xdr:rowOff>182217</xdr:rowOff>
    </xdr:to>
    <xdr:sp macro="[0]!UbicarseEn2022_4.UbicarseEn2022_4" textlink="">
      <xdr:nvSpPr>
        <xdr:cNvPr id="15" name="Rectángulo: esquinas redondeadas 14">
          <a:extLst>
            <a:ext uri="{FF2B5EF4-FFF2-40B4-BE49-F238E27FC236}">
              <a16:creationId xmlns:a16="http://schemas.microsoft.com/office/drawing/2014/main" id="{4911088E-7B93-4712-9D1D-FFF5AA3AF31C}"/>
            </a:ext>
          </a:extLst>
        </xdr:cNvPr>
        <xdr:cNvSpPr/>
      </xdr:nvSpPr>
      <xdr:spPr>
        <a:xfrm>
          <a:off x="6195391" y="50125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26</xdr:row>
      <xdr:rowOff>18168</xdr:rowOff>
    </xdr:from>
    <xdr:to>
      <xdr:col>6</xdr:col>
      <xdr:colOff>2501348</xdr:colOff>
      <xdr:row>26</xdr:row>
      <xdr:rowOff>182217</xdr:rowOff>
    </xdr:to>
    <xdr:sp macro="[0]!UbicarseEn2023_1.UbicarseEn2023_1" textlink="">
      <xdr:nvSpPr>
        <xdr:cNvPr id="23" name="Rectángulo: esquinas redondeadas 22">
          <a:extLst>
            <a:ext uri="{FF2B5EF4-FFF2-40B4-BE49-F238E27FC236}">
              <a16:creationId xmlns:a16="http://schemas.microsoft.com/office/drawing/2014/main" id="{8B25C629-7A74-4DB1-A837-7622BEE8AAE7}"/>
            </a:ext>
          </a:extLst>
        </xdr:cNvPr>
        <xdr:cNvSpPr/>
      </xdr:nvSpPr>
      <xdr:spPr>
        <a:xfrm>
          <a:off x="6195391" y="52030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27</xdr:row>
      <xdr:rowOff>18168</xdr:rowOff>
    </xdr:from>
    <xdr:to>
      <xdr:col>6</xdr:col>
      <xdr:colOff>2501348</xdr:colOff>
      <xdr:row>27</xdr:row>
      <xdr:rowOff>182217</xdr:rowOff>
    </xdr:to>
    <xdr:sp macro="[0]!UbicarseEn2023_2.UbicarseEn2023_2" textlink="">
      <xdr:nvSpPr>
        <xdr:cNvPr id="24" name="Rectángulo: esquinas redondeadas 23">
          <a:extLst>
            <a:ext uri="{FF2B5EF4-FFF2-40B4-BE49-F238E27FC236}">
              <a16:creationId xmlns:a16="http://schemas.microsoft.com/office/drawing/2014/main" id="{5C2773CC-C8A4-4147-84E5-739E2E8C6F83}"/>
            </a:ext>
          </a:extLst>
        </xdr:cNvPr>
        <xdr:cNvSpPr/>
      </xdr:nvSpPr>
      <xdr:spPr>
        <a:xfrm>
          <a:off x="6195391" y="53935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28</xdr:row>
      <xdr:rowOff>18168</xdr:rowOff>
    </xdr:from>
    <xdr:to>
      <xdr:col>6</xdr:col>
      <xdr:colOff>2501348</xdr:colOff>
      <xdr:row>28</xdr:row>
      <xdr:rowOff>182217</xdr:rowOff>
    </xdr:to>
    <xdr:sp macro="[0]!UbicarseEn2023_3.UbicarseEn2023_3" textlink="">
      <xdr:nvSpPr>
        <xdr:cNvPr id="25" name="Rectángulo: esquinas redondeadas 24">
          <a:extLst>
            <a:ext uri="{FF2B5EF4-FFF2-40B4-BE49-F238E27FC236}">
              <a16:creationId xmlns:a16="http://schemas.microsoft.com/office/drawing/2014/main" id="{F72BDDD8-D4A6-4160-8968-0D0877BDA9EC}"/>
            </a:ext>
          </a:extLst>
        </xdr:cNvPr>
        <xdr:cNvSpPr/>
      </xdr:nvSpPr>
      <xdr:spPr>
        <a:xfrm>
          <a:off x="6195391" y="55840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5</xdr:col>
      <xdr:colOff>16565</xdr:colOff>
      <xdr:row>29</xdr:row>
      <xdr:rowOff>18168</xdr:rowOff>
    </xdr:from>
    <xdr:to>
      <xdr:col>6</xdr:col>
      <xdr:colOff>2501348</xdr:colOff>
      <xdr:row>29</xdr:row>
      <xdr:rowOff>182217</xdr:rowOff>
    </xdr:to>
    <xdr:sp macro="[0]!UbicarseEn2023_4.UbicarseEn2023_4" textlink="">
      <xdr:nvSpPr>
        <xdr:cNvPr id="26" name="Rectángulo: esquinas redondeadas 25">
          <a:extLst>
            <a:ext uri="{FF2B5EF4-FFF2-40B4-BE49-F238E27FC236}">
              <a16:creationId xmlns:a16="http://schemas.microsoft.com/office/drawing/2014/main" id="{A5791CF3-738E-4587-8A66-578D9BBA4268}"/>
            </a:ext>
          </a:extLst>
        </xdr:cNvPr>
        <xdr:cNvSpPr/>
      </xdr:nvSpPr>
      <xdr:spPr>
        <a:xfrm>
          <a:off x="6195391" y="5774581"/>
          <a:ext cx="4837044" cy="164049"/>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a:t>Ir</a:t>
          </a:r>
        </a:p>
      </xdr:txBody>
    </xdr:sp>
    <xdr:clientData/>
  </xdr:twoCellAnchor>
  <xdr:twoCellAnchor>
    <xdr:from>
      <xdr:col>7</xdr:col>
      <xdr:colOff>94421</xdr:colOff>
      <xdr:row>26</xdr:row>
      <xdr:rowOff>77856</xdr:rowOff>
    </xdr:from>
    <xdr:to>
      <xdr:col>7</xdr:col>
      <xdr:colOff>1523999</xdr:colOff>
      <xdr:row>30</xdr:row>
      <xdr:rowOff>165653</xdr:rowOff>
    </xdr:to>
    <xdr:sp macro="[0]!GenerarResumenEjercicios.GenerarResumenEjercicios" textlink="">
      <xdr:nvSpPr>
        <xdr:cNvPr id="27" name="Rectángulo: esquinas redondeadas 26">
          <a:extLst>
            <a:ext uri="{FF2B5EF4-FFF2-40B4-BE49-F238E27FC236}">
              <a16:creationId xmlns:a16="http://schemas.microsoft.com/office/drawing/2014/main" id="{02CC3611-730D-40BB-8924-2AE0104FB347}"/>
            </a:ext>
          </a:extLst>
        </xdr:cNvPr>
        <xdr:cNvSpPr/>
      </xdr:nvSpPr>
      <xdr:spPr>
        <a:xfrm>
          <a:off x="11234530" y="5262769"/>
          <a:ext cx="1429578" cy="858080"/>
        </a:xfrm>
        <a:prstGeom prst="roundRect">
          <a:avLst/>
        </a:prstGeom>
        <a:solidFill>
          <a:srgbClr val="C00000"/>
        </a:solidFill>
        <a:scene3d>
          <a:camera prst="perspectiveAbove"/>
          <a:lightRig rig="threePt" dir="t"/>
        </a:scene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400" b="1">
              <a:latin typeface="Bahnschrift SemiBold" panose="020B0502040204020203" pitchFamily="34" charset="0"/>
            </a:rPr>
            <a:t>Actualizar el resumen de ejercicios </a:t>
          </a:r>
          <a:r>
            <a:rPr lang="es-ES" sz="1100" b="0" i="0">
              <a:solidFill>
                <a:schemeClr val="lt1"/>
              </a:solidFill>
              <a:effectLst/>
              <a:latin typeface="+mn-lt"/>
              <a:ea typeface="+mn-ea"/>
              <a:cs typeface="+mn-cs"/>
            </a:rPr>
            <a:t>🔄</a:t>
          </a:r>
          <a:endParaRPr lang="es-ES" sz="1400" b="1">
            <a:latin typeface="Bahnschrift SemiBold" panose="020B0502040204020203" pitchFamily="34" charset="0"/>
          </a:endParaRPr>
        </a:p>
      </xdr:txBody>
    </xdr:sp>
    <xdr:clientData/>
  </xdr:twoCellAnchor>
  <xdr:twoCellAnchor>
    <xdr:from>
      <xdr:col>1</xdr:col>
      <xdr:colOff>33618</xdr:colOff>
      <xdr:row>25</xdr:row>
      <xdr:rowOff>16565</xdr:rowOff>
    </xdr:from>
    <xdr:to>
      <xdr:col>3</xdr:col>
      <xdr:colOff>941294</xdr:colOff>
      <xdr:row>26</xdr:row>
      <xdr:rowOff>173935</xdr:rowOff>
    </xdr:to>
    <xdr:sp macro="[0]!UbicarseEnDieta.UbicarseEnDieta" textlink="">
      <xdr:nvSpPr>
        <xdr:cNvPr id="28" name="Rectángulo: esquinas redondeadas 27">
          <a:extLst>
            <a:ext uri="{FF2B5EF4-FFF2-40B4-BE49-F238E27FC236}">
              <a16:creationId xmlns:a16="http://schemas.microsoft.com/office/drawing/2014/main" id="{65E9E07D-77AB-4199-BB26-46CACA2BF2D3}"/>
            </a:ext>
          </a:extLst>
        </xdr:cNvPr>
        <xdr:cNvSpPr/>
      </xdr:nvSpPr>
      <xdr:spPr>
        <a:xfrm>
          <a:off x="280147" y="5025594"/>
          <a:ext cx="4751294" cy="347870"/>
        </a:xfrm>
        <a:prstGeom prst="roundRect">
          <a:avLst/>
        </a:prstGeom>
        <a:solidFill>
          <a:srgbClr val="C00000"/>
        </a:solidFill>
        <a:scene3d>
          <a:camera prst="perspectiveAbove"/>
          <a:lightRig rig="threePt" dir="t"/>
        </a:scene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600" b="1">
              <a:latin typeface="Bahnschrift SemiBold" panose="020B0502040204020203" pitchFamily="34" charset="0"/>
            </a:rPr>
            <a:t>Ir a</a:t>
          </a:r>
          <a:r>
            <a:rPr lang="es-ES" sz="1600" b="1" baseline="0">
              <a:latin typeface="Bahnschrift SemiBold" panose="020B0502040204020203" pitchFamily="34" charset="0"/>
            </a:rPr>
            <a:t> la página de la dieta </a:t>
          </a:r>
          <a:r>
            <a:rPr lang="es-ES" sz="1600" b="0" i="0">
              <a:solidFill>
                <a:schemeClr val="lt1"/>
              </a:solidFill>
              <a:effectLst/>
              <a:latin typeface="+mn-lt"/>
              <a:ea typeface="+mn-ea"/>
              <a:cs typeface="+mn-cs"/>
            </a:rPr>
            <a:t>►</a:t>
          </a:r>
          <a:endParaRPr lang="es-ES" sz="1600" b="1">
            <a:latin typeface="Bahnschrift SemiBold" panose="020B0502040204020203" pitchFamily="34" charset="0"/>
          </a:endParaRPr>
        </a:p>
      </xdr:txBody>
    </xdr:sp>
    <xdr:clientData/>
  </xdr:twoCellAnchor>
  <xdr:twoCellAnchor editAs="oneCell">
    <xdr:from>
      <xdr:col>9</xdr:col>
      <xdr:colOff>145677</xdr:colOff>
      <xdr:row>10</xdr:row>
      <xdr:rowOff>158662</xdr:rowOff>
    </xdr:from>
    <xdr:to>
      <xdr:col>10</xdr:col>
      <xdr:colOff>381000</xdr:colOff>
      <xdr:row>11</xdr:row>
      <xdr:rowOff>423020</xdr:rowOff>
    </xdr:to>
    <xdr:pic>
      <xdr:nvPicPr>
        <xdr:cNvPr id="30" name="Imagen 29">
          <a:hlinkClick xmlns:r="http://schemas.openxmlformats.org/officeDocument/2006/relationships" r:id="rId1"/>
          <a:extLst>
            <a:ext uri="{FF2B5EF4-FFF2-40B4-BE49-F238E27FC236}">
              <a16:creationId xmlns:a16="http://schemas.microsoft.com/office/drawing/2014/main" id="{91F45A9A-0AE5-4D8B-9B2F-5CC3A790F55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12589" y="3710927"/>
          <a:ext cx="717176" cy="7237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268943</xdr:colOff>
      <xdr:row>10</xdr:row>
      <xdr:rowOff>246531</xdr:rowOff>
    </xdr:from>
    <xdr:to>
      <xdr:col>7</xdr:col>
      <xdr:colOff>829236</xdr:colOff>
      <xdr:row>11</xdr:row>
      <xdr:rowOff>351905</xdr:rowOff>
    </xdr:to>
    <xdr:pic>
      <xdr:nvPicPr>
        <xdr:cNvPr id="31" name="Imagen 30">
          <a:hlinkClick xmlns:r="http://schemas.openxmlformats.org/officeDocument/2006/relationships" r:id="rId3"/>
          <a:extLst>
            <a:ext uri="{FF2B5EF4-FFF2-40B4-BE49-F238E27FC236}">
              <a16:creationId xmlns:a16="http://schemas.microsoft.com/office/drawing/2014/main" id="{4ABC1270-34F9-4FA1-9FB1-7F4F302D562F}"/>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407590" y="3798796"/>
          <a:ext cx="560293" cy="5648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1288676</xdr:colOff>
      <xdr:row>10</xdr:row>
      <xdr:rowOff>292015</xdr:rowOff>
    </xdr:from>
    <xdr:to>
      <xdr:col>8</xdr:col>
      <xdr:colOff>179293</xdr:colOff>
      <xdr:row>11</xdr:row>
      <xdr:rowOff>329896</xdr:rowOff>
    </xdr:to>
    <xdr:pic>
      <xdr:nvPicPr>
        <xdr:cNvPr id="29" name="Imagen 28" descr="Linkedin - Iconos gratis de redes sociales">
          <a:hlinkClick xmlns:r="http://schemas.openxmlformats.org/officeDocument/2006/relationships" r:id="rId5"/>
          <a:extLst>
            <a:ext uri="{FF2B5EF4-FFF2-40B4-BE49-F238E27FC236}">
              <a16:creationId xmlns:a16="http://schemas.microsoft.com/office/drawing/2014/main" id="{EC79E160-523E-4AB6-942E-A0CDFE358313}"/>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2427323" y="3844280"/>
          <a:ext cx="493058" cy="497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22412</xdr:colOff>
      <xdr:row>9</xdr:row>
      <xdr:rowOff>291352</xdr:rowOff>
    </xdr:from>
    <xdr:to>
      <xdr:col>11</xdr:col>
      <xdr:colOff>112058</xdr:colOff>
      <xdr:row>10</xdr:row>
      <xdr:rowOff>33617</xdr:rowOff>
    </xdr:to>
    <xdr:sp macro="" textlink="">
      <xdr:nvSpPr>
        <xdr:cNvPr id="5" name="CuadroTexto 4">
          <a:extLst>
            <a:ext uri="{FF2B5EF4-FFF2-40B4-BE49-F238E27FC236}">
              <a16:creationId xmlns:a16="http://schemas.microsoft.com/office/drawing/2014/main" id="{7945E318-3493-4311-9493-A448295E29C8}"/>
            </a:ext>
          </a:extLst>
        </xdr:cNvPr>
        <xdr:cNvSpPr txBox="1"/>
      </xdr:nvSpPr>
      <xdr:spPr>
        <a:xfrm>
          <a:off x="11161059" y="3384176"/>
          <a:ext cx="3014381" cy="2017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1"/>
            <a:t>Links</a:t>
          </a:r>
          <a:r>
            <a:rPr lang="es-ES" sz="1200" b="1" baseline="0"/>
            <a:t> de contacto</a:t>
          </a:r>
          <a:endParaRPr lang="es-ES" sz="1200" b="1"/>
        </a:p>
      </xdr:txBody>
    </xdr:sp>
    <xdr:clientData/>
  </xdr:twoCellAnchor>
  <xdr:twoCellAnchor>
    <xdr:from>
      <xdr:col>7</xdr:col>
      <xdr:colOff>163606</xdr:colOff>
      <xdr:row>11</xdr:row>
      <xdr:rowOff>381000</xdr:rowOff>
    </xdr:from>
    <xdr:to>
      <xdr:col>7</xdr:col>
      <xdr:colOff>930087</xdr:colOff>
      <xdr:row>12</xdr:row>
      <xdr:rowOff>40341</xdr:rowOff>
    </xdr:to>
    <xdr:sp macro="" textlink="">
      <xdr:nvSpPr>
        <xdr:cNvPr id="32" name="CuadroTexto 31">
          <a:extLst>
            <a:ext uri="{FF2B5EF4-FFF2-40B4-BE49-F238E27FC236}">
              <a16:creationId xmlns:a16="http://schemas.microsoft.com/office/drawing/2014/main" id="{0D34D07C-8C2C-4FFB-B4DB-B583A5BC1DB8}"/>
            </a:ext>
          </a:extLst>
        </xdr:cNvPr>
        <xdr:cNvSpPr txBox="1"/>
      </xdr:nvSpPr>
      <xdr:spPr>
        <a:xfrm>
          <a:off x="11302253" y="4392706"/>
          <a:ext cx="766481" cy="1187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0"/>
            <a:t>Correo</a:t>
          </a:r>
        </a:p>
      </xdr:txBody>
    </xdr:sp>
    <xdr:clientData/>
  </xdr:twoCellAnchor>
  <xdr:twoCellAnchor>
    <xdr:from>
      <xdr:col>7</xdr:col>
      <xdr:colOff>1156447</xdr:colOff>
      <xdr:row>11</xdr:row>
      <xdr:rowOff>376518</xdr:rowOff>
    </xdr:from>
    <xdr:to>
      <xdr:col>8</xdr:col>
      <xdr:colOff>320487</xdr:colOff>
      <xdr:row>12</xdr:row>
      <xdr:rowOff>35859</xdr:rowOff>
    </xdr:to>
    <xdr:sp macro="" textlink="">
      <xdr:nvSpPr>
        <xdr:cNvPr id="35" name="CuadroTexto 34">
          <a:extLst>
            <a:ext uri="{FF2B5EF4-FFF2-40B4-BE49-F238E27FC236}">
              <a16:creationId xmlns:a16="http://schemas.microsoft.com/office/drawing/2014/main" id="{24C2A514-25CD-4F21-818F-C9DC2A1482B4}"/>
            </a:ext>
          </a:extLst>
        </xdr:cNvPr>
        <xdr:cNvSpPr txBox="1"/>
      </xdr:nvSpPr>
      <xdr:spPr>
        <a:xfrm>
          <a:off x="12295094" y="4388224"/>
          <a:ext cx="766481" cy="1187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0"/>
            <a:t>LinkedIn</a:t>
          </a:r>
        </a:p>
      </xdr:txBody>
    </xdr:sp>
    <xdr:clientData/>
  </xdr:twoCellAnchor>
  <xdr:twoCellAnchor>
    <xdr:from>
      <xdr:col>8</xdr:col>
      <xdr:colOff>356346</xdr:colOff>
      <xdr:row>11</xdr:row>
      <xdr:rowOff>372036</xdr:rowOff>
    </xdr:from>
    <xdr:to>
      <xdr:col>11</xdr:col>
      <xdr:colOff>145676</xdr:colOff>
      <xdr:row>12</xdr:row>
      <xdr:rowOff>44823</xdr:rowOff>
    </xdr:to>
    <xdr:sp macro="" textlink="">
      <xdr:nvSpPr>
        <xdr:cNvPr id="36" name="CuadroTexto 35">
          <a:extLst>
            <a:ext uri="{FF2B5EF4-FFF2-40B4-BE49-F238E27FC236}">
              <a16:creationId xmlns:a16="http://schemas.microsoft.com/office/drawing/2014/main" id="{47274B05-97B1-4E41-82C2-50B4BF3236D7}"/>
            </a:ext>
          </a:extLst>
        </xdr:cNvPr>
        <xdr:cNvSpPr txBox="1"/>
      </xdr:nvSpPr>
      <xdr:spPr>
        <a:xfrm>
          <a:off x="13097434" y="4383742"/>
          <a:ext cx="1111624" cy="1322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0"/>
            <a:t>StackOverflow</a:t>
          </a:r>
        </a:p>
      </xdr:txBody>
    </xdr:sp>
    <xdr:clientData/>
  </xdr:twoCellAnchor>
  <xdr:twoCellAnchor>
    <xdr:from>
      <xdr:col>7</xdr:col>
      <xdr:colOff>22412</xdr:colOff>
      <xdr:row>12</xdr:row>
      <xdr:rowOff>410136</xdr:rowOff>
    </xdr:from>
    <xdr:to>
      <xdr:col>16</xdr:col>
      <xdr:colOff>582706</xdr:colOff>
      <xdr:row>13</xdr:row>
      <xdr:rowOff>145677</xdr:rowOff>
    </xdr:to>
    <xdr:sp macro="" textlink="">
      <xdr:nvSpPr>
        <xdr:cNvPr id="37" name="CuadroTexto 36">
          <a:extLst>
            <a:ext uri="{FF2B5EF4-FFF2-40B4-BE49-F238E27FC236}">
              <a16:creationId xmlns:a16="http://schemas.microsoft.com/office/drawing/2014/main" id="{CD7DB94C-1518-4E06-9B68-1AB36F22FEB1}"/>
            </a:ext>
          </a:extLst>
        </xdr:cNvPr>
        <xdr:cNvSpPr txBox="1"/>
      </xdr:nvSpPr>
      <xdr:spPr>
        <a:xfrm>
          <a:off x="11161059" y="4881283"/>
          <a:ext cx="5939118" cy="194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1"/>
            <a:t>Espacio</a:t>
          </a:r>
          <a:r>
            <a:rPr lang="es-ES" sz="1200" b="1" baseline="0"/>
            <a:t> de donación</a:t>
          </a:r>
          <a:endParaRPr lang="es-ES" sz="1200" b="1"/>
        </a:p>
      </xdr:txBody>
    </xdr:sp>
    <xdr:clientData/>
  </xdr:twoCellAnchor>
  <xdr:twoCellAnchor>
    <xdr:from>
      <xdr:col>7</xdr:col>
      <xdr:colOff>17930</xdr:colOff>
      <xdr:row>13</xdr:row>
      <xdr:rowOff>237566</xdr:rowOff>
    </xdr:from>
    <xdr:to>
      <xdr:col>16</xdr:col>
      <xdr:colOff>578224</xdr:colOff>
      <xdr:row>14</xdr:row>
      <xdr:rowOff>448237</xdr:rowOff>
    </xdr:to>
    <xdr:sp macro="" textlink="">
      <xdr:nvSpPr>
        <xdr:cNvPr id="38" name="CuadroTexto 37">
          <a:extLst>
            <a:ext uri="{FF2B5EF4-FFF2-40B4-BE49-F238E27FC236}">
              <a16:creationId xmlns:a16="http://schemas.microsoft.com/office/drawing/2014/main" id="{F865B712-A083-495F-955D-39ABD2500921}"/>
            </a:ext>
          </a:extLst>
        </xdr:cNvPr>
        <xdr:cNvSpPr txBox="1"/>
      </xdr:nvSpPr>
      <xdr:spPr>
        <a:xfrm>
          <a:off x="11156577" y="5168154"/>
          <a:ext cx="5939118" cy="6701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0"/>
            <a:t>Si gustas puedes realizarle</a:t>
          </a:r>
          <a:r>
            <a:rPr lang="es-ES" sz="1200" b="0" baseline="0"/>
            <a:t> una donación al autor de esta plantilla para recompensar su trabajo y su tiempo. A continuación se encuentran los links a las plataformas por medio de las cuales puedes donar, </a:t>
          </a:r>
          <a:r>
            <a:rPr lang="es-ES" sz="1200" b="0" baseline="0">
              <a:solidFill>
                <a:schemeClr val="dk1"/>
              </a:solidFill>
              <a:effectLst/>
              <a:latin typeface="+mn-lt"/>
              <a:ea typeface="+mn-ea"/>
              <a:cs typeface="+mn-cs"/>
            </a:rPr>
            <a:t>muchas gracias! </a:t>
          </a:r>
          <a:endParaRPr lang="es-ES" sz="1200" b="0"/>
        </a:p>
      </xdr:txBody>
    </xdr:sp>
    <xdr:clientData/>
  </xdr:twoCellAnchor>
  <xdr:twoCellAnchor editAs="oneCell">
    <xdr:from>
      <xdr:col>11</xdr:col>
      <xdr:colOff>190499</xdr:colOff>
      <xdr:row>4</xdr:row>
      <xdr:rowOff>32873</xdr:rowOff>
    </xdr:from>
    <xdr:to>
      <xdr:col>16</xdr:col>
      <xdr:colOff>572064</xdr:colOff>
      <xdr:row>12</xdr:row>
      <xdr:rowOff>138215</xdr:rowOff>
    </xdr:to>
    <xdr:pic>
      <xdr:nvPicPr>
        <xdr:cNvPr id="7" name="Imagen 6">
          <a:extLst>
            <a:ext uri="{FF2B5EF4-FFF2-40B4-BE49-F238E27FC236}">
              <a16:creationId xmlns:a16="http://schemas.microsoft.com/office/drawing/2014/main" id="{89750E5B-11C9-40A7-B9AE-A1DCD50A961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rot="5400000">
          <a:off x="13781272" y="1301100"/>
          <a:ext cx="3780871" cy="2835654"/>
        </a:xfrm>
        <a:prstGeom prst="rect">
          <a:avLst/>
        </a:prstGeom>
      </xdr:spPr>
    </xdr:pic>
    <xdr:clientData/>
  </xdr:twoCellAnchor>
  <xdr:twoCellAnchor editAs="oneCell">
    <xdr:from>
      <xdr:col>7</xdr:col>
      <xdr:colOff>1086970</xdr:colOff>
      <xdr:row>15</xdr:row>
      <xdr:rowOff>112059</xdr:rowOff>
    </xdr:from>
    <xdr:to>
      <xdr:col>15</xdr:col>
      <xdr:colOff>276224</xdr:colOff>
      <xdr:row>21</xdr:row>
      <xdr:rowOff>79002</xdr:rowOff>
    </xdr:to>
    <xdr:pic>
      <xdr:nvPicPr>
        <xdr:cNvPr id="9" name="Imagen 8">
          <a:hlinkClick xmlns:r="http://schemas.openxmlformats.org/officeDocument/2006/relationships" r:id="rId8"/>
          <a:extLst>
            <a:ext uri="{FF2B5EF4-FFF2-40B4-BE49-F238E27FC236}">
              <a16:creationId xmlns:a16="http://schemas.microsoft.com/office/drawing/2014/main" id="{D06B1499-44E3-4B93-8578-4323B93AF50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225617" y="5961530"/>
          <a:ext cx="3895725" cy="2219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287991</xdr:colOff>
      <xdr:row>4</xdr:row>
      <xdr:rowOff>9794</xdr:rowOff>
    </xdr:from>
    <xdr:to>
      <xdr:col>7</xdr:col>
      <xdr:colOff>745191</xdr:colOff>
      <xdr:row>20</xdr:row>
      <xdr:rowOff>11479</xdr:rowOff>
    </xdr:to>
    <xdr:pic>
      <xdr:nvPicPr>
        <xdr:cNvPr id="2" name="Imagen 1">
          <a:extLst>
            <a:ext uri="{FF2B5EF4-FFF2-40B4-BE49-F238E27FC236}">
              <a16:creationId xmlns:a16="http://schemas.microsoft.com/office/drawing/2014/main" id="{1AFB4BDA-3135-4D45-875C-0E89018E3FBE}"/>
            </a:ext>
          </a:extLst>
        </xdr:cNvPr>
        <xdr:cNvPicPr>
          <a:picLocks noChangeAspect="1"/>
        </xdr:cNvPicPr>
      </xdr:nvPicPr>
      <xdr:blipFill>
        <a:blip xmlns:r="http://schemas.openxmlformats.org/officeDocument/2006/relationships" r:embed="rId1"/>
        <a:stretch>
          <a:fillRect/>
        </a:stretch>
      </xdr:blipFill>
      <xdr:spPr>
        <a:xfrm>
          <a:off x="5890932" y="771794"/>
          <a:ext cx="5892053" cy="3441891"/>
        </a:xfrm>
        <a:prstGeom prst="rect">
          <a:avLst/>
        </a:prstGeom>
      </xdr:spPr>
    </xdr:pic>
    <xdr:clientData/>
  </xdr:twoCellAnchor>
  <xdr:twoCellAnchor>
    <xdr:from>
      <xdr:col>9</xdr:col>
      <xdr:colOff>11205</xdr:colOff>
      <xdr:row>16</xdr:row>
      <xdr:rowOff>22412</xdr:rowOff>
    </xdr:from>
    <xdr:to>
      <xdr:col>12</xdr:col>
      <xdr:colOff>246529</xdr:colOff>
      <xdr:row>20</xdr:row>
      <xdr:rowOff>118492</xdr:rowOff>
    </xdr:to>
    <xdr:sp macro="[0]!CalcularMacrosComidas.CalcularMacrosComidas" textlink="">
      <xdr:nvSpPr>
        <xdr:cNvPr id="3" name="Rectángulo: esquinas redondeadas 2">
          <a:extLst>
            <a:ext uri="{FF2B5EF4-FFF2-40B4-BE49-F238E27FC236}">
              <a16:creationId xmlns:a16="http://schemas.microsoft.com/office/drawing/2014/main" id="{1A959872-6869-4292-BECD-2609A61DE8C1}"/>
            </a:ext>
          </a:extLst>
        </xdr:cNvPr>
        <xdr:cNvSpPr/>
      </xdr:nvSpPr>
      <xdr:spPr>
        <a:xfrm>
          <a:off x="12472146" y="3451412"/>
          <a:ext cx="3350559" cy="858080"/>
        </a:xfrm>
        <a:prstGeom prst="roundRect">
          <a:avLst/>
        </a:prstGeom>
        <a:solidFill>
          <a:srgbClr val="C00000"/>
        </a:solidFill>
        <a:scene3d>
          <a:camera prst="perspectiveAbove"/>
          <a:lightRig rig="threePt" dir="t"/>
        </a:scene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400" b="1">
              <a:latin typeface="Bahnschrift SemiBold" panose="020B0502040204020203" pitchFamily="34" charset="0"/>
            </a:rPr>
            <a:t>Calcular</a:t>
          </a:r>
          <a:r>
            <a:rPr lang="es-ES" sz="1400" b="1" baseline="0">
              <a:latin typeface="Bahnschrift SemiBold" panose="020B0502040204020203" pitchFamily="34" charset="0"/>
            </a:rPr>
            <a:t> calorías y proteínas en comidas seleccionadas</a:t>
          </a:r>
          <a:endParaRPr lang="es-ES" sz="1400" b="1">
            <a:latin typeface="Bahnschrift SemiBold"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100854</xdr:colOff>
      <xdr:row>4</xdr:row>
      <xdr:rowOff>0</xdr:rowOff>
    </xdr:from>
    <xdr:to>
      <xdr:col>9</xdr:col>
      <xdr:colOff>504266</xdr:colOff>
      <xdr:row>8</xdr:row>
      <xdr:rowOff>62462</xdr:rowOff>
    </xdr:to>
    <xdr:sp macro="[0]!GenerarResumenGeneral.GenerarResumenGeneral" textlink="">
      <xdr:nvSpPr>
        <xdr:cNvPr id="2" name="Rectángulo: esquinas redondeadas 1">
          <a:extLst>
            <a:ext uri="{FF2B5EF4-FFF2-40B4-BE49-F238E27FC236}">
              <a16:creationId xmlns:a16="http://schemas.microsoft.com/office/drawing/2014/main" id="{AACFA869-523F-48D1-A341-F856E9C21B4F}"/>
            </a:ext>
          </a:extLst>
        </xdr:cNvPr>
        <xdr:cNvSpPr/>
      </xdr:nvSpPr>
      <xdr:spPr>
        <a:xfrm>
          <a:off x="13671178" y="941294"/>
          <a:ext cx="1837764" cy="858080"/>
        </a:xfrm>
        <a:prstGeom prst="roundRect">
          <a:avLst/>
        </a:prstGeom>
        <a:solidFill>
          <a:srgbClr val="C00000"/>
        </a:solidFill>
        <a:scene3d>
          <a:camera prst="perspectiveAbove"/>
          <a:lightRig rig="threePt" dir="t"/>
        </a:scene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ES" sz="1400" b="1">
              <a:latin typeface="Bahnschrift SemiBold" panose="020B0502040204020203" pitchFamily="34" charset="0"/>
            </a:rPr>
            <a:t>Actualizar</a:t>
          </a:r>
          <a:r>
            <a:rPr lang="es-ES" sz="1400" b="1" baseline="0">
              <a:latin typeface="Bahnschrift SemiBold" panose="020B0502040204020203" pitchFamily="34" charset="0"/>
            </a:rPr>
            <a:t> resumen general </a:t>
          </a:r>
          <a:r>
            <a:rPr lang="es-ES" sz="1100" b="0" i="0">
              <a:solidFill>
                <a:schemeClr val="lt1"/>
              </a:solidFill>
              <a:effectLst/>
              <a:latin typeface="+mn-lt"/>
              <a:ea typeface="+mn-ea"/>
              <a:cs typeface="+mn-cs"/>
            </a:rPr>
            <a:t>🔄</a:t>
          </a:r>
          <a:endParaRPr lang="es-ES" sz="1400" b="1">
            <a:latin typeface="Bahnschrift SemiBold" panose="020B0502040204020203"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A0AB8F-8AF1-4FD3-AD31-671E644E6D56}" name="Tabla1" displayName="Tabla1" ref="B32:H273" totalsRowShown="0" headerRowDxfId="245" dataDxfId="244">
  <autoFilter ref="B32:H273" xr:uid="{A4A0AB8F-8AF1-4FD3-AD31-671E644E6D56}"/>
  <tableColumns count="7">
    <tableColumn id="1" xr3:uid="{4B798E7E-716F-4480-95C5-E532F9F45EE1}" name="Nombre del ejercicio" dataDxfId="243"/>
    <tableColumn id="2" xr3:uid="{6259A3EA-B25C-40BC-ADB4-7AEF77C807B8}" name="Grupo muscular" dataDxfId="242"/>
    <tableColumn id="7" xr3:uid="{52B3DCB5-6CB6-4FBB-A11A-38B4F3439EAD}" name="Dificultad" dataDxfId="241"/>
    <tableColumn id="3" xr3:uid="{5CD6CE63-E00E-4F2B-AF2B-3D2D89ED7D83}" name="Max puntos" dataDxfId="240"/>
    <tableColumn id="4" xr3:uid="{DE9F092D-7050-4A66-B5E3-C126B7045AA1}" name="Max peso levantado" dataDxfId="239"/>
    <tableColumn id="5" xr3:uid="{8C8A4AA1-8EC1-4F97-A8A4-424CE920AA42}" name="Cantidad de veces incluido en rutinas" dataDxfId="238"/>
    <tableColumn id="6" xr3:uid="{E8728BCB-320D-4E54-ACFB-789C629CCF9C}" name="Link de demostración" dataDxfId="237"/>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7502A7-4276-477C-9709-93172C54BD27}" name="Tabla2" displayName="Tabla2" ref="A23:H128" totalsRowShown="0" headerRowDxfId="157">
  <autoFilter ref="A23:H128" xr:uid="{DD7502A7-4276-477C-9709-93172C54BD27}"/>
  <sortState xmlns:xlrd2="http://schemas.microsoft.com/office/spreadsheetml/2017/richdata2" ref="A24:H128">
    <sortCondition descending="1" ref="F23:F128"/>
  </sortState>
  <tableColumns count="8">
    <tableColumn id="1" xr3:uid="{732A4E26-3047-432C-9BA7-99614326F871}" name="Nombre del alimento" dataDxfId="156"/>
    <tableColumn id="2" xr3:uid="{732E1549-5E2D-49D0-8F00-E3EB08FF1AB0}" name="Nutriente predominante"/>
    <tableColumn id="3" xr3:uid="{A6F6DF8D-51DD-4755-AB20-EF4CC208CA66}" name="Tipo de alimento" dataDxfId="155"/>
    <tableColumn id="4" xr3:uid="{5314381A-973A-414E-9CD3-08343F3F9084}" name="g por porción"/>
    <tableColumn id="5" xr3:uid="{64836ADD-6F3E-4E14-9C7A-8A91D7A13E93}" name="Calorías x porción"/>
    <tableColumn id="6" xr3:uid="{9AC3B98A-0DD3-465B-9409-06D008308EB8}" name="Proteína x porción"/>
    <tableColumn id="8" xr3:uid="{74EF7EB0-492E-47B3-A91A-FC4701765A67}" name="Calorías x g" dataDxfId="154">
      <calculatedColumnFormula>Tabla2[[#This Row],[Calorías x porción]]/Tabla2[[#This Row],[g por porción]]</calculatedColumnFormula>
    </tableColumn>
    <tableColumn id="9" xr3:uid="{701F8021-DDA6-4429-9ECA-943BD13ED96F}" name="Proteína x g" dataDxfId="153">
      <calculatedColumnFormula>Tabla2[[#This Row],[Proteína x porción]]/Tabla2[[#This Row],[g por porción]]</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youtube.com/watch?v=DA2QGI0NPWU" TargetMode="External"/><Relationship Id="rId21" Type="http://schemas.openxmlformats.org/officeDocument/2006/relationships/hyperlink" Target="https://www.youtube.com/watch?v=p8A3oaWhU6U" TargetMode="External"/><Relationship Id="rId42" Type="http://schemas.openxmlformats.org/officeDocument/2006/relationships/hyperlink" Target="https://www.youtube.com/watch?v=H0O4HNvtB70" TargetMode="External"/><Relationship Id="rId63" Type="http://schemas.openxmlformats.org/officeDocument/2006/relationships/hyperlink" Target="https://www.youtube.com/watch?v=OOe_HrNnQWw" TargetMode="External"/><Relationship Id="rId84" Type="http://schemas.openxmlformats.org/officeDocument/2006/relationships/hyperlink" Target="https://www.youtube.com/watch?v=soxrZlIl35U" TargetMode="External"/><Relationship Id="rId138" Type="http://schemas.openxmlformats.org/officeDocument/2006/relationships/hyperlink" Target="https://www.youtube.com/watch?v=-M4-G8p8fmc" TargetMode="External"/><Relationship Id="rId159" Type="http://schemas.openxmlformats.org/officeDocument/2006/relationships/hyperlink" Target="https://www.youtube.com/watch?v=Dy28eq2PjcM" TargetMode="External"/><Relationship Id="rId170" Type="http://schemas.openxmlformats.org/officeDocument/2006/relationships/hyperlink" Target="https://www.youtube.com/watch?v=lJ3QwaXNJfw" TargetMode="External"/><Relationship Id="rId191" Type="http://schemas.openxmlformats.org/officeDocument/2006/relationships/hyperlink" Target="https://www.youtube.com/watch?v=z6PJMT2y8GQ" TargetMode="External"/><Relationship Id="rId205" Type="http://schemas.openxmlformats.org/officeDocument/2006/relationships/hyperlink" Target="https://www.youtube.com/watch?v=ar-eEXkHLO4" TargetMode="External"/><Relationship Id="rId226" Type="http://schemas.openxmlformats.org/officeDocument/2006/relationships/hyperlink" Target="https://www.youtube.com/watch?v=sM6XUdt1rm4&amp;t=145s" TargetMode="External"/><Relationship Id="rId107" Type="http://schemas.openxmlformats.org/officeDocument/2006/relationships/hyperlink" Target="https://www.youtube.com/watch?v=9C9sbJfFjJM" TargetMode="External"/><Relationship Id="rId11" Type="http://schemas.openxmlformats.org/officeDocument/2006/relationships/hyperlink" Target="https://www.youtube.com/watch?v=Fr6fdKPdyfM" TargetMode="External"/><Relationship Id="rId32" Type="http://schemas.openxmlformats.org/officeDocument/2006/relationships/hyperlink" Target="https://www.youtube.com/watch?v=ui2jh0A2lcQ" TargetMode="External"/><Relationship Id="rId53" Type="http://schemas.openxmlformats.org/officeDocument/2006/relationships/hyperlink" Target="https://www.youtube.com/watch?v=3R14MnZbcpw" TargetMode="External"/><Relationship Id="rId74" Type="http://schemas.openxmlformats.org/officeDocument/2006/relationships/hyperlink" Target="https://www.youtube.com/watch?v=IcWPQo1i0k4" TargetMode="External"/><Relationship Id="rId128" Type="http://schemas.openxmlformats.org/officeDocument/2006/relationships/hyperlink" Target="https://www.youtube.com/watch?v=A2XNC_uk3A0" TargetMode="External"/><Relationship Id="rId149" Type="http://schemas.openxmlformats.org/officeDocument/2006/relationships/hyperlink" Target="https://www.youtube.com/watch?v=ylpfCk3i-0Y" TargetMode="External"/><Relationship Id="rId5" Type="http://schemas.openxmlformats.org/officeDocument/2006/relationships/hyperlink" Target="https://www.youtube.com/watch?v=586AMWsRbgs" TargetMode="External"/><Relationship Id="rId95" Type="http://schemas.openxmlformats.org/officeDocument/2006/relationships/hyperlink" Target="https://www.youtube.com/watch?v=BsE9zhhTU1A" TargetMode="External"/><Relationship Id="rId160" Type="http://schemas.openxmlformats.org/officeDocument/2006/relationships/hyperlink" Target="https://www.youtube.com/watch?v=ci4rsmlOk24" TargetMode="External"/><Relationship Id="rId181" Type="http://schemas.openxmlformats.org/officeDocument/2006/relationships/hyperlink" Target="https://www.youtube.com/watch?v=dKUB6MOB908" TargetMode="External"/><Relationship Id="rId216" Type="http://schemas.openxmlformats.org/officeDocument/2006/relationships/hyperlink" Target="https://www.youtube.com/watch?v=GZbfZ033f74" TargetMode="External"/><Relationship Id="rId237" Type="http://schemas.openxmlformats.org/officeDocument/2006/relationships/hyperlink" Target="https://www.youtube.com/watch?v=eozdVDA78K0" TargetMode="External"/><Relationship Id="rId22" Type="http://schemas.openxmlformats.org/officeDocument/2006/relationships/hyperlink" Target="https://www.youtube.com/watch?v=uBRFq6sBzlQ" TargetMode="External"/><Relationship Id="rId43" Type="http://schemas.openxmlformats.org/officeDocument/2006/relationships/hyperlink" Target="https://www.youtube.com/watch?v=sxeY7kMYhLc" TargetMode="External"/><Relationship Id="rId64" Type="http://schemas.openxmlformats.org/officeDocument/2006/relationships/hyperlink" Target="https://www.youtube.com/watch?v=xODm0GuXPMY" TargetMode="External"/><Relationship Id="rId118" Type="http://schemas.openxmlformats.org/officeDocument/2006/relationships/hyperlink" Target="https://www.youtube.com/watch?v=FcjwuLMdGyM" TargetMode="External"/><Relationship Id="rId139" Type="http://schemas.openxmlformats.org/officeDocument/2006/relationships/hyperlink" Target="https://www.youtube.com/watch?v=VTltuiTGLYA" TargetMode="External"/><Relationship Id="rId85" Type="http://schemas.openxmlformats.org/officeDocument/2006/relationships/hyperlink" Target="https://www.youtube.com/watch?v=wFfSlfe00-A" TargetMode="External"/><Relationship Id="rId150" Type="http://schemas.openxmlformats.org/officeDocument/2006/relationships/hyperlink" Target="https://www.youtube.com/watch?v=-5nJtvt7la0" TargetMode="External"/><Relationship Id="rId171" Type="http://schemas.openxmlformats.org/officeDocument/2006/relationships/hyperlink" Target="https://www.youtube.com/watch?v=-4qRntuXBSc" TargetMode="External"/><Relationship Id="rId192" Type="http://schemas.openxmlformats.org/officeDocument/2006/relationships/hyperlink" Target="https://www.youtube.com/watch?v=iSIFVCzzNOY" TargetMode="External"/><Relationship Id="rId206" Type="http://schemas.openxmlformats.org/officeDocument/2006/relationships/hyperlink" Target="https://www.youtube.com/watch?v=T_dkYUgQLCY" TargetMode="External"/><Relationship Id="rId227" Type="http://schemas.openxmlformats.org/officeDocument/2006/relationships/hyperlink" Target="https://www.youtube.com/watch?v=cIoUZOnypS8" TargetMode="External"/><Relationship Id="rId201" Type="http://schemas.openxmlformats.org/officeDocument/2006/relationships/hyperlink" Target="https://www.youtube.com/watch?v=y00_rMYk1Oc" TargetMode="External"/><Relationship Id="rId222" Type="http://schemas.openxmlformats.org/officeDocument/2006/relationships/hyperlink" Target="https://www.youtube.com/watch?v=nblU7yyVLbI" TargetMode="External"/><Relationship Id="rId243" Type="http://schemas.openxmlformats.org/officeDocument/2006/relationships/drawing" Target="../drawings/drawing1.xml"/><Relationship Id="rId12" Type="http://schemas.openxmlformats.org/officeDocument/2006/relationships/hyperlink" Target="https://www.youtube.com/watch?v=4oZ_0_bQcOg" TargetMode="External"/><Relationship Id="rId17" Type="http://schemas.openxmlformats.org/officeDocument/2006/relationships/hyperlink" Target="https://www.youtube.com/watch?v=mBW1NSUGVsc" TargetMode="External"/><Relationship Id="rId33" Type="http://schemas.openxmlformats.org/officeDocument/2006/relationships/hyperlink" Target="https://www.youtube.com/watch?v=Gz6bobAEQ1U" TargetMode="External"/><Relationship Id="rId38" Type="http://schemas.openxmlformats.org/officeDocument/2006/relationships/hyperlink" Target="https://www.youtube.com/watch?v=uFnx9sA_LCs" TargetMode="External"/><Relationship Id="rId59" Type="http://schemas.openxmlformats.org/officeDocument/2006/relationships/hyperlink" Target="https://www.youtube.com/watch?v=8gVEdhS5AEs" TargetMode="External"/><Relationship Id="rId103" Type="http://schemas.openxmlformats.org/officeDocument/2006/relationships/hyperlink" Target="https://www.youtube.com/watch?v=kwG2ipFRgfo" TargetMode="External"/><Relationship Id="rId108" Type="http://schemas.openxmlformats.org/officeDocument/2006/relationships/hyperlink" Target="https://www.youtube.com/watch?v=fLajmFLpJ_w" TargetMode="External"/><Relationship Id="rId124" Type="http://schemas.openxmlformats.org/officeDocument/2006/relationships/hyperlink" Target="https://www.youtube.com/watch?v=nmwgirgXLYM" TargetMode="External"/><Relationship Id="rId129" Type="http://schemas.openxmlformats.org/officeDocument/2006/relationships/hyperlink" Target="https://www.youtube.com/watch?v=pSHjTRCQxIw" TargetMode="External"/><Relationship Id="rId54" Type="http://schemas.openxmlformats.org/officeDocument/2006/relationships/hyperlink" Target="https://www.youtube.com/watch?v=3R14MnZbcpw" TargetMode="External"/><Relationship Id="rId70" Type="http://schemas.openxmlformats.org/officeDocument/2006/relationships/hyperlink" Target="https://www.youtube.com/watch?v=-QxSfeRBvlU" TargetMode="External"/><Relationship Id="rId75" Type="http://schemas.openxmlformats.org/officeDocument/2006/relationships/hyperlink" Target="https://www.youtube.com/watch?v=sa1k_vNTPWo" TargetMode="External"/><Relationship Id="rId91" Type="http://schemas.openxmlformats.org/officeDocument/2006/relationships/hyperlink" Target="https://www.youtube.com/watch?v=vngli9UR6Hw" TargetMode="External"/><Relationship Id="rId96" Type="http://schemas.openxmlformats.org/officeDocument/2006/relationships/hyperlink" Target="https://www.youtube.com/watch?v=nRgxYX2Ve9w" TargetMode="External"/><Relationship Id="rId140" Type="http://schemas.openxmlformats.org/officeDocument/2006/relationships/hyperlink" Target="https://www.youtube.com/watch?v=2b97cvyH9sE" TargetMode="External"/><Relationship Id="rId145" Type="http://schemas.openxmlformats.org/officeDocument/2006/relationships/hyperlink" Target="https://www.youtube.com/watch?v=lKqa30WKWVk" TargetMode="External"/><Relationship Id="rId161" Type="http://schemas.openxmlformats.org/officeDocument/2006/relationships/hyperlink" Target="https://www.youtube.com/watch?v=D7KaRcUTQeE" TargetMode="External"/><Relationship Id="rId166" Type="http://schemas.openxmlformats.org/officeDocument/2006/relationships/hyperlink" Target="https://www.youtube.com/watch?v=YLJJJYOfSfc" TargetMode="External"/><Relationship Id="rId182" Type="http://schemas.openxmlformats.org/officeDocument/2006/relationships/hyperlink" Target="https://www.youtube.com/watch?v=Wab3-dsZohU" TargetMode="External"/><Relationship Id="rId187" Type="http://schemas.openxmlformats.org/officeDocument/2006/relationships/hyperlink" Target="https://www.youtube.com/watch?v=GaHtS9SUqh4" TargetMode="External"/><Relationship Id="rId217" Type="http://schemas.openxmlformats.org/officeDocument/2006/relationships/hyperlink" Target="https://www.youtube.com/watch?v=9efgcAjQe7E" TargetMode="External"/><Relationship Id="rId1" Type="http://schemas.openxmlformats.org/officeDocument/2006/relationships/hyperlink" Target="https://www.youtube.com/watch?v=gRVjAtPip0Y" TargetMode="External"/><Relationship Id="rId6" Type="http://schemas.openxmlformats.org/officeDocument/2006/relationships/hyperlink" Target="https://www.youtube.com/watch?v=La3xYT8MGks" TargetMode="External"/><Relationship Id="rId212" Type="http://schemas.openxmlformats.org/officeDocument/2006/relationships/hyperlink" Target="https://www.youtube.com/watch?v=XZV9IwluPjw" TargetMode="External"/><Relationship Id="rId233" Type="http://schemas.openxmlformats.org/officeDocument/2006/relationships/hyperlink" Target="https://www.youtube.com/watch?v=fo9L3jgI8Fw" TargetMode="External"/><Relationship Id="rId238" Type="http://schemas.openxmlformats.org/officeDocument/2006/relationships/hyperlink" Target="https://www.youtube.com/watch?v=_yBn_X_oOv8" TargetMode="External"/><Relationship Id="rId23" Type="http://schemas.openxmlformats.org/officeDocument/2006/relationships/hyperlink" Target="https://www.youtube.com/watch?v=bxQqbnF30-8" TargetMode="External"/><Relationship Id="rId28" Type="http://schemas.openxmlformats.org/officeDocument/2006/relationships/hyperlink" Target="https://www.youtube.com/watch?v=u69PdOXI9QA" TargetMode="External"/><Relationship Id="rId49" Type="http://schemas.openxmlformats.org/officeDocument/2006/relationships/hyperlink" Target="https://www.youtube.com/watch?v=WxAKPTOmYSw" TargetMode="External"/><Relationship Id="rId114" Type="http://schemas.openxmlformats.org/officeDocument/2006/relationships/hyperlink" Target="https://www.youtube.com/watch?v=BhtnaHGJa8w" TargetMode="External"/><Relationship Id="rId119" Type="http://schemas.openxmlformats.org/officeDocument/2006/relationships/hyperlink" Target="https://www.youtube.com/watch?v=Pbfj9xXFpm0" TargetMode="External"/><Relationship Id="rId44" Type="http://schemas.openxmlformats.org/officeDocument/2006/relationships/hyperlink" Target="https://www.youtube.com/watch?v=ugPIPY7j-GM" TargetMode="External"/><Relationship Id="rId60" Type="http://schemas.openxmlformats.org/officeDocument/2006/relationships/hyperlink" Target="https://www.youtube.com/watch?v=uiYOYMDiA44" TargetMode="External"/><Relationship Id="rId65" Type="http://schemas.openxmlformats.org/officeDocument/2006/relationships/hyperlink" Target="https://www.youtube.com/watch?v=kiuVA0gs3EI" TargetMode="External"/><Relationship Id="rId81" Type="http://schemas.openxmlformats.org/officeDocument/2006/relationships/hyperlink" Target="https://www.youtube.com/watch?v=jxYMhEjrQsM" TargetMode="External"/><Relationship Id="rId86" Type="http://schemas.openxmlformats.org/officeDocument/2006/relationships/hyperlink" Target="https://www.youtube.com/watch?v=jnfveKq1i3E" TargetMode="External"/><Relationship Id="rId130" Type="http://schemas.openxmlformats.org/officeDocument/2006/relationships/hyperlink" Target="https://www.youtube.com/watch?v=hdng3Nm1x_E" TargetMode="External"/><Relationship Id="rId135" Type="http://schemas.openxmlformats.org/officeDocument/2006/relationships/hyperlink" Target="https://www.youtube.com/watch?v=M4FojyRAcuE" TargetMode="External"/><Relationship Id="rId151" Type="http://schemas.openxmlformats.org/officeDocument/2006/relationships/hyperlink" Target="https://www.youtube.com/watch?v=smn5zko8Kpk" TargetMode="External"/><Relationship Id="rId156" Type="http://schemas.openxmlformats.org/officeDocument/2006/relationships/hyperlink" Target="https://www.youtube.com/watch?v=AHnX-aimA4E" TargetMode="External"/><Relationship Id="rId177" Type="http://schemas.openxmlformats.org/officeDocument/2006/relationships/hyperlink" Target="https://www.youtube.com/watch?v=amCU-ziHITM" TargetMode="External"/><Relationship Id="rId198" Type="http://schemas.openxmlformats.org/officeDocument/2006/relationships/hyperlink" Target="https://www.youtube.com/watch?v=AOpi-p0cJkc" TargetMode="External"/><Relationship Id="rId172" Type="http://schemas.openxmlformats.org/officeDocument/2006/relationships/hyperlink" Target="https://www.youtube.com/watch?v=W6FlyxQzw98" TargetMode="External"/><Relationship Id="rId193" Type="http://schemas.openxmlformats.org/officeDocument/2006/relationships/hyperlink" Target="https://www.youtube.com/watch?v=ph3pddpKzzw" TargetMode="External"/><Relationship Id="rId202" Type="http://schemas.openxmlformats.org/officeDocument/2006/relationships/hyperlink" Target="https://www.youtube.com/watch?v=y00_rMYk1Oc" TargetMode="External"/><Relationship Id="rId207" Type="http://schemas.openxmlformats.org/officeDocument/2006/relationships/hyperlink" Target="https://www.youtube.com/watch?v=EA7u4Q_8HQ0" TargetMode="External"/><Relationship Id="rId223" Type="http://schemas.openxmlformats.org/officeDocument/2006/relationships/hyperlink" Target="https://www.youtube.com/watch?v=jiA3RnMxFU0" TargetMode="External"/><Relationship Id="rId228" Type="http://schemas.openxmlformats.org/officeDocument/2006/relationships/hyperlink" Target="https://www.youtube.com/watch?v=w_Pplr0hI1s" TargetMode="External"/><Relationship Id="rId244" Type="http://schemas.openxmlformats.org/officeDocument/2006/relationships/vmlDrawing" Target="../drawings/vmlDrawing1.vml"/><Relationship Id="rId13" Type="http://schemas.openxmlformats.org/officeDocument/2006/relationships/hyperlink" Target="https://www.youtube.com/watch?v=Nk9I6dOCneI" TargetMode="External"/><Relationship Id="rId18" Type="http://schemas.openxmlformats.org/officeDocument/2006/relationships/hyperlink" Target="https://www.youtube.com/watch?v=wkD8rjkodUI" TargetMode="External"/><Relationship Id="rId39" Type="http://schemas.openxmlformats.org/officeDocument/2006/relationships/hyperlink" Target="https://www.youtube.com/watch?v=uFnx9sA_LCs" TargetMode="External"/><Relationship Id="rId109" Type="http://schemas.openxmlformats.org/officeDocument/2006/relationships/hyperlink" Target="https://www.youtube.com/watch?v=VBSKr9C4xdc" TargetMode="External"/><Relationship Id="rId34" Type="http://schemas.openxmlformats.org/officeDocument/2006/relationships/hyperlink" Target="https://www.youtube.com/watch?v=LfyQBUKR8SE" TargetMode="External"/><Relationship Id="rId50" Type="http://schemas.openxmlformats.org/officeDocument/2006/relationships/hyperlink" Target="https://www.youtube.com/watch?v=3VcKaXpzqRo" TargetMode="External"/><Relationship Id="rId55" Type="http://schemas.openxmlformats.org/officeDocument/2006/relationships/hyperlink" Target="https://www.youtube.com/watch?v=3R14MnZbcpw" TargetMode="External"/><Relationship Id="rId76" Type="http://schemas.openxmlformats.org/officeDocument/2006/relationships/hyperlink" Target="https://www.youtube.com/watch?v=wxVRe9pmJdk" TargetMode="External"/><Relationship Id="rId97" Type="http://schemas.openxmlformats.org/officeDocument/2006/relationships/hyperlink" Target="https://www.youtube.com/watch?v=uiH-2J85mzI" TargetMode="External"/><Relationship Id="rId104" Type="http://schemas.openxmlformats.org/officeDocument/2006/relationships/hyperlink" Target="https://www.youtube.com/watch?v=g-r5OWcsWdI" TargetMode="External"/><Relationship Id="rId120" Type="http://schemas.openxmlformats.org/officeDocument/2006/relationships/hyperlink" Target="https://www.youtube.com/watch?v=anSY8wZtnqk" TargetMode="External"/><Relationship Id="rId125" Type="http://schemas.openxmlformats.org/officeDocument/2006/relationships/hyperlink" Target="https://www.youtube.com/watch?v=DVXT7xBA_jU" TargetMode="External"/><Relationship Id="rId141" Type="http://schemas.openxmlformats.org/officeDocument/2006/relationships/hyperlink" Target="https://www.youtube.com/watch?v=pvnR8CDb4BU" TargetMode="External"/><Relationship Id="rId146" Type="http://schemas.openxmlformats.org/officeDocument/2006/relationships/hyperlink" Target="https://www.youtube.com/watch?v=jhKleTqfIrA" TargetMode="External"/><Relationship Id="rId167" Type="http://schemas.openxmlformats.org/officeDocument/2006/relationships/hyperlink" Target="https://www.youtube.com/watch?v=xSjmKTf4QbA" TargetMode="External"/><Relationship Id="rId188" Type="http://schemas.openxmlformats.org/officeDocument/2006/relationships/hyperlink" Target="https://www.youtube.com/watch?v=ScBgwqMrv3Q" TargetMode="External"/><Relationship Id="rId7" Type="http://schemas.openxmlformats.org/officeDocument/2006/relationships/hyperlink" Target="https://www.youtube.com/watch?v=m7RyKQV4XhE" TargetMode="External"/><Relationship Id="rId71" Type="http://schemas.openxmlformats.org/officeDocument/2006/relationships/hyperlink" Target="https://www.youtube.com/watch?v=sM6XUdt1rm4" TargetMode="External"/><Relationship Id="rId92" Type="http://schemas.openxmlformats.org/officeDocument/2006/relationships/hyperlink" Target="https://www.youtube.com/watch?v=sxQtmRXj6LY" TargetMode="External"/><Relationship Id="rId162" Type="http://schemas.openxmlformats.org/officeDocument/2006/relationships/hyperlink" Target="https://www.youtube.com/watch?v=0tn5K9NlCfo" TargetMode="External"/><Relationship Id="rId183" Type="http://schemas.openxmlformats.org/officeDocument/2006/relationships/hyperlink" Target="https://www.youtube.com/watch?v=ipwwB1LglGY" TargetMode="External"/><Relationship Id="rId213" Type="http://schemas.openxmlformats.org/officeDocument/2006/relationships/hyperlink" Target="https://www.youtube.com/watch?v=9hSQVBHLOX0" TargetMode="External"/><Relationship Id="rId218" Type="http://schemas.openxmlformats.org/officeDocument/2006/relationships/hyperlink" Target="https://www.youtube.com/watch?v=OvdT43CDk8k" TargetMode="External"/><Relationship Id="rId234" Type="http://schemas.openxmlformats.org/officeDocument/2006/relationships/hyperlink" Target="https://www.youtube.com/watch?v=Z57CtFmRMxA" TargetMode="External"/><Relationship Id="rId239" Type="http://schemas.openxmlformats.org/officeDocument/2006/relationships/hyperlink" Target="https://www.youtube.com/watch?v=_yBn_X_oOv8" TargetMode="External"/><Relationship Id="rId2" Type="http://schemas.openxmlformats.org/officeDocument/2006/relationships/hyperlink" Target="https://www.youtube.com/watch?v=VmB1G1K7v94" TargetMode="External"/><Relationship Id="rId29" Type="http://schemas.openxmlformats.org/officeDocument/2006/relationships/hyperlink" Target="https://www.youtube.com/watch?v=8iPEnn-ltC8" TargetMode="External"/><Relationship Id="rId24" Type="http://schemas.openxmlformats.org/officeDocument/2006/relationships/hyperlink" Target="https://www.youtube.com/watch?v=y90T12sTukg" TargetMode="External"/><Relationship Id="rId40" Type="http://schemas.openxmlformats.org/officeDocument/2006/relationships/hyperlink" Target="https://www.youtube.com/watch?v=fVPB3FN8OXg" TargetMode="External"/><Relationship Id="rId45" Type="http://schemas.openxmlformats.org/officeDocument/2006/relationships/hyperlink" Target="https://www.youtube.com/watch?v=hFo-LIkCozU" TargetMode="External"/><Relationship Id="rId66" Type="http://schemas.openxmlformats.org/officeDocument/2006/relationships/hyperlink" Target="https://www.youtube.com/watch?v=G-fG5lkuE-c" TargetMode="External"/><Relationship Id="rId87" Type="http://schemas.openxmlformats.org/officeDocument/2006/relationships/hyperlink" Target="https://www.youtube.com/watch?v=vznbfhHP7hc" TargetMode="External"/><Relationship Id="rId110" Type="http://schemas.openxmlformats.org/officeDocument/2006/relationships/hyperlink" Target="https://www.youtube.com/watch?v=GPBVNHl5cS8" TargetMode="External"/><Relationship Id="rId115" Type="http://schemas.openxmlformats.org/officeDocument/2006/relationships/hyperlink" Target="https://www.youtube.com/watch?v=3R81zuUD_L0" TargetMode="External"/><Relationship Id="rId131" Type="http://schemas.openxmlformats.org/officeDocument/2006/relationships/hyperlink" Target="https://www.youtube.com/watch?v=sHP9YgKNpgc" TargetMode="External"/><Relationship Id="rId136" Type="http://schemas.openxmlformats.org/officeDocument/2006/relationships/hyperlink" Target="https://www.youtube.com/watch?v=JbyjNymZOt0" TargetMode="External"/><Relationship Id="rId157" Type="http://schemas.openxmlformats.org/officeDocument/2006/relationships/hyperlink" Target="https://www.youtube.com/watch?v=v_c67Omje48" TargetMode="External"/><Relationship Id="rId178" Type="http://schemas.openxmlformats.org/officeDocument/2006/relationships/hyperlink" Target="https://www.youtube.com/watch?v=IhZLB48kluc" TargetMode="External"/><Relationship Id="rId61" Type="http://schemas.openxmlformats.org/officeDocument/2006/relationships/hyperlink" Target="https://www.youtube.com/watch?v=8E4oWpi0RkA" TargetMode="External"/><Relationship Id="rId82" Type="http://schemas.openxmlformats.org/officeDocument/2006/relationships/hyperlink" Target="https://www.youtube.com/watch?v=khyjpRPUEB0" TargetMode="External"/><Relationship Id="rId152" Type="http://schemas.openxmlformats.org/officeDocument/2006/relationships/hyperlink" Target="https://www.youtube.com/watch?v=YyvSfVjQeL0" TargetMode="External"/><Relationship Id="rId173" Type="http://schemas.openxmlformats.org/officeDocument/2006/relationships/hyperlink" Target="https://www.youtube.com/watch?v=MN9Nb1l9kJE" TargetMode="External"/><Relationship Id="rId194" Type="http://schemas.openxmlformats.org/officeDocument/2006/relationships/hyperlink" Target="https://www.youtube.com/watch?v=kwJeh3QyhVE" TargetMode="External"/><Relationship Id="rId199" Type="http://schemas.openxmlformats.org/officeDocument/2006/relationships/hyperlink" Target="https://www.youtube.com/watch?v=v_eJFvdAcUw" TargetMode="External"/><Relationship Id="rId203" Type="http://schemas.openxmlformats.org/officeDocument/2006/relationships/hyperlink" Target="https://www.youtube.com/watch?v=brhRXlOhsAM" TargetMode="External"/><Relationship Id="rId208" Type="http://schemas.openxmlformats.org/officeDocument/2006/relationships/hyperlink" Target="https://www.youtube.com/watch?v=ZED1DsQZhTs" TargetMode="External"/><Relationship Id="rId229" Type="http://schemas.openxmlformats.org/officeDocument/2006/relationships/hyperlink" Target="https://www.youtube.com/watch?v=0qHUUo3VJ3s" TargetMode="External"/><Relationship Id="rId19" Type="http://schemas.openxmlformats.org/officeDocument/2006/relationships/hyperlink" Target="https://www.youtube.com/watch?v=86NNY5U6jqk" TargetMode="External"/><Relationship Id="rId224" Type="http://schemas.openxmlformats.org/officeDocument/2006/relationships/hyperlink" Target="https://www.youtube.com/watch?v=J0DnG1_S92I" TargetMode="External"/><Relationship Id="rId240" Type="http://schemas.openxmlformats.org/officeDocument/2006/relationships/hyperlink" Target="https://youtu.be/rEWeG8jKnXU?t=34" TargetMode="External"/><Relationship Id="rId245" Type="http://schemas.openxmlformats.org/officeDocument/2006/relationships/table" Target="../tables/table1.xml"/><Relationship Id="rId14" Type="http://schemas.openxmlformats.org/officeDocument/2006/relationships/hyperlink" Target="https://www.youtube.com/watch?v=a-KqiYR7CZc" TargetMode="External"/><Relationship Id="rId30" Type="http://schemas.openxmlformats.org/officeDocument/2006/relationships/hyperlink" Target="https://www.youtube.com/watch?v=12zz4KCeGOQ" TargetMode="External"/><Relationship Id="rId35" Type="http://schemas.openxmlformats.org/officeDocument/2006/relationships/hyperlink" Target="https://www.youtube.com/watch?v=0xRvl4Qv3ZY" TargetMode="External"/><Relationship Id="rId56" Type="http://schemas.openxmlformats.org/officeDocument/2006/relationships/hyperlink" Target="https://www.youtube.com/watch?v=6eDlfTDb7Po" TargetMode="External"/><Relationship Id="rId77" Type="http://schemas.openxmlformats.org/officeDocument/2006/relationships/hyperlink" Target="https://www.youtube.com/watch?v=IgSjoXbpy1M" TargetMode="External"/><Relationship Id="rId100" Type="http://schemas.openxmlformats.org/officeDocument/2006/relationships/hyperlink" Target="https://www.youtube.com/watch?v=TwD-YGVP4Bk" TargetMode="External"/><Relationship Id="rId105" Type="http://schemas.openxmlformats.org/officeDocument/2006/relationships/hyperlink" Target="https://www.youtube.com/watch?v=fPithMwiwr8" TargetMode="External"/><Relationship Id="rId126" Type="http://schemas.openxmlformats.org/officeDocument/2006/relationships/hyperlink" Target="https://www.youtube.com/watch?v=FGLRgxgG084" TargetMode="External"/><Relationship Id="rId147" Type="http://schemas.openxmlformats.org/officeDocument/2006/relationships/hyperlink" Target="https://www.youtube.com/watch?v=0KEhga2e2r4" TargetMode="External"/><Relationship Id="rId168" Type="http://schemas.openxmlformats.org/officeDocument/2006/relationships/hyperlink" Target="https://www.youtube.com/watch?v=1v4r9hht_K4" TargetMode="External"/><Relationship Id="rId8" Type="http://schemas.openxmlformats.org/officeDocument/2006/relationships/hyperlink" Target="https://www.youtube.com/watch?v=m_ZPapmqeNM" TargetMode="External"/><Relationship Id="rId51" Type="http://schemas.openxmlformats.org/officeDocument/2006/relationships/hyperlink" Target="https://www.youtube.com/watch?v=oQJoK0a3h44" TargetMode="External"/><Relationship Id="rId72" Type="http://schemas.openxmlformats.org/officeDocument/2006/relationships/hyperlink" Target="https://www.youtube.com/watch?v=_gsUck-7M74" TargetMode="External"/><Relationship Id="rId93" Type="http://schemas.openxmlformats.org/officeDocument/2006/relationships/hyperlink" Target="https://www.youtube.com/watch?v=fIWP-FRFNU0" TargetMode="External"/><Relationship Id="rId98" Type="http://schemas.openxmlformats.org/officeDocument/2006/relationships/hyperlink" Target="https://www.youtube.com/watch?v=2NDonzv8grs" TargetMode="External"/><Relationship Id="rId121" Type="http://schemas.openxmlformats.org/officeDocument/2006/relationships/hyperlink" Target="https://www.youtube.com/watch?v=YcMj0EEadQo" TargetMode="External"/><Relationship Id="rId142" Type="http://schemas.openxmlformats.org/officeDocument/2006/relationships/hyperlink" Target="https://www.youtube.com/watch?v=lRwHnF_aJZ0" TargetMode="External"/><Relationship Id="rId163" Type="http://schemas.openxmlformats.org/officeDocument/2006/relationships/hyperlink" Target="https://www.youtube.com/watch?v=s9vZlsFPcmQ" TargetMode="External"/><Relationship Id="rId184" Type="http://schemas.openxmlformats.org/officeDocument/2006/relationships/hyperlink" Target="https://www.youtube.com/watch?v=NAqCVe2mwzM" TargetMode="External"/><Relationship Id="rId189" Type="http://schemas.openxmlformats.org/officeDocument/2006/relationships/hyperlink" Target="https://www.youtube.com/watch?v=_dBZ0bMxjug" TargetMode="External"/><Relationship Id="rId219" Type="http://schemas.openxmlformats.org/officeDocument/2006/relationships/hyperlink" Target="https://www.youtube.com/watch?v=-koP10y1qZI" TargetMode="External"/><Relationship Id="rId3" Type="http://schemas.openxmlformats.org/officeDocument/2006/relationships/hyperlink" Target="https://www.youtube.com/watch?v=ar-eEXkHLO4" TargetMode="External"/><Relationship Id="rId214" Type="http://schemas.openxmlformats.org/officeDocument/2006/relationships/hyperlink" Target="https://www.youtube.com/watch?v=8MKGArS7w7c" TargetMode="External"/><Relationship Id="rId230" Type="http://schemas.openxmlformats.org/officeDocument/2006/relationships/hyperlink" Target="https://www.youtube.com/watch?v=PdNca3B1afo" TargetMode="External"/><Relationship Id="rId235" Type="http://schemas.openxmlformats.org/officeDocument/2006/relationships/hyperlink" Target="https://www.youtube.com/watch?v=IMALXhhHRKM" TargetMode="External"/><Relationship Id="rId25" Type="http://schemas.openxmlformats.org/officeDocument/2006/relationships/hyperlink" Target="https://www.youtube.com/watch?v=FVWJglwid4I" TargetMode="External"/><Relationship Id="rId46" Type="http://schemas.openxmlformats.org/officeDocument/2006/relationships/hyperlink" Target="https://www.youtube.com/watch?v=siazAOww2Tc" TargetMode="External"/><Relationship Id="rId67" Type="http://schemas.openxmlformats.org/officeDocument/2006/relationships/hyperlink" Target="https://www.youtube.com/watch?v=YfDxCvoadsM" TargetMode="External"/><Relationship Id="rId116" Type="http://schemas.openxmlformats.org/officeDocument/2006/relationships/hyperlink" Target="https://www.youtube.com/watch?v=SFTn_VON9qw" TargetMode="External"/><Relationship Id="rId137" Type="http://schemas.openxmlformats.org/officeDocument/2006/relationships/hyperlink" Target="https://www.youtube.com/watch?v=ORT4oJ_R8Qs" TargetMode="External"/><Relationship Id="rId158" Type="http://schemas.openxmlformats.org/officeDocument/2006/relationships/hyperlink" Target="https://www.youtube.com/watch?v=NdNQ51TJPZw" TargetMode="External"/><Relationship Id="rId20" Type="http://schemas.openxmlformats.org/officeDocument/2006/relationships/hyperlink" Target="https://www.youtube.com/watch?v=_yBn_X_oOv8" TargetMode="External"/><Relationship Id="rId41" Type="http://schemas.openxmlformats.org/officeDocument/2006/relationships/hyperlink" Target="https://www.youtube.com/watch?v=25g1bRCOoHc" TargetMode="External"/><Relationship Id="rId62" Type="http://schemas.openxmlformats.org/officeDocument/2006/relationships/hyperlink" Target="https://www.youtube.com/watch?v=TacMZ7g6OIw" TargetMode="External"/><Relationship Id="rId83" Type="http://schemas.openxmlformats.org/officeDocument/2006/relationships/hyperlink" Target="https://www.youtube.com/watch?v=5_n3gVeGEqc" TargetMode="External"/><Relationship Id="rId88" Type="http://schemas.openxmlformats.org/officeDocument/2006/relationships/hyperlink" Target="https://www.youtube.com/watch?v=MkSxYPEnpws" TargetMode="External"/><Relationship Id="rId111" Type="http://schemas.openxmlformats.org/officeDocument/2006/relationships/hyperlink" Target="https://www.youtube.com/watch?v=DQ6QuvPll8U" TargetMode="External"/><Relationship Id="rId132" Type="http://schemas.openxmlformats.org/officeDocument/2006/relationships/hyperlink" Target="https://www.youtube.com/watch?v=JB2oyawG9KI" TargetMode="External"/><Relationship Id="rId153" Type="http://schemas.openxmlformats.org/officeDocument/2006/relationships/hyperlink" Target="https://www.youtube.com/watch?v=R1VNNkSHI9I" TargetMode="External"/><Relationship Id="rId174" Type="http://schemas.openxmlformats.org/officeDocument/2006/relationships/hyperlink" Target="https://www.youtube.com/watch?v=e8my9OOCXVo" TargetMode="External"/><Relationship Id="rId179" Type="http://schemas.openxmlformats.org/officeDocument/2006/relationships/hyperlink" Target="https://www.youtube.com/watch?v=vcXkzN6QXbk" TargetMode="External"/><Relationship Id="rId195" Type="http://schemas.openxmlformats.org/officeDocument/2006/relationships/hyperlink" Target="https://www.youtube.com/watch?v=kwJeh3QyhVE" TargetMode="External"/><Relationship Id="rId209" Type="http://schemas.openxmlformats.org/officeDocument/2006/relationships/hyperlink" Target="https://www.youtube.com/watch?v=vw5Xmu5CIew" TargetMode="External"/><Relationship Id="rId190" Type="http://schemas.openxmlformats.org/officeDocument/2006/relationships/hyperlink" Target="https://www.youtube.com/watch?v=u0N7gkePfwI&amp;t=35s" TargetMode="External"/><Relationship Id="rId204" Type="http://schemas.openxmlformats.org/officeDocument/2006/relationships/hyperlink" Target="https://www.youtube.com/watch?v=ar-eEXkHLO4" TargetMode="External"/><Relationship Id="rId220" Type="http://schemas.openxmlformats.org/officeDocument/2006/relationships/hyperlink" Target="https://www.youtube.com/watch?v=hZzJJ0HJbvw" TargetMode="External"/><Relationship Id="rId225" Type="http://schemas.openxmlformats.org/officeDocument/2006/relationships/hyperlink" Target="https://www.youtube.com/watch?v=IODxDxX7oi4" TargetMode="External"/><Relationship Id="rId241" Type="http://schemas.openxmlformats.org/officeDocument/2006/relationships/hyperlink" Target="https://www.youtube.com/watch?v=i7m0NQz7Pb8" TargetMode="External"/><Relationship Id="rId246" Type="http://schemas.openxmlformats.org/officeDocument/2006/relationships/comments" Target="../comments1.xml"/><Relationship Id="rId15" Type="http://schemas.openxmlformats.org/officeDocument/2006/relationships/hyperlink" Target="https://www.youtube.com/watch?v=dgbhiejP7oI" TargetMode="External"/><Relationship Id="rId36" Type="http://schemas.openxmlformats.org/officeDocument/2006/relationships/hyperlink" Target="https://www.youtube.com/watch?v=1YzqOUeCLLE" TargetMode="External"/><Relationship Id="rId57" Type="http://schemas.openxmlformats.org/officeDocument/2006/relationships/hyperlink" Target="https://www.youtube.com/watch?v=MPvZGsMsCmw" TargetMode="External"/><Relationship Id="rId106" Type="http://schemas.openxmlformats.org/officeDocument/2006/relationships/hyperlink" Target="https://www.youtube.com/watch?v=bjyNm0PIc9U" TargetMode="External"/><Relationship Id="rId127" Type="http://schemas.openxmlformats.org/officeDocument/2006/relationships/hyperlink" Target="https://www.youtube.com/watch?v=YEf3DVebjcU" TargetMode="External"/><Relationship Id="rId10" Type="http://schemas.openxmlformats.org/officeDocument/2006/relationships/hyperlink" Target="https://www.youtube.com/watch?v=MeIiIdhvXT4" TargetMode="External"/><Relationship Id="rId31" Type="http://schemas.openxmlformats.org/officeDocument/2006/relationships/hyperlink" Target="https://www.youtube.com/watch?v=xUm0BiZCWlQ" TargetMode="External"/><Relationship Id="rId52" Type="http://schemas.openxmlformats.org/officeDocument/2006/relationships/hyperlink" Target="https://www.youtube.com/watch?v=6Z15_WdXmVw" TargetMode="External"/><Relationship Id="rId73" Type="http://schemas.openxmlformats.org/officeDocument/2006/relationships/hyperlink" Target="https://www.youtube.com/watch?v=cBt1X8fwKKc" TargetMode="External"/><Relationship Id="rId78" Type="http://schemas.openxmlformats.org/officeDocument/2006/relationships/hyperlink" Target="https://www.youtube.com/watch?v=NIWKqcmpBug" TargetMode="External"/><Relationship Id="rId94" Type="http://schemas.openxmlformats.org/officeDocument/2006/relationships/hyperlink" Target="https://www.youtube.com/watch?v=0AUGkch3tzc" TargetMode="External"/><Relationship Id="rId99" Type="http://schemas.openxmlformats.org/officeDocument/2006/relationships/hyperlink" Target="https://www.youtube.com/watch?v=sAq_ocpRh_I" TargetMode="External"/><Relationship Id="rId101" Type="http://schemas.openxmlformats.org/officeDocument/2006/relationships/hyperlink" Target="https://www.youtube.com/watch?v=ZrpRBgswtHs" TargetMode="External"/><Relationship Id="rId122" Type="http://schemas.openxmlformats.org/officeDocument/2006/relationships/hyperlink" Target="https://www.youtube.com/watch?v=lmSP-c1X_iY" TargetMode="External"/><Relationship Id="rId143" Type="http://schemas.openxmlformats.org/officeDocument/2006/relationships/hyperlink" Target="https://www.youtube.com/watch?v=kMv0HWdBfpM" TargetMode="External"/><Relationship Id="rId148" Type="http://schemas.openxmlformats.org/officeDocument/2006/relationships/hyperlink" Target="https://www.youtube.com/watch?v=Zp26q4BY5HE" TargetMode="External"/><Relationship Id="rId164" Type="http://schemas.openxmlformats.org/officeDocument/2006/relationships/hyperlink" Target="https://www.youtube.com/watch?v=IZxyjW7MPJQ" TargetMode="External"/><Relationship Id="rId169" Type="http://schemas.openxmlformats.org/officeDocument/2006/relationships/hyperlink" Target="https://www.youtube.com/watch?v=YHdektUDKfo" TargetMode="External"/><Relationship Id="rId185" Type="http://schemas.openxmlformats.org/officeDocument/2006/relationships/hyperlink" Target="https://www.youtube.com/watch?v=cJRVVxmytaM" TargetMode="External"/><Relationship Id="rId4" Type="http://schemas.openxmlformats.org/officeDocument/2006/relationships/hyperlink" Target="https://www.youtube.com/watch?v=ar-eEXkHLO4" TargetMode="External"/><Relationship Id="rId9" Type="http://schemas.openxmlformats.org/officeDocument/2006/relationships/hyperlink" Target="https://www.youtube.com/watch?v=7Aqeb8UHl4k" TargetMode="External"/><Relationship Id="rId180" Type="http://schemas.openxmlformats.org/officeDocument/2006/relationships/hyperlink" Target="https://www.youtube.com/watch?v=UKw0LNPUvlc" TargetMode="External"/><Relationship Id="rId210" Type="http://schemas.openxmlformats.org/officeDocument/2006/relationships/hyperlink" Target="https://www.youtube.com/watch?v=Fpk1a_PxEw4" TargetMode="External"/><Relationship Id="rId215" Type="http://schemas.openxmlformats.org/officeDocument/2006/relationships/hyperlink" Target="https://www.youtube.com/watch?v=CrylzZHfO1c" TargetMode="External"/><Relationship Id="rId236" Type="http://schemas.openxmlformats.org/officeDocument/2006/relationships/hyperlink" Target="https://www.youtube.com/watch?v=ajdFwa-qM98" TargetMode="External"/><Relationship Id="rId26" Type="http://schemas.openxmlformats.org/officeDocument/2006/relationships/hyperlink" Target="https://www.youtube.com/watch?v=1DK6qYRFurw" TargetMode="External"/><Relationship Id="rId231" Type="http://schemas.openxmlformats.org/officeDocument/2006/relationships/hyperlink" Target="https://www.youtube.com/watch?v=TR4FdOs_7PY" TargetMode="External"/><Relationship Id="rId47" Type="http://schemas.openxmlformats.org/officeDocument/2006/relationships/hyperlink" Target="https://www.youtube.com/watch?v=v7WRsQDjsEc" TargetMode="External"/><Relationship Id="rId68" Type="http://schemas.openxmlformats.org/officeDocument/2006/relationships/hyperlink" Target="https://www.youtube.com/watch?v=2-LAMcpzODU" TargetMode="External"/><Relationship Id="rId89" Type="http://schemas.openxmlformats.org/officeDocument/2006/relationships/hyperlink" Target="https://www.youtube.com/watch?v=NFzTWp2qpiE" TargetMode="External"/><Relationship Id="rId112" Type="http://schemas.openxmlformats.org/officeDocument/2006/relationships/hyperlink" Target="https://www.youtube.com/watch?v=iP2fjvG0g3w" TargetMode="External"/><Relationship Id="rId133" Type="http://schemas.openxmlformats.org/officeDocument/2006/relationships/hyperlink" Target="https://www.youtube.com/watch?v=nxFgeTpBP6s" TargetMode="External"/><Relationship Id="rId154" Type="http://schemas.openxmlformats.org/officeDocument/2006/relationships/hyperlink" Target="https://www.youtube.com/watch?v=wmpz7JQ5EJ8" TargetMode="External"/><Relationship Id="rId175" Type="http://schemas.openxmlformats.org/officeDocument/2006/relationships/hyperlink" Target="https://www.youtube.com/watch?v=otPzfO9P3d4" TargetMode="External"/><Relationship Id="rId196" Type="http://schemas.openxmlformats.org/officeDocument/2006/relationships/hyperlink" Target="https://www.youtube.com/watch?v=SUEvPczIlWA" TargetMode="External"/><Relationship Id="rId200" Type="http://schemas.openxmlformats.org/officeDocument/2006/relationships/hyperlink" Target="https://www.youtube.com/watch?v=ROxoibEv2hI" TargetMode="External"/><Relationship Id="rId16" Type="http://schemas.openxmlformats.org/officeDocument/2006/relationships/hyperlink" Target="https://www.youtube.com/watch?v=jy2zjpcrtAI" TargetMode="External"/><Relationship Id="rId221" Type="http://schemas.openxmlformats.org/officeDocument/2006/relationships/hyperlink" Target="https://www.youtube.com/watch?v=nF7iK4DE0eM" TargetMode="External"/><Relationship Id="rId242" Type="http://schemas.openxmlformats.org/officeDocument/2006/relationships/printerSettings" Target="../printerSettings/printerSettings1.bin"/><Relationship Id="rId37" Type="http://schemas.openxmlformats.org/officeDocument/2006/relationships/hyperlink" Target="https://www.youtube.com/watch?v=A6XjVGy84UU" TargetMode="External"/><Relationship Id="rId58" Type="http://schemas.openxmlformats.org/officeDocument/2006/relationships/hyperlink" Target="https://www.youtube.com/watch?v=3GNIashFZO4" TargetMode="External"/><Relationship Id="rId79" Type="http://schemas.openxmlformats.org/officeDocument/2006/relationships/hyperlink" Target="https://www.youtube.com/watch?v=YbX7Wd8jQ-Q" TargetMode="External"/><Relationship Id="rId102" Type="http://schemas.openxmlformats.org/officeDocument/2006/relationships/hyperlink" Target="https://www.youtube.com/watch?v=av7-8igSXTs" TargetMode="External"/><Relationship Id="rId123" Type="http://schemas.openxmlformats.org/officeDocument/2006/relationships/hyperlink" Target="https://www.youtube.com/watch?v=wS4OsJ4yzx4" TargetMode="External"/><Relationship Id="rId144" Type="http://schemas.openxmlformats.org/officeDocument/2006/relationships/hyperlink" Target="https://www.youtube.com/watch?v=GmRSV_n2E_0" TargetMode="External"/><Relationship Id="rId90" Type="http://schemas.openxmlformats.org/officeDocument/2006/relationships/hyperlink" Target="https://www.youtube.com/watch?v=NfBrTXT1f7Q" TargetMode="External"/><Relationship Id="rId165" Type="http://schemas.openxmlformats.org/officeDocument/2006/relationships/hyperlink" Target="https://www.youtube.com/watch?v=1Tq3QdYUuHs" TargetMode="External"/><Relationship Id="rId186" Type="http://schemas.openxmlformats.org/officeDocument/2006/relationships/hyperlink" Target="https://www.youtube.com/watch?v=cT5_GyOXIgE" TargetMode="External"/><Relationship Id="rId211" Type="http://schemas.openxmlformats.org/officeDocument/2006/relationships/hyperlink" Target="https://www.youtube.com/watch?v=utTuYn6ncGE" TargetMode="External"/><Relationship Id="rId232" Type="http://schemas.openxmlformats.org/officeDocument/2006/relationships/hyperlink" Target="https://www.youtube.com/watch?v=Rrta_LRJPiA&amp;t=5s" TargetMode="External"/><Relationship Id="rId27" Type="http://schemas.openxmlformats.org/officeDocument/2006/relationships/hyperlink" Target="https://www.youtube.com/watch?v=R3mrlFvle1A" TargetMode="External"/><Relationship Id="rId48" Type="http://schemas.openxmlformats.org/officeDocument/2006/relationships/hyperlink" Target="https://www.youtube.com/watch?v=PPrzBWZDOhA" TargetMode="External"/><Relationship Id="rId69" Type="http://schemas.openxmlformats.org/officeDocument/2006/relationships/hyperlink" Target="https://www.youtube.com/watch?v=YFnVxMk5MEs" TargetMode="External"/><Relationship Id="rId113" Type="http://schemas.openxmlformats.org/officeDocument/2006/relationships/hyperlink" Target="https://www.youtube.com/watch?v=Xyd_fa5zoEU" TargetMode="External"/><Relationship Id="rId134" Type="http://schemas.openxmlformats.org/officeDocument/2006/relationships/hyperlink" Target="https://www.youtube.com/watch?v=rh8L34lAKC0" TargetMode="External"/><Relationship Id="rId80" Type="http://schemas.openxmlformats.org/officeDocument/2006/relationships/hyperlink" Target="https://www.youtube.com/watch?v=R6SdxvZGK5s" TargetMode="External"/><Relationship Id="rId155" Type="http://schemas.openxmlformats.org/officeDocument/2006/relationships/hyperlink" Target="https://www.youtube.com/watch?v=VEQZeeEAHCM" TargetMode="External"/><Relationship Id="rId176" Type="http://schemas.openxmlformats.org/officeDocument/2006/relationships/hyperlink" Target="https://www.youtube.com/watch?v=9Q-j2tPu2Sk" TargetMode="External"/><Relationship Id="rId197" Type="http://schemas.openxmlformats.org/officeDocument/2006/relationships/hyperlink" Target="https://www.youtube.com/watch?v=QAMQz8lsPC8"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1CA17-0208-4D9D-ADD0-65DBC8DF44BD}">
  <sheetPr codeName="Hoja1"/>
  <dimension ref="B1:W500"/>
  <sheetViews>
    <sheetView topLeftCell="A49" zoomScale="85" zoomScaleNormal="85" zoomScaleSheetLayoutView="100" workbookViewId="0">
      <selection activeCell="H5" sqref="H5:Q26"/>
    </sheetView>
  </sheetViews>
  <sheetFormatPr baseColWidth="10" defaultColWidth="9.140625" defaultRowHeight="15" x14ac:dyDescent="0.25"/>
  <cols>
    <col min="1" max="1" width="3.7109375" customWidth="1"/>
    <col min="2" max="2" width="38.5703125" customWidth="1"/>
    <col min="3" max="3" width="19" customWidth="1"/>
    <col min="4" max="4" width="14.42578125" customWidth="1"/>
    <col min="5" max="5" width="18.140625" customWidth="1"/>
    <col min="6" max="6" width="35.28515625" customWidth="1"/>
    <col min="7" max="7" width="37.85546875" customWidth="1"/>
    <col min="8" max="8" width="24" customWidth="1"/>
    <col min="9" max="9" width="6.42578125" customWidth="1"/>
    <col min="10" max="10" width="7.28515625" customWidth="1"/>
    <col min="11" max="11" width="6.140625" customWidth="1"/>
    <col min="12" max="12" width="6.5703125" customWidth="1"/>
    <col min="13" max="13" width="6.28515625" customWidth="1"/>
    <col min="14" max="14" width="6.5703125" customWidth="1"/>
    <col min="15" max="15" width="7.42578125" customWidth="1"/>
    <col min="16" max="16" width="10" customWidth="1"/>
    <col min="18" max="18" width="9.85546875" customWidth="1"/>
    <col min="19" max="19" width="9.7109375" customWidth="1"/>
  </cols>
  <sheetData>
    <row r="1" spans="2:23" ht="15.75" thickBot="1" x14ac:dyDescent="0.3"/>
    <row r="2" spans="2:23" ht="15" customHeight="1" x14ac:dyDescent="0.25">
      <c r="B2" s="77" t="s">
        <v>0</v>
      </c>
      <c r="C2" s="78"/>
      <c r="D2" s="78"/>
      <c r="E2" s="78"/>
      <c r="F2" s="78"/>
      <c r="G2" s="79"/>
      <c r="H2" s="63" t="s">
        <v>1</v>
      </c>
      <c r="I2" s="64"/>
      <c r="J2" s="64"/>
      <c r="K2" s="64"/>
      <c r="L2" s="64"/>
      <c r="M2" s="64"/>
      <c r="N2" s="64"/>
      <c r="O2" s="64"/>
      <c r="P2" s="64"/>
      <c r="Q2" s="65"/>
      <c r="R2" s="95" t="s">
        <v>713</v>
      </c>
      <c r="S2" s="164"/>
      <c r="T2" s="164"/>
      <c r="U2" s="164"/>
      <c r="V2" s="164"/>
      <c r="W2" s="165"/>
    </row>
    <row r="3" spans="2:23" ht="15" customHeight="1" thickBot="1" x14ac:dyDescent="0.3">
      <c r="B3" s="80"/>
      <c r="C3" s="81"/>
      <c r="D3" s="81"/>
      <c r="E3" s="81"/>
      <c r="F3" s="81"/>
      <c r="G3" s="82"/>
      <c r="H3" s="66"/>
      <c r="I3" s="67"/>
      <c r="J3" s="67"/>
      <c r="K3" s="67"/>
      <c r="L3" s="67"/>
      <c r="M3" s="67"/>
      <c r="N3" s="67"/>
      <c r="O3" s="67"/>
      <c r="P3" s="67"/>
      <c r="Q3" s="68"/>
      <c r="R3" s="166"/>
      <c r="S3" s="167"/>
      <c r="T3" s="167"/>
      <c r="U3" s="167"/>
      <c r="V3" s="167"/>
      <c r="W3" s="168"/>
    </row>
    <row r="4" spans="2:23" ht="16.5" thickBot="1" x14ac:dyDescent="0.3">
      <c r="B4" s="58" t="s">
        <v>2</v>
      </c>
      <c r="C4" s="61"/>
      <c r="D4" s="61"/>
      <c r="E4" s="61"/>
      <c r="F4" s="61"/>
      <c r="G4" s="62"/>
      <c r="H4" s="69"/>
      <c r="I4" s="70"/>
      <c r="J4" s="70"/>
      <c r="K4" s="70"/>
      <c r="L4" s="70"/>
      <c r="M4" s="70"/>
      <c r="N4" s="70"/>
      <c r="O4" s="70"/>
      <c r="P4" s="70"/>
      <c r="Q4" s="71"/>
      <c r="R4" s="169"/>
      <c r="S4" s="170"/>
      <c r="T4" s="170"/>
      <c r="U4" s="170"/>
      <c r="V4" s="170"/>
      <c r="W4" s="171"/>
    </row>
    <row r="5" spans="2:23" ht="36" customHeight="1" x14ac:dyDescent="0.25">
      <c r="B5" s="49" t="s">
        <v>716</v>
      </c>
      <c r="C5" s="50"/>
      <c r="D5" s="50"/>
      <c r="E5" s="50"/>
      <c r="F5" s="50"/>
      <c r="G5" s="51"/>
      <c r="H5" s="175" t="s">
        <v>717</v>
      </c>
      <c r="I5" s="176"/>
      <c r="J5" s="176"/>
      <c r="K5" s="176"/>
      <c r="L5" s="176"/>
      <c r="M5" s="176"/>
      <c r="N5" s="176"/>
      <c r="O5" s="176"/>
      <c r="P5" s="176"/>
      <c r="Q5" s="177"/>
      <c r="R5" s="49" t="s">
        <v>714</v>
      </c>
      <c r="S5" s="50"/>
      <c r="T5" s="50"/>
      <c r="U5" s="50"/>
      <c r="V5" s="50"/>
      <c r="W5" s="51"/>
    </row>
    <row r="6" spans="2:23" ht="36" customHeight="1" x14ac:dyDescent="0.25">
      <c r="B6" s="52"/>
      <c r="C6" s="53"/>
      <c r="D6" s="53"/>
      <c r="E6" s="53"/>
      <c r="F6" s="53"/>
      <c r="G6" s="54"/>
      <c r="H6" s="73"/>
      <c r="I6" s="174"/>
      <c r="J6" s="174"/>
      <c r="K6" s="174"/>
      <c r="L6" s="174"/>
      <c r="M6" s="174"/>
      <c r="N6" s="174"/>
      <c r="O6" s="174"/>
      <c r="P6" s="174"/>
      <c r="Q6" s="72"/>
      <c r="R6" s="52"/>
      <c r="S6" s="173"/>
      <c r="T6" s="173"/>
      <c r="U6" s="173"/>
      <c r="V6" s="173"/>
      <c r="W6" s="54"/>
    </row>
    <row r="7" spans="2:23" ht="36" customHeight="1" x14ac:dyDescent="0.25">
      <c r="B7" s="52"/>
      <c r="C7" s="53"/>
      <c r="D7" s="53"/>
      <c r="E7" s="53"/>
      <c r="F7" s="53"/>
      <c r="G7" s="54"/>
      <c r="H7" s="73"/>
      <c r="I7" s="174"/>
      <c r="J7" s="174"/>
      <c r="K7" s="174"/>
      <c r="L7" s="174"/>
      <c r="M7" s="174"/>
      <c r="N7" s="174"/>
      <c r="O7" s="174"/>
      <c r="P7" s="174"/>
      <c r="Q7" s="72"/>
      <c r="R7" s="52"/>
      <c r="S7" s="173"/>
      <c r="T7" s="173"/>
      <c r="U7" s="173"/>
      <c r="V7" s="173"/>
      <c r="W7" s="54"/>
    </row>
    <row r="8" spans="2:23" ht="36" customHeight="1" x14ac:dyDescent="0.25">
      <c r="B8" s="52"/>
      <c r="C8" s="53"/>
      <c r="D8" s="53"/>
      <c r="E8" s="53"/>
      <c r="F8" s="53"/>
      <c r="G8" s="54"/>
      <c r="H8" s="73"/>
      <c r="I8" s="174"/>
      <c r="J8" s="174"/>
      <c r="K8" s="174"/>
      <c r="L8" s="174"/>
      <c r="M8" s="174"/>
      <c r="N8" s="174"/>
      <c r="O8" s="174"/>
      <c r="P8" s="174"/>
      <c r="Q8" s="72"/>
      <c r="R8" s="52"/>
      <c r="S8" s="173"/>
      <c r="T8" s="173"/>
      <c r="U8" s="173"/>
      <c r="V8" s="173"/>
      <c r="W8" s="54"/>
    </row>
    <row r="9" spans="2:23" ht="36" customHeight="1" x14ac:dyDescent="0.25">
      <c r="B9" s="52"/>
      <c r="C9" s="53"/>
      <c r="D9" s="53"/>
      <c r="E9" s="53"/>
      <c r="F9" s="53"/>
      <c r="G9" s="54"/>
      <c r="H9" s="73"/>
      <c r="I9" s="174"/>
      <c r="J9" s="174"/>
      <c r="K9" s="174"/>
      <c r="L9" s="174"/>
      <c r="M9" s="174"/>
      <c r="N9" s="174"/>
      <c r="O9" s="174"/>
      <c r="P9" s="174"/>
      <c r="Q9" s="72"/>
      <c r="R9" s="52"/>
      <c r="S9" s="173"/>
      <c r="T9" s="173"/>
      <c r="U9" s="173"/>
      <c r="V9" s="173"/>
      <c r="W9" s="54"/>
    </row>
    <row r="10" spans="2:23" ht="36" customHeight="1" x14ac:dyDescent="0.25">
      <c r="B10" s="52"/>
      <c r="C10" s="53"/>
      <c r="D10" s="53"/>
      <c r="E10" s="53"/>
      <c r="F10" s="53"/>
      <c r="G10" s="54"/>
      <c r="H10" s="73"/>
      <c r="I10" s="174"/>
      <c r="J10" s="174"/>
      <c r="K10" s="174"/>
      <c r="L10" s="174"/>
      <c r="M10" s="174"/>
      <c r="N10" s="174"/>
      <c r="O10" s="174"/>
      <c r="P10" s="174"/>
      <c r="Q10" s="72"/>
      <c r="R10" s="52"/>
      <c r="S10" s="173"/>
      <c r="T10" s="173"/>
      <c r="U10" s="173"/>
      <c r="V10" s="173"/>
      <c r="W10" s="54"/>
    </row>
    <row r="11" spans="2:23" ht="36" customHeight="1" x14ac:dyDescent="0.25">
      <c r="B11" s="52"/>
      <c r="C11" s="53"/>
      <c r="D11" s="53"/>
      <c r="E11" s="53"/>
      <c r="F11" s="53"/>
      <c r="G11" s="54"/>
      <c r="H11" s="73"/>
      <c r="I11" s="174"/>
      <c r="J11" s="174"/>
      <c r="K11" s="174"/>
      <c r="L11" s="174"/>
      <c r="M11" s="174"/>
      <c r="N11" s="174"/>
      <c r="O11" s="174"/>
      <c r="P11" s="174"/>
      <c r="Q11" s="72"/>
      <c r="R11" s="52"/>
      <c r="S11" s="173"/>
      <c r="T11" s="173"/>
      <c r="U11" s="173"/>
      <c r="V11" s="173"/>
      <c r="W11" s="54"/>
    </row>
    <row r="12" spans="2:23" ht="36" customHeight="1" x14ac:dyDescent="0.25">
      <c r="B12" s="52"/>
      <c r="C12" s="53"/>
      <c r="D12" s="53"/>
      <c r="E12" s="53"/>
      <c r="F12" s="53"/>
      <c r="G12" s="54"/>
      <c r="H12" s="73"/>
      <c r="I12" s="174"/>
      <c r="J12" s="174"/>
      <c r="K12" s="174"/>
      <c r="L12" s="174"/>
      <c r="M12" s="174"/>
      <c r="N12" s="174"/>
      <c r="O12" s="174"/>
      <c r="P12" s="174"/>
      <c r="Q12" s="72"/>
      <c r="R12" s="52"/>
      <c r="S12" s="173"/>
      <c r="T12" s="173"/>
      <c r="U12" s="173"/>
      <c r="V12" s="173"/>
      <c r="W12" s="54"/>
    </row>
    <row r="13" spans="2:23" ht="36" customHeight="1" x14ac:dyDescent="0.25">
      <c r="B13" s="52"/>
      <c r="C13" s="53"/>
      <c r="D13" s="53"/>
      <c r="E13" s="53"/>
      <c r="F13" s="53"/>
      <c r="G13" s="54"/>
      <c r="H13" s="73"/>
      <c r="I13" s="174"/>
      <c r="J13" s="174"/>
      <c r="K13" s="174"/>
      <c r="L13" s="174"/>
      <c r="M13" s="174"/>
      <c r="N13" s="174"/>
      <c r="O13" s="174"/>
      <c r="P13" s="174"/>
      <c r="Q13" s="72"/>
      <c r="R13" s="52"/>
      <c r="S13" s="173"/>
      <c r="T13" s="173"/>
      <c r="U13" s="173"/>
      <c r="V13" s="173"/>
      <c r="W13" s="54"/>
    </row>
    <row r="14" spans="2:23" ht="36" customHeight="1" x14ac:dyDescent="0.25">
      <c r="B14" s="52"/>
      <c r="C14" s="53"/>
      <c r="D14" s="53"/>
      <c r="E14" s="53"/>
      <c r="F14" s="53"/>
      <c r="G14" s="54"/>
      <c r="H14" s="73"/>
      <c r="I14" s="174"/>
      <c r="J14" s="174"/>
      <c r="K14" s="174"/>
      <c r="L14" s="174"/>
      <c r="M14" s="174"/>
      <c r="N14" s="174"/>
      <c r="O14" s="174"/>
      <c r="P14" s="174"/>
      <c r="Q14" s="72"/>
      <c r="R14" s="52"/>
      <c r="S14" s="173"/>
      <c r="T14" s="173"/>
      <c r="U14" s="173"/>
      <c r="V14" s="173"/>
      <c r="W14" s="54"/>
    </row>
    <row r="15" spans="2:23" ht="36" customHeight="1" x14ac:dyDescent="0.25">
      <c r="B15" s="52"/>
      <c r="C15" s="53"/>
      <c r="D15" s="53"/>
      <c r="E15" s="53"/>
      <c r="F15" s="53"/>
      <c r="G15" s="54"/>
      <c r="H15" s="73"/>
      <c r="I15" s="174"/>
      <c r="J15" s="174"/>
      <c r="K15" s="174"/>
      <c r="L15" s="174"/>
      <c r="M15" s="174"/>
      <c r="N15" s="174"/>
      <c r="O15" s="174"/>
      <c r="P15" s="174"/>
      <c r="Q15" s="72"/>
      <c r="R15" s="52"/>
      <c r="S15" s="173"/>
      <c r="T15" s="173"/>
      <c r="U15" s="173"/>
      <c r="V15" s="173"/>
      <c r="W15" s="54"/>
    </row>
    <row r="16" spans="2:23" ht="36" customHeight="1" thickBot="1" x14ac:dyDescent="0.3">
      <c r="B16" s="52"/>
      <c r="C16" s="53"/>
      <c r="D16" s="53"/>
      <c r="E16" s="53"/>
      <c r="F16" s="53"/>
      <c r="G16" s="54"/>
      <c r="H16" s="73"/>
      <c r="I16" s="174"/>
      <c r="J16" s="174"/>
      <c r="K16" s="174"/>
      <c r="L16" s="174"/>
      <c r="M16" s="174"/>
      <c r="N16" s="174"/>
      <c r="O16" s="174"/>
      <c r="P16" s="174"/>
      <c r="Q16" s="72"/>
      <c r="R16" s="55"/>
      <c r="S16" s="56"/>
      <c r="T16" s="56"/>
      <c r="U16" s="56"/>
      <c r="V16" s="56"/>
      <c r="W16" s="57"/>
    </row>
    <row r="17" spans="2:23" ht="36" customHeight="1" x14ac:dyDescent="0.25">
      <c r="B17" s="52"/>
      <c r="C17" s="53"/>
      <c r="D17" s="53"/>
      <c r="E17" s="53"/>
      <c r="F17" s="53"/>
      <c r="G17" s="54"/>
      <c r="H17" s="73"/>
      <c r="I17" s="174"/>
      <c r="J17" s="174"/>
      <c r="K17" s="174"/>
      <c r="L17" s="174"/>
      <c r="M17" s="174"/>
      <c r="N17" s="174"/>
      <c r="O17" s="174"/>
      <c r="P17" s="174"/>
      <c r="Q17" s="72"/>
      <c r="R17" s="172"/>
      <c r="S17" s="172"/>
      <c r="T17" s="172"/>
      <c r="U17" s="172"/>
      <c r="V17" s="172"/>
      <c r="W17" s="172"/>
    </row>
    <row r="18" spans="2:23" ht="36" customHeight="1" x14ac:dyDescent="0.25">
      <c r="B18" s="52"/>
      <c r="C18" s="53"/>
      <c r="D18" s="53"/>
      <c r="E18" s="53"/>
      <c r="F18" s="53"/>
      <c r="G18" s="54"/>
      <c r="H18" s="73"/>
      <c r="I18" s="174"/>
      <c r="J18" s="174"/>
      <c r="K18" s="174"/>
      <c r="L18" s="174"/>
      <c r="M18" s="174"/>
      <c r="N18" s="174"/>
      <c r="O18" s="174"/>
      <c r="P18" s="174"/>
      <c r="Q18" s="72"/>
      <c r="R18" s="172"/>
      <c r="S18" s="172"/>
      <c r="T18" s="172"/>
      <c r="U18" s="172"/>
      <c r="V18" s="172"/>
      <c r="W18" s="172"/>
    </row>
    <row r="19" spans="2:23" ht="36" customHeight="1" thickBot="1" x14ac:dyDescent="0.3">
      <c r="B19" s="55"/>
      <c r="C19" s="56"/>
      <c r="D19" s="56"/>
      <c r="E19" s="56"/>
      <c r="F19" s="56"/>
      <c r="G19" s="57"/>
      <c r="H19" s="73"/>
      <c r="I19" s="174"/>
      <c r="J19" s="174"/>
      <c r="K19" s="174"/>
      <c r="L19" s="174"/>
      <c r="M19" s="174"/>
      <c r="N19" s="174"/>
      <c r="O19" s="174"/>
      <c r="P19" s="174"/>
      <c r="Q19" s="72"/>
      <c r="R19" s="172"/>
      <c r="S19" s="172"/>
      <c r="T19" s="172"/>
      <c r="U19" s="172"/>
      <c r="V19" s="172"/>
      <c r="W19" s="172"/>
    </row>
    <row r="20" spans="2:23" ht="16.5" thickBot="1" x14ac:dyDescent="0.3">
      <c r="B20" s="83" t="s">
        <v>3</v>
      </c>
      <c r="C20" s="84"/>
      <c r="D20" s="84"/>
      <c r="E20" s="84"/>
      <c r="F20" s="84"/>
      <c r="G20" s="85"/>
      <c r="H20" s="73"/>
      <c r="I20" s="174"/>
      <c r="J20" s="174"/>
      <c r="K20" s="174"/>
      <c r="L20" s="174"/>
      <c r="M20" s="174"/>
      <c r="N20" s="174"/>
      <c r="O20" s="174"/>
      <c r="P20" s="174"/>
      <c r="Q20" s="72"/>
    </row>
    <row r="21" spans="2:23" ht="15.75" customHeight="1" thickBot="1" x14ac:dyDescent="0.3">
      <c r="B21" s="93" t="s">
        <v>4</v>
      </c>
      <c r="C21" s="94"/>
      <c r="D21" s="94"/>
      <c r="E21" s="86" t="s">
        <v>5</v>
      </c>
      <c r="F21" s="87"/>
      <c r="G21" s="88"/>
      <c r="H21" s="73"/>
      <c r="I21" s="174"/>
      <c r="J21" s="174"/>
      <c r="K21" s="174"/>
      <c r="L21" s="174"/>
      <c r="M21" s="174"/>
      <c r="N21" s="174"/>
      <c r="O21" s="174"/>
      <c r="P21" s="174"/>
      <c r="Q21" s="72"/>
    </row>
    <row r="22" spans="2:23" ht="15" customHeight="1" x14ac:dyDescent="0.25">
      <c r="B22" s="14"/>
      <c r="C22" s="15"/>
      <c r="D22" s="15"/>
      <c r="E22" s="19" t="s">
        <v>6</v>
      </c>
      <c r="F22" s="91"/>
      <c r="G22" s="92"/>
      <c r="H22" s="73"/>
      <c r="I22" s="174"/>
      <c r="J22" s="174"/>
      <c r="K22" s="174"/>
      <c r="L22" s="174"/>
      <c r="M22" s="174"/>
      <c r="N22" s="174"/>
      <c r="O22" s="174"/>
      <c r="P22" s="174"/>
      <c r="Q22" s="72"/>
    </row>
    <row r="23" spans="2:23" ht="15" customHeight="1" x14ac:dyDescent="0.25">
      <c r="B23" s="16"/>
      <c r="C23" s="17"/>
      <c r="D23" s="17"/>
      <c r="E23" s="18" t="s">
        <v>7</v>
      </c>
      <c r="F23" s="47"/>
      <c r="G23" s="48"/>
      <c r="H23" s="73"/>
      <c r="I23" s="174"/>
      <c r="J23" s="174"/>
      <c r="K23" s="174"/>
      <c r="L23" s="174"/>
      <c r="M23" s="174"/>
      <c r="N23" s="174"/>
      <c r="O23" s="174"/>
      <c r="P23" s="174"/>
      <c r="Q23" s="72"/>
    </row>
    <row r="24" spans="2:23" ht="15" customHeight="1" x14ac:dyDescent="0.25">
      <c r="B24" s="16"/>
      <c r="C24" s="17"/>
      <c r="D24" s="17"/>
      <c r="E24" s="18" t="s">
        <v>8</v>
      </c>
      <c r="F24" s="47"/>
      <c r="G24" s="48"/>
      <c r="H24" s="73"/>
      <c r="I24" s="174"/>
      <c r="J24" s="174"/>
      <c r="K24" s="174"/>
      <c r="L24" s="174"/>
      <c r="M24" s="174"/>
      <c r="N24" s="174"/>
      <c r="O24" s="174"/>
      <c r="P24" s="174"/>
      <c r="Q24" s="72"/>
    </row>
    <row r="25" spans="2:23" ht="15" customHeight="1" x14ac:dyDescent="0.25">
      <c r="B25" s="16"/>
      <c r="C25" s="17"/>
      <c r="D25" s="17"/>
      <c r="E25" s="18" t="s">
        <v>9</v>
      </c>
      <c r="F25" s="47"/>
      <c r="G25" s="48"/>
      <c r="H25" s="73"/>
      <c r="I25" s="174"/>
      <c r="J25" s="174"/>
      <c r="K25" s="174"/>
      <c r="L25" s="174"/>
      <c r="M25" s="174"/>
      <c r="N25" s="174"/>
      <c r="O25" s="174"/>
      <c r="P25" s="174"/>
      <c r="Q25" s="72"/>
    </row>
    <row r="26" spans="2:23" ht="15.75" customHeight="1" thickBot="1" x14ac:dyDescent="0.3">
      <c r="B26" s="16"/>
      <c r="C26" s="17"/>
      <c r="D26" s="17"/>
      <c r="E26" s="18" t="s">
        <v>10</v>
      </c>
      <c r="F26" s="47"/>
      <c r="G26" s="48"/>
      <c r="H26" s="74"/>
      <c r="I26" s="75"/>
      <c r="J26" s="75"/>
      <c r="K26" s="75"/>
      <c r="L26" s="75"/>
      <c r="M26" s="75"/>
      <c r="N26" s="75"/>
      <c r="O26" s="75"/>
      <c r="P26" s="75"/>
      <c r="Q26" s="76"/>
    </row>
    <row r="27" spans="2:23" x14ac:dyDescent="0.25">
      <c r="B27" s="16"/>
      <c r="C27" s="17"/>
      <c r="D27" s="17"/>
      <c r="E27" s="18" t="s">
        <v>11</v>
      </c>
      <c r="F27" s="47"/>
      <c r="G27" s="48"/>
      <c r="I27" s="23"/>
      <c r="J27" s="43"/>
      <c r="K27" s="43"/>
      <c r="L27" s="43"/>
      <c r="M27" s="43"/>
      <c r="N27" s="43"/>
    </row>
    <row r="28" spans="2:23" x14ac:dyDescent="0.25">
      <c r="B28" s="16"/>
      <c r="C28" s="17"/>
      <c r="D28" s="17"/>
      <c r="E28" s="18" t="s">
        <v>12</v>
      </c>
      <c r="F28" s="47"/>
      <c r="G28" s="48"/>
      <c r="I28" s="23"/>
      <c r="J28" s="43"/>
      <c r="K28" s="43"/>
      <c r="L28" s="43"/>
      <c r="M28" s="43"/>
      <c r="N28" s="43"/>
    </row>
    <row r="29" spans="2:23" x14ac:dyDescent="0.25">
      <c r="B29" s="16"/>
      <c r="C29" s="17"/>
      <c r="D29" s="17"/>
      <c r="E29" s="18" t="s">
        <v>13</v>
      </c>
      <c r="F29" s="47"/>
      <c r="G29" s="48"/>
      <c r="I29" s="23"/>
      <c r="J29" s="43"/>
      <c r="K29" s="43"/>
      <c r="L29" s="43"/>
      <c r="M29" s="43"/>
      <c r="N29" s="43"/>
    </row>
    <row r="30" spans="2:23" ht="15.75" thickBot="1" x14ac:dyDescent="0.3">
      <c r="B30" s="20"/>
      <c r="C30" s="21"/>
      <c r="D30" s="21"/>
      <c r="E30" s="22" t="s">
        <v>14</v>
      </c>
      <c r="F30" s="89"/>
      <c r="G30" s="90"/>
      <c r="I30" s="23"/>
      <c r="J30" s="43"/>
      <c r="K30" s="43"/>
      <c r="L30" s="43"/>
      <c r="M30" s="43"/>
      <c r="N30" s="43"/>
    </row>
    <row r="31" spans="2:23" ht="16.5" thickBot="1" x14ac:dyDescent="0.3">
      <c r="B31" s="58" t="s">
        <v>718</v>
      </c>
      <c r="C31" s="59"/>
      <c r="D31" s="59"/>
      <c r="E31" s="59"/>
      <c r="F31" s="59"/>
      <c r="G31" s="60"/>
      <c r="H31" s="44"/>
      <c r="I31" s="23"/>
      <c r="J31" s="23"/>
      <c r="K31" s="23"/>
      <c r="L31" s="23"/>
      <c r="M31" s="23"/>
      <c r="N31" s="23"/>
    </row>
    <row r="32" spans="2:23" x14ac:dyDescent="0.25">
      <c r="B32" s="23" t="s">
        <v>15</v>
      </c>
      <c r="C32" s="23" t="s">
        <v>16</v>
      </c>
      <c r="D32" s="23" t="s">
        <v>17</v>
      </c>
      <c r="E32" s="24" t="s">
        <v>18</v>
      </c>
      <c r="F32" s="23" t="s">
        <v>19</v>
      </c>
      <c r="G32" s="23" t="s">
        <v>20</v>
      </c>
      <c r="H32" s="23" t="s">
        <v>21</v>
      </c>
    </row>
    <row r="33" spans="2:8" x14ac:dyDescent="0.25">
      <c r="B33" s="23" t="s">
        <v>22</v>
      </c>
      <c r="C33" s="23" t="s">
        <v>23</v>
      </c>
      <c r="D33" s="23" t="s">
        <v>24</v>
      </c>
      <c r="E33" s="23">
        <v>3200</v>
      </c>
      <c r="F33" s="23">
        <v>0</v>
      </c>
      <c r="G33" s="23">
        <v>1</v>
      </c>
      <c r="H33" s="26" t="s">
        <v>25</v>
      </c>
    </row>
    <row r="34" spans="2:8" x14ac:dyDescent="0.25">
      <c r="B34" s="23" t="s">
        <v>26</v>
      </c>
      <c r="C34" s="23" t="s">
        <v>23</v>
      </c>
      <c r="D34" s="23" t="s">
        <v>24</v>
      </c>
      <c r="E34" s="23">
        <v>0</v>
      </c>
      <c r="F34" s="23">
        <v>0</v>
      </c>
      <c r="G34" s="23">
        <v>0</v>
      </c>
      <c r="H34" s="26" t="s">
        <v>27</v>
      </c>
    </row>
    <row r="35" spans="2:8" x14ac:dyDescent="0.25">
      <c r="B35" s="23" t="s">
        <v>28</v>
      </c>
      <c r="C35" s="23" t="s">
        <v>23</v>
      </c>
      <c r="D35" s="23" t="s">
        <v>24</v>
      </c>
      <c r="E35" s="23">
        <v>0</v>
      </c>
      <c r="F35" s="23">
        <v>0</v>
      </c>
      <c r="G35" s="23">
        <v>0</v>
      </c>
      <c r="H35" s="26" t="s">
        <v>29</v>
      </c>
    </row>
    <row r="36" spans="2:8" x14ac:dyDescent="0.25">
      <c r="B36" s="23" t="s">
        <v>30</v>
      </c>
      <c r="C36" s="23" t="s">
        <v>23</v>
      </c>
      <c r="D36" s="23" t="s">
        <v>24</v>
      </c>
      <c r="E36" s="23">
        <v>0</v>
      </c>
      <c r="F36" s="23">
        <v>0</v>
      </c>
      <c r="G36" s="23">
        <v>0</v>
      </c>
      <c r="H36" s="26" t="s">
        <v>31</v>
      </c>
    </row>
    <row r="37" spans="2:8" x14ac:dyDescent="0.25">
      <c r="B37" s="23" t="s">
        <v>32</v>
      </c>
      <c r="C37" s="23" t="s">
        <v>23</v>
      </c>
      <c r="D37" s="23" t="s">
        <v>24</v>
      </c>
      <c r="E37" s="23">
        <v>1350</v>
      </c>
      <c r="F37" s="23">
        <v>0</v>
      </c>
      <c r="G37" s="23">
        <v>1</v>
      </c>
      <c r="H37" s="26" t="s">
        <v>33</v>
      </c>
    </row>
    <row r="38" spans="2:8" x14ac:dyDescent="0.25">
      <c r="B38" s="23" t="s">
        <v>34</v>
      </c>
      <c r="C38" s="23" t="s">
        <v>23</v>
      </c>
      <c r="D38" s="23" t="s">
        <v>24</v>
      </c>
      <c r="E38" s="23">
        <v>0</v>
      </c>
      <c r="F38" s="23">
        <v>0</v>
      </c>
      <c r="G38" s="23">
        <v>0</v>
      </c>
      <c r="H38" s="26" t="s">
        <v>35</v>
      </c>
    </row>
    <row r="39" spans="2:8" x14ac:dyDescent="0.25">
      <c r="B39" s="23" t="s">
        <v>36</v>
      </c>
      <c r="C39" s="23" t="s">
        <v>23</v>
      </c>
      <c r="D39" s="23" t="s">
        <v>37</v>
      </c>
      <c r="E39" s="23">
        <v>0</v>
      </c>
      <c r="F39" s="23">
        <v>0</v>
      </c>
      <c r="G39" s="23">
        <v>0</v>
      </c>
      <c r="H39" s="26" t="s">
        <v>38</v>
      </c>
    </row>
    <row r="40" spans="2:8" x14ac:dyDescent="0.25">
      <c r="B40" s="23" t="s">
        <v>39</v>
      </c>
      <c r="C40" s="23" t="s">
        <v>23</v>
      </c>
      <c r="D40" s="23" t="s">
        <v>40</v>
      </c>
      <c r="E40" s="23">
        <v>0</v>
      </c>
      <c r="F40" s="23">
        <v>0</v>
      </c>
      <c r="G40" s="23">
        <v>0</v>
      </c>
      <c r="H40" s="26" t="s">
        <v>41</v>
      </c>
    </row>
    <row r="41" spans="2:8" x14ac:dyDescent="0.25">
      <c r="B41" s="23" t="s">
        <v>42</v>
      </c>
      <c r="C41" s="23" t="s">
        <v>23</v>
      </c>
      <c r="D41" s="23" t="s">
        <v>24</v>
      </c>
      <c r="E41" s="23">
        <v>0</v>
      </c>
      <c r="F41" s="23">
        <v>0</v>
      </c>
      <c r="G41" s="23">
        <v>0</v>
      </c>
      <c r="H41" s="26" t="s">
        <v>43</v>
      </c>
    </row>
    <row r="42" spans="2:8" x14ac:dyDescent="0.25">
      <c r="B42" s="23" t="s">
        <v>44</v>
      </c>
      <c r="C42" s="23" t="s">
        <v>23</v>
      </c>
      <c r="D42" s="23" t="s">
        <v>24</v>
      </c>
      <c r="E42" s="23">
        <v>0</v>
      </c>
      <c r="F42" s="23">
        <v>0</v>
      </c>
      <c r="G42" s="23">
        <v>0</v>
      </c>
      <c r="H42" s="26" t="s">
        <v>45</v>
      </c>
    </row>
    <row r="43" spans="2:8" x14ac:dyDescent="0.25">
      <c r="B43" s="23" t="s">
        <v>46</v>
      </c>
      <c r="C43" s="23" t="s">
        <v>23</v>
      </c>
      <c r="D43" s="23" t="s">
        <v>24</v>
      </c>
      <c r="E43" s="23">
        <v>2700</v>
      </c>
      <c r="F43" s="23">
        <v>0</v>
      </c>
      <c r="G43" s="23">
        <v>1</v>
      </c>
      <c r="H43" s="26" t="s">
        <v>47</v>
      </c>
    </row>
    <row r="44" spans="2:8" x14ac:dyDescent="0.25">
      <c r="B44" s="23" t="s">
        <v>48</v>
      </c>
      <c r="C44" s="23" t="s">
        <v>23</v>
      </c>
      <c r="D44" s="23" t="s">
        <v>24</v>
      </c>
      <c r="E44" s="23">
        <v>0</v>
      </c>
      <c r="F44" s="23">
        <v>0</v>
      </c>
      <c r="G44" s="23">
        <v>0</v>
      </c>
      <c r="H44" s="26" t="s">
        <v>49</v>
      </c>
    </row>
    <row r="45" spans="2:8" x14ac:dyDescent="0.25">
      <c r="B45" s="23" t="s">
        <v>50</v>
      </c>
      <c r="C45" s="23" t="s">
        <v>23</v>
      </c>
      <c r="D45" s="23" t="s">
        <v>24</v>
      </c>
      <c r="E45" s="23">
        <v>0</v>
      </c>
      <c r="F45" s="23">
        <v>0</v>
      </c>
      <c r="G45" s="23">
        <v>0</v>
      </c>
      <c r="H45" s="26" t="s">
        <v>51</v>
      </c>
    </row>
    <row r="46" spans="2:8" x14ac:dyDescent="0.25">
      <c r="B46" s="23" t="s">
        <v>52</v>
      </c>
      <c r="C46" s="23" t="s">
        <v>23</v>
      </c>
      <c r="D46" s="23" t="s">
        <v>24</v>
      </c>
      <c r="E46" s="23">
        <v>0</v>
      </c>
      <c r="F46" s="23">
        <v>0</v>
      </c>
      <c r="G46" s="23">
        <v>0</v>
      </c>
      <c r="H46" s="26" t="s">
        <v>33</v>
      </c>
    </row>
    <row r="47" spans="2:8" x14ac:dyDescent="0.25">
      <c r="B47" s="23" t="s">
        <v>53</v>
      </c>
      <c r="C47" s="23" t="s">
        <v>23</v>
      </c>
      <c r="D47" s="23" t="s">
        <v>24</v>
      </c>
      <c r="E47" s="23">
        <v>0</v>
      </c>
      <c r="F47" s="23">
        <v>0</v>
      </c>
      <c r="G47" s="23">
        <v>0</v>
      </c>
      <c r="H47" s="26" t="s">
        <v>54</v>
      </c>
    </row>
    <row r="48" spans="2:8" x14ac:dyDescent="0.25">
      <c r="B48" s="23" t="s">
        <v>55</v>
      </c>
      <c r="C48" s="23" t="s">
        <v>23</v>
      </c>
      <c r="D48" s="23" t="s">
        <v>37</v>
      </c>
      <c r="E48" s="23">
        <v>0</v>
      </c>
      <c r="F48" s="23">
        <v>0</v>
      </c>
      <c r="G48" s="23">
        <v>0</v>
      </c>
      <c r="H48" s="26" t="s">
        <v>56</v>
      </c>
    </row>
    <row r="49" spans="2:8" x14ac:dyDescent="0.25">
      <c r="B49" s="23" t="s">
        <v>57</v>
      </c>
      <c r="C49" s="23" t="s">
        <v>23</v>
      </c>
      <c r="D49" s="23" t="s">
        <v>40</v>
      </c>
      <c r="E49" s="23">
        <v>0</v>
      </c>
      <c r="F49" s="23">
        <v>0</v>
      </c>
      <c r="G49" s="23">
        <v>0</v>
      </c>
      <c r="H49" s="26" t="s">
        <v>58</v>
      </c>
    </row>
    <row r="50" spans="2:8" x14ac:dyDescent="0.25">
      <c r="B50" s="23" t="s">
        <v>59</v>
      </c>
      <c r="C50" s="23" t="s">
        <v>23</v>
      </c>
      <c r="D50" s="23" t="s">
        <v>24</v>
      </c>
      <c r="E50" s="23">
        <v>0</v>
      </c>
      <c r="F50" s="23">
        <v>0</v>
      </c>
      <c r="G50" s="23">
        <v>0</v>
      </c>
      <c r="H50" s="26" t="s">
        <v>60</v>
      </c>
    </row>
    <row r="51" spans="2:8" x14ac:dyDescent="0.25">
      <c r="B51" s="23" t="s">
        <v>61</v>
      </c>
      <c r="C51" s="23" t="s">
        <v>23</v>
      </c>
      <c r="D51" s="23" t="s">
        <v>24</v>
      </c>
      <c r="E51" s="23">
        <v>0</v>
      </c>
      <c r="F51" s="23">
        <v>0</v>
      </c>
      <c r="G51" s="23">
        <v>0</v>
      </c>
      <c r="H51" s="26" t="s">
        <v>62</v>
      </c>
    </row>
    <row r="52" spans="2:8" x14ac:dyDescent="0.25">
      <c r="B52" s="23" t="s">
        <v>63</v>
      </c>
      <c r="C52" s="23" t="s">
        <v>23</v>
      </c>
      <c r="D52" s="23" t="s">
        <v>24</v>
      </c>
      <c r="E52" s="23">
        <v>0</v>
      </c>
      <c r="F52" s="23">
        <v>0</v>
      </c>
      <c r="G52" s="23">
        <v>0</v>
      </c>
      <c r="H52" s="26" t="s">
        <v>64</v>
      </c>
    </row>
    <row r="53" spans="2:8" x14ac:dyDescent="0.25">
      <c r="B53" s="23" t="s">
        <v>65</v>
      </c>
      <c r="C53" s="23" t="s">
        <v>23</v>
      </c>
      <c r="D53" s="23" t="s">
        <v>24</v>
      </c>
      <c r="E53" s="23">
        <v>0</v>
      </c>
      <c r="F53" s="23">
        <v>0</v>
      </c>
      <c r="G53" s="23">
        <v>0</v>
      </c>
      <c r="H53" s="26" t="s">
        <v>66</v>
      </c>
    </row>
    <row r="54" spans="2:8" x14ac:dyDescent="0.25">
      <c r="B54" s="23" t="s">
        <v>67</v>
      </c>
      <c r="C54" s="23" t="s">
        <v>23</v>
      </c>
      <c r="D54" s="23" t="s">
        <v>24</v>
      </c>
      <c r="E54" s="23">
        <v>0</v>
      </c>
      <c r="F54" s="23">
        <v>0</v>
      </c>
      <c r="G54" s="23">
        <v>0</v>
      </c>
      <c r="H54" s="26" t="s">
        <v>33</v>
      </c>
    </row>
    <row r="55" spans="2:8" x14ac:dyDescent="0.25">
      <c r="B55" s="23" t="s">
        <v>68</v>
      </c>
      <c r="C55" s="23" t="s">
        <v>23</v>
      </c>
      <c r="D55" s="23" t="s">
        <v>24</v>
      </c>
      <c r="E55" s="23">
        <v>0</v>
      </c>
      <c r="F55" s="23">
        <v>0</v>
      </c>
      <c r="G55" s="23">
        <v>0</v>
      </c>
      <c r="H55" s="26" t="s">
        <v>69</v>
      </c>
    </row>
    <row r="56" spans="2:8" x14ac:dyDescent="0.25">
      <c r="B56" s="23" t="s">
        <v>70</v>
      </c>
      <c r="C56" s="23" t="s">
        <v>23</v>
      </c>
      <c r="D56" s="23" t="s">
        <v>24</v>
      </c>
      <c r="E56" s="23">
        <v>0</v>
      </c>
      <c r="F56" s="23">
        <v>0</v>
      </c>
      <c r="G56" s="23">
        <v>0</v>
      </c>
      <c r="H56" s="26" t="s">
        <v>71</v>
      </c>
    </row>
    <row r="57" spans="2:8" x14ac:dyDescent="0.25">
      <c r="B57" s="23" t="s">
        <v>72</v>
      </c>
      <c r="C57" s="23" t="s">
        <v>23</v>
      </c>
      <c r="D57" s="23" t="s">
        <v>24</v>
      </c>
      <c r="E57" s="23">
        <v>0</v>
      </c>
      <c r="F57" s="23">
        <v>0</v>
      </c>
      <c r="G57" s="23">
        <v>0</v>
      </c>
      <c r="H57" s="26" t="s">
        <v>73</v>
      </c>
    </row>
    <row r="58" spans="2:8" x14ac:dyDescent="0.25">
      <c r="B58" s="23" t="s">
        <v>74</v>
      </c>
      <c r="C58" s="23" t="s">
        <v>23</v>
      </c>
      <c r="D58" s="23" t="s">
        <v>24</v>
      </c>
      <c r="E58" s="23">
        <v>2250</v>
      </c>
      <c r="F58" s="23">
        <v>0</v>
      </c>
      <c r="G58" s="23">
        <v>1</v>
      </c>
      <c r="H58" s="26" t="s">
        <v>75</v>
      </c>
    </row>
    <row r="59" spans="2:8" x14ac:dyDescent="0.25">
      <c r="B59" s="23" t="s">
        <v>76</v>
      </c>
      <c r="C59" s="23" t="s">
        <v>23</v>
      </c>
      <c r="D59" s="23" t="s">
        <v>40</v>
      </c>
      <c r="E59" s="23">
        <v>0</v>
      </c>
      <c r="F59" s="23">
        <v>0</v>
      </c>
      <c r="G59" s="23">
        <v>0</v>
      </c>
      <c r="H59" s="26" t="s">
        <v>77</v>
      </c>
    </row>
    <row r="60" spans="2:8" x14ac:dyDescent="0.25">
      <c r="B60" s="23" t="s">
        <v>78</v>
      </c>
      <c r="C60" s="23" t="s">
        <v>23</v>
      </c>
      <c r="D60" s="23" t="s">
        <v>37</v>
      </c>
      <c r="E60" s="23">
        <v>0</v>
      </c>
      <c r="F60" s="23">
        <v>0</v>
      </c>
      <c r="G60" s="23">
        <v>0</v>
      </c>
      <c r="H60" s="26" t="s">
        <v>79</v>
      </c>
    </row>
    <row r="61" spans="2:8" x14ac:dyDescent="0.25">
      <c r="B61" s="23" t="s">
        <v>80</v>
      </c>
      <c r="C61" s="23" t="s">
        <v>23</v>
      </c>
      <c r="D61" s="23" t="s">
        <v>37</v>
      </c>
      <c r="E61" s="23">
        <v>0</v>
      </c>
      <c r="F61" s="23">
        <v>0</v>
      </c>
      <c r="G61" s="23">
        <v>0</v>
      </c>
      <c r="H61" s="26" t="s">
        <v>81</v>
      </c>
    </row>
    <row r="62" spans="2:8" x14ac:dyDescent="0.25">
      <c r="B62" s="23" t="s">
        <v>82</v>
      </c>
      <c r="C62" s="23" t="s">
        <v>23</v>
      </c>
      <c r="D62" s="23" t="s">
        <v>24</v>
      </c>
      <c r="E62" s="23">
        <v>0</v>
      </c>
      <c r="F62" s="23">
        <v>0</v>
      </c>
      <c r="G62" s="23">
        <v>0</v>
      </c>
      <c r="H62" s="26" t="s">
        <v>83</v>
      </c>
    </row>
    <row r="63" spans="2:8" x14ac:dyDescent="0.25">
      <c r="B63" s="23" t="s">
        <v>84</v>
      </c>
      <c r="C63" s="23" t="s">
        <v>23</v>
      </c>
      <c r="D63" s="23" t="s">
        <v>24</v>
      </c>
      <c r="E63" s="23">
        <v>0</v>
      </c>
      <c r="F63" s="23">
        <v>0</v>
      </c>
      <c r="G63" s="23">
        <v>0</v>
      </c>
      <c r="H63" s="26" t="s">
        <v>85</v>
      </c>
    </row>
    <row r="64" spans="2:8" x14ac:dyDescent="0.25">
      <c r="B64" s="23" t="s">
        <v>86</v>
      </c>
      <c r="C64" s="23" t="s">
        <v>23</v>
      </c>
      <c r="D64" s="23" t="s">
        <v>24</v>
      </c>
      <c r="E64" s="23">
        <v>1950</v>
      </c>
      <c r="F64" s="23">
        <v>0</v>
      </c>
      <c r="G64" s="23">
        <v>1</v>
      </c>
      <c r="H64" s="26" t="s">
        <v>87</v>
      </c>
    </row>
    <row r="65" spans="2:8" x14ac:dyDescent="0.25">
      <c r="B65" s="23" t="s">
        <v>88</v>
      </c>
      <c r="C65" s="23" t="s">
        <v>23</v>
      </c>
      <c r="D65" s="23" t="s">
        <v>24</v>
      </c>
      <c r="E65" s="23">
        <v>0</v>
      </c>
      <c r="F65" s="23">
        <v>0</v>
      </c>
      <c r="G65" s="23">
        <v>0</v>
      </c>
      <c r="H65" s="26" t="s">
        <v>87</v>
      </c>
    </row>
    <row r="66" spans="2:8" x14ac:dyDescent="0.25">
      <c r="B66" s="23" t="s">
        <v>89</v>
      </c>
      <c r="C66" s="23" t="s">
        <v>23</v>
      </c>
      <c r="D66" s="23" t="s">
        <v>40</v>
      </c>
      <c r="E66" s="23">
        <v>0</v>
      </c>
      <c r="F66" s="23">
        <v>0</v>
      </c>
      <c r="G66" s="23">
        <v>0</v>
      </c>
      <c r="H66" s="26" t="s">
        <v>90</v>
      </c>
    </row>
    <row r="67" spans="2:8" x14ac:dyDescent="0.25">
      <c r="B67" s="23" t="s">
        <v>91</v>
      </c>
      <c r="C67" s="23" t="s">
        <v>23</v>
      </c>
      <c r="D67" s="23" t="s">
        <v>24</v>
      </c>
      <c r="E67" s="23">
        <v>0</v>
      </c>
      <c r="F67" s="23">
        <v>0</v>
      </c>
      <c r="G67" s="23">
        <v>0</v>
      </c>
      <c r="H67" s="26" t="s">
        <v>92</v>
      </c>
    </row>
    <row r="68" spans="2:8" x14ac:dyDescent="0.25">
      <c r="B68" s="23" t="s">
        <v>93</v>
      </c>
      <c r="C68" s="23" t="s">
        <v>23</v>
      </c>
      <c r="D68" s="23" t="s">
        <v>40</v>
      </c>
      <c r="E68" s="23">
        <v>0</v>
      </c>
      <c r="F68" s="23">
        <v>0</v>
      </c>
      <c r="G68" s="23">
        <v>0</v>
      </c>
      <c r="H68" s="26" t="s">
        <v>94</v>
      </c>
    </row>
    <row r="69" spans="2:8" x14ac:dyDescent="0.25">
      <c r="B69" s="23" t="s">
        <v>95</v>
      </c>
      <c r="C69" s="23" t="s">
        <v>23</v>
      </c>
      <c r="D69" s="23" t="s">
        <v>40</v>
      </c>
      <c r="E69" s="23">
        <v>0</v>
      </c>
      <c r="F69" s="23">
        <v>0</v>
      </c>
      <c r="G69" s="23">
        <v>0</v>
      </c>
      <c r="H69" s="26" t="s">
        <v>96</v>
      </c>
    </row>
    <row r="70" spans="2:8" x14ac:dyDescent="0.25">
      <c r="B70" s="23" t="s">
        <v>97</v>
      </c>
      <c r="C70" s="23" t="s">
        <v>23</v>
      </c>
      <c r="D70" s="23" t="s">
        <v>40</v>
      </c>
      <c r="E70" s="23">
        <v>0</v>
      </c>
      <c r="F70" s="23">
        <v>0</v>
      </c>
      <c r="G70" s="23">
        <v>0</v>
      </c>
      <c r="H70" s="26" t="s">
        <v>98</v>
      </c>
    </row>
    <row r="71" spans="2:8" x14ac:dyDescent="0.25">
      <c r="B71" s="23" t="s">
        <v>99</v>
      </c>
      <c r="C71" s="23" t="s">
        <v>23</v>
      </c>
      <c r="D71" s="23" t="s">
        <v>40</v>
      </c>
      <c r="E71" s="23">
        <v>0</v>
      </c>
      <c r="F71" s="23">
        <v>0</v>
      </c>
      <c r="G71" s="23">
        <v>0</v>
      </c>
      <c r="H71" s="26" t="s">
        <v>100</v>
      </c>
    </row>
    <row r="72" spans="2:8" x14ac:dyDescent="0.25">
      <c r="B72" s="23" t="s">
        <v>101</v>
      </c>
      <c r="C72" s="23" t="s">
        <v>102</v>
      </c>
      <c r="D72" s="23" t="s">
        <v>24</v>
      </c>
      <c r="E72" s="23">
        <v>0</v>
      </c>
      <c r="F72" s="23">
        <v>0</v>
      </c>
      <c r="G72" s="23">
        <v>0</v>
      </c>
      <c r="H72" s="26" t="s">
        <v>103</v>
      </c>
    </row>
    <row r="73" spans="2:8" x14ac:dyDescent="0.25">
      <c r="B73" s="23" t="s">
        <v>104</v>
      </c>
      <c r="C73" s="23" t="s">
        <v>102</v>
      </c>
      <c r="D73" s="23" t="s">
        <v>24</v>
      </c>
      <c r="E73" s="23">
        <v>0</v>
      </c>
      <c r="F73" s="23">
        <v>0</v>
      </c>
      <c r="G73" s="23">
        <v>0</v>
      </c>
      <c r="H73" s="26" t="s">
        <v>105</v>
      </c>
    </row>
    <row r="74" spans="2:8" x14ac:dyDescent="0.25">
      <c r="B74" s="23" t="s">
        <v>106</v>
      </c>
      <c r="C74" s="23" t="s">
        <v>102</v>
      </c>
      <c r="D74" s="23" t="s">
        <v>24</v>
      </c>
      <c r="E74" s="23">
        <v>1800</v>
      </c>
      <c r="F74" s="23">
        <v>0</v>
      </c>
      <c r="G74" s="23">
        <v>1</v>
      </c>
      <c r="H74" s="26" t="s">
        <v>107</v>
      </c>
    </row>
    <row r="75" spans="2:8" x14ac:dyDescent="0.25">
      <c r="B75" s="23" t="s">
        <v>108</v>
      </c>
      <c r="C75" s="23" t="s">
        <v>102</v>
      </c>
      <c r="D75" s="23" t="s">
        <v>24</v>
      </c>
      <c r="E75" s="23">
        <v>0</v>
      </c>
      <c r="F75" s="23">
        <v>0</v>
      </c>
      <c r="G75" s="23">
        <v>0</v>
      </c>
      <c r="H75" s="26" t="s">
        <v>109</v>
      </c>
    </row>
    <row r="76" spans="2:8" x14ac:dyDescent="0.25">
      <c r="B76" s="23" t="s">
        <v>110</v>
      </c>
      <c r="C76" s="23" t="s">
        <v>102</v>
      </c>
      <c r="D76" s="23" t="s">
        <v>37</v>
      </c>
      <c r="E76" s="23">
        <v>0</v>
      </c>
      <c r="F76" s="23">
        <v>0</v>
      </c>
      <c r="G76" s="23">
        <v>0</v>
      </c>
      <c r="H76" s="26" t="s">
        <v>111</v>
      </c>
    </row>
    <row r="77" spans="2:8" x14ac:dyDescent="0.25">
      <c r="B77" s="23" t="s">
        <v>112</v>
      </c>
      <c r="C77" s="23" t="s">
        <v>102</v>
      </c>
      <c r="D77" s="23" t="s">
        <v>37</v>
      </c>
      <c r="E77" s="23">
        <v>0</v>
      </c>
      <c r="F77" s="23">
        <v>0</v>
      </c>
      <c r="G77" s="23">
        <v>0</v>
      </c>
      <c r="H77" s="26" t="s">
        <v>113</v>
      </c>
    </row>
    <row r="78" spans="2:8" x14ac:dyDescent="0.25">
      <c r="B78" s="23" t="s">
        <v>114</v>
      </c>
      <c r="C78" s="23" t="s">
        <v>102</v>
      </c>
      <c r="D78" s="23" t="s">
        <v>37</v>
      </c>
      <c r="E78" s="23">
        <v>0</v>
      </c>
      <c r="F78" s="23">
        <v>0</v>
      </c>
      <c r="G78" s="23">
        <v>0</v>
      </c>
      <c r="H78" s="26" t="s">
        <v>115</v>
      </c>
    </row>
    <row r="79" spans="2:8" x14ac:dyDescent="0.25">
      <c r="B79" s="23" t="s">
        <v>116</v>
      </c>
      <c r="C79" s="23" t="s">
        <v>102</v>
      </c>
      <c r="D79" s="23" t="s">
        <v>40</v>
      </c>
      <c r="E79" s="23">
        <v>720</v>
      </c>
      <c r="F79" s="23">
        <v>0</v>
      </c>
      <c r="G79" s="23">
        <v>1</v>
      </c>
      <c r="H79" s="26" t="s">
        <v>117</v>
      </c>
    </row>
    <row r="80" spans="2:8" x14ac:dyDescent="0.25">
      <c r="B80" s="23" t="s">
        <v>118</v>
      </c>
      <c r="C80" s="23" t="s">
        <v>102</v>
      </c>
      <c r="D80" s="23" t="s">
        <v>37</v>
      </c>
      <c r="E80" s="23">
        <v>0</v>
      </c>
      <c r="F80" s="23">
        <v>0</v>
      </c>
      <c r="G80" s="23">
        <v>0</v>
      </c>
      <c r="H80" s="26" t="s">
        <v>119</v>
      </c>
    </row>
    <row r="81" spans="2:8" x14ac:dyDescent="0.25">
      <c r="B81" s="23" t="s">
        <v>120</v>
      </c>
      <c r="C81" s="23" t="s">
        <v>102</v>
      </c>
      <c r="D81" s="23" t="s">
        <v>24</v>
      </c>
      <c r="E81" s="23">
        <v>0</v>
      </c>
      <c r="F81" s="23">
        <v>0</v>
      </c>
      <c r="G81" s="23">
        <v>0</v>
      </c>
      <c r="H81" s="26" t="s">
        <v>121</v>
      </c>
    </row>
    <row r="82" spans="2:8" x14ac:dyDescent="0.25">
      <c r="B82" s="23" t="s">
        <v>122</v>
      </c>
      <c r="C82" s="23" t="s">
        <v>123</v>
      </c>
      <c r="D82" s="23" t="s">
        <v>40</v>
      </c>
      <c r="E82" s="23">
        <v>0</v>
      </c>
      <c r="F82" s="23">
        <v>0</v>
      </c>
      <c r="G82" s="23">
        <v>0</v>
      </c>
      <c r="H82" s="26" t="s">
        <v>124</v>
      </c>
    </row>
    <row r="83" spans="2:8" x14ac:dyDescent="0.25">
      <c r="B83" s="23" t="s">
        <v>125</v>
      </c>
      <c r="C83" s="23" t="s">
        <v>123</v>
      </c>
      <c r="D83" s="23" t="s">
        <v>40</v>
      </c>
      <c r="E83" s="23">
        <v>48</v>
      </c>
      <c r="F83" s="23">
        <v>0</v>
      </c>
      <c r="G83" s="23">
        <v>1</v>
      </c>
      <c r="H83" s="26" t="s">
        <v>126</v>
      </c>
    </row>
    <row r="84" spans="2:8" x14ac:dyDescent="0.25">
      <c r="B84" s="23" t="s">
        <v>127</v>
      </c>
      <c r="C84" s="23" t="s">
        <v>123</v>
      </c>
      <c r="D84" s="23" t="s">
        <v>24</v>
      </c>
      <c r="E84" s="23">
        <v>0</v>
      </c>
      <c r="F84" s="23">
        <v>0</v>
      </c>
      <c r="G84" s="23">
        <v>0</v>
      </c>
      <c r="H84" s="26" t="s">
        <v>128</v>
      </c>
    </row>
    <row r="85" spans="2:8" x14ac:dyDescent="0.25">
      <c r="B85" s="23" t="s">
        <v>129</v>
      </c>
      <c r="C85" s="23" t="s">
        <v>123</v>
      </c>
      <c r="D85" s="23" t="s">
        <v>24</v>
      </c>
      <c r="E85" s="23">
        <v>0</v>
      </c>
      <c r="F85" s="23">
        <v>0</v>
      </c>
      <c r="G85" s="23">
        <v>0</v>
      </c>
      <c r="H85" s="26" t="s">
        <v>130</v>
      </c>
    </row>
    <row r="86" spans="2:8" x14ac:dyDescent="0.25">
      <c r="B86" s="23" t="s">
        <v>131</v>
      </c>
      <c r="C86" s="23" t="s">
        <v>123</v>
      </c>
      <c r="D86" s="23" t="s">
        <v>37</v>
      </c>
      <c r="E86" s="23">
        <v>0</v>
      </c>
      <c r="F86" s="23">
        <v>0</v>
      </c>
      <c r="G86" s="23">
        <v>0</v>
      </c>
      <c r="H86" s="26" t="s">
        <v>132</v>
      </c>
    </row>
    <row r="87" spans="2:8" x14ac:dyDescent="0.25">
      <c r="B87" s="23" t="s">
        <v>133</v>
      </c>
      <c r="C87" s="23" t="s">
        <v>123</v>
      </c>
      <c r="D87" s="23" t="s">
        <v>24</v>
      </c>
      <c r="E87" s="23">
        <v>0</v>
      </c>
      <c r="F87" s="23">
        <v>0</v>
      </c>
      <c r="G87" s="23">
        <v>0</v>
      </c>
      <c r="H87" s="26" t="s">
        <v>87</v>
      </c>
    </row>
    <row r="88" spans="2:8" x14ac:dyDescent="0.25">
      <c r="B88" s="23" t="s">
        <v>134</v>
      </c>
      <c r="C88" s="23" t="s">
        <v>123</v>
      </c>
      <c r="D88" s="23" t="s">
        <v>24</v>
      </c>
      <c r="E88" s="23">
        <v>0</v>
      </c>
      <c r="F88" s="23">
        <v>0</v>
      </c>
      <c r="G88" s="23">
        <v>0</v>
      </c>
      <c r="H88" s="26" t="s">
        <v>87</v>
      </c>
    </row>
    <row r="89" spans="2:8" x14ac:dyDescent="0.25">
      <c r="B89" s="23" t="s">
        <v>135</v>
      </c>
      <c r="C89" s="23" t="s">
        <v>123</v>
      </c>
      <c r="D89" s="23" t="s">
        <v>40</v>
      </c>
      <c r="E89" s="23">
        <v>0</v>
      </c>
      <c r="F89" s="23">
        <v>0</v>
      </c>
      <c r="G89" s="23">
        <v>0</v>
      </c>
      <c r="H89" s="26" t="s">
        <v>136</v>
      </c>
    </row>
    <row r="90" spans="2:8" x14ac:dyDescent="0.25">
      <c r="B90" s="23" t="s">
        <v>137</v>
      </c>
      <c r="C90" s="23" t="s">
        <v>123</v>
      </c>
      <c r="D90" s="23" t="s">
        <v>37</v>
      </c>
      <c r="E90" s="23">
        <v>0</v>
      </c>
      <c r="F90" s="23">
        <v>0</v>
      </c>
      <c r="G90" s="23">
        <v>0</v>
      </c>
      <c r="H90" s="26" t="s">
        <v>138</v>
      </c>
    </row>
    <row r="91" spans="2:8" x14ac:dyDescent="0.25">
      <c r="B91" s="23" t="s">
        <v>139</v>
      </c>
      <c r="C91" s="23" t="s">
        <v>123</v>
      </c>
      <c r="D91" s="23" t="s">
        <v>37</v>
      </c>
      <c r="E91" s="23">
        <v>0</v>
      </c>
      <c r="F91" s="23">
        <v>0</v>
      </c>
      <c r="G91" s="23">
        <v>0</v>
      </c>
      <c r="H91" s="26" t="s">
        <v>138</v>
      </c>
    </row>
    <row r="92" spans="2:8" x14ac:dyDescent="0.25">
      <c r="B92" s="23" t="s">
        <v>140</v>
      </c>
      <c r="C92" s="23" t="s">
        <v>123</v>
      </c>
      <c r="D92" s="23" t="s">
        <v>37</v>
      </c>
      <c r="E92" s="23">
        <v>0</v>
      </c>
      <c r="F92" s="23">
        <v>0</v>
      </c>
      <c r="G92" s="23">
        <v>0</v>
      </c>
      <c r="H92" s="26" t="s">
        <v>141</v>
      </c>
    </row>
    <row r="93" spans="2:8" x14ac:dyDescent="0.25">
      <c r="B93" s="23" t="s">
        <v>142</v>
      </c>
      <c r="C93" s="23" t="s">
        <v>123</v>
      </c>
      <c r="D93" s="23" t="s">
        <v>37</v>
      </c>
      <c r="E93" s="23">
        <v>360</v>
      </c>
      <c r="F93" s="23">
        <v>0</v>
      </c>
      <c r="G93" s="23">
        <v>1</v>
      </c>
      <c r="H93" s="26" t="s">
        <v>143</v>
      </c>
    </row>
    <row r="94" spans="2:8" x14ac:dyDescent="0.25">
      <c r="B94" s="23" t="s">
        <v>144</v>
      </c>
      <c r="C94" s="23" t="s">
        <v>123</v>
      </c>
      <c r="D94" s="23" t="s">
        <v>37</v>
      </c>
      <c r="E94" s="23">
        <v>0</v>
      </c>
      <c r="F94" s="23">
        <v>0</v>
      </c>
      <c r="G94" s="23">
        <v>0</v>
      </c>
      <c r="H94" s="26" t="s">
        <v>145</v>
      </c>
    </row>
    <row r="95" spans="2:8" x14ac:dyDescent="0.25">
      <c r="B95" s="23" t="s">
        <v>146</v>
      </c>
      <c r="C95" s="23" t="s">
        <v>123</v>
      </c>
      <c r="D95" s="23" t="s">
        <v>37</v>
      </c>
      <c r="E95" s="23">
        <v>0</v>
      </c>
      <c r="F95" s="23">
        <v>0</v>
      </c>
      <c r="G95" s="23">
        <v>0</v>
      </c>
      <c r="H95" s="26" t="s">
        <v>147</v>
      </c>
    </row>
    <row r="96" spans="2:8" x14ac:dyDescent="0.25">
      <c r="B96" s="23" t="s">
        <v>148</v>
      </c>
      <c r="C96" s="23" t="s">
        <v>123</v>
      </c>
      <c r="D96" s="23" t="s">
        <v>37</v>
      </c>
      <c r="E96" s="23">
        <v>0</v>
      </c>
      <c r="F96" s="23">
        <v>0</v>
      </c>
      <c r="G96" s="23">
        <v>0</v>
      </c>
      <c r="H96" s="26" t="s">
        <v>149</v>
      </c>
    </row>
    <row r="97" spans="2:8" x14ac:dyDescent="0.25">
      <c r="B97" s="23" t="s">
        <v>150</v>
      </c>
      <c r="C97" s="23" t="s">
        <v>123</v>
      </c>
      <c r="D97" s="23" t="s">
        <v>37</v>
      </c>
      <c r="E97" s="23">
        <v>0</v>
      </c>
      <c r="F97" s="23">
        <v>0</v>
      </c>
      <c r="G97" s="23">
        <v>0</v>
      </c>
      <c r="H97" s="26" t="s">
        <v>151</v>
      </c>
    </row>
    <row r="98" spans="2:8" x14ac:dyDescent="0.25">
      <c r="B98" s="23" t="s">
        <v>152</v>
      </c>
      <c r="C98" s="23" t="s">
        <v>123</v>
      </c>
      <c r="D98" s="23" t="s">
        <v>37</v>
      </c>
      <c r="E98" s="23">
        <v>0</v>
      </c>
      <c r="F98" s="23">
        <v>0</v>
      </c>
      <c r="G98" s="23">
        <v>0</v>
      </c>
      <c r="H98" s="26" t="s">
        <v>151</v>
      </c>
    </row>
    <row r="99" spans="2:8" x14ac:dyDescent="0.25">
      <c r="B99" s="23" t="s">
        <v>153</v>
      </c>
      <c r="C99" s="23" t="s">
        <v>154</v>
      </c>
      <c r="D99" s="23" t="s">
        <v>37</v>
      </c>
      <c r="E99" s="23">
        <v>0</v>
      </c>
      <c r="F99" s="23">
        <v>0</v>
      </c>
      <c r="G99" s="23">
        <v>0</v>
      </c>
      <c r="H99" s="26" t="s">
        <v>155</v>
      </c>
    </row>
    <row r="100" spans="2:8" x14ac:dyDescent="0.25">
      <c r="B100" s="23" t="s">
        <v>156</v>
      </c>
      <c r="C100" s="23" t="s">
        <v>154</v>
      </c>
      <c r="D100" s="23" t="s">
        <v>37</v>
      </c>
      <c r="E100" s="23">
        <v>0</v>
      </c>
      <c r="F100" s="23">
        <v>0</v>
      </c>
      <c r="G100" s="23">
        <v>0</v>
      </c>
      <c r="H100" s="26" t="s">
        <v>157</v>
      </c>
    </row>
    <row r="101" spans="2:8" x14ac:dyDescent="0.25">
      <c r="B101" s="23" t="s">
        <v>158</v>
      </c>
      <c r="C101" s="23" t="s">
        <v>154</v>
      </c>
      <c r="D101" s="23" t="s">
        <v>24</v>
      </c>
      <c r="E101" s="23">
        <v>0</v>
      </c>
      <c r="F101" s="23">
        <v>0</v>
      </c>
      <c r="G101" s="23">
        <v>0</v>
      </c>
      <c r="H101" s="26" t="s">
        <v>159</v>
      </c>
    </row>
    <row r="102" spans="2:8" x14ac:dyDescent="0.25">
      <c r="B102" s="23" t="s">
        <v>160</v>
      </c>
      <c r="C102" s="23" t="s">
        <v>154</v>
      </c>
      <c r="D102" s="23" t="s">
        <v>24</v>
      </c>
      <c r="E102" s="23">
        <v>0</v>
      </c>
      <c r="F102" s="23">
        <v>0</v>
      </c>
      <c r="G102" s="23">
        <v>0</v>
      </c>
      <c r="H102" s="26" t="s">
        <v>161</v>
      </c>
    </row>
    <row r="103" spans="2:8" x14ac:dyDescent="0.25">
      <c r="B103" s="23" t="s">
        <v>162</v>
      </c>
      <c r="C103" s="23" t="s">
        <v>154</v>
      </c>
      <c r="D103" s="23" t="s">
        <v>40</v>
      </c>
      <c r="E103" s="23">
        <v>4680</v>
      </c>
      <c r="F103" s="23">
        <v>0</v>
      </c>
      <c r="G103" s="23">
        <v>1</v>
      </c>
      <c r="H103" s="26" t="s">
        <v>163</v>
      </c>
    </row>
    <row r="104" spans="2:8" x14ac:dyDescent="0.25">
      <c r="B104" s="23" t="s">
        <v>164</v>
      </c>
      <c r="C104" s="23" t="s">
        <v>154</v>
      </c>
      <c r="D104" s="23" t="s">
        <v>24</v>
      </c>
      <c r="E104" s="23">
        <v>0</v>
      </c>
      <c r="F104" s="23">
        <v>0</v>
      </c>
      <c r="G104" s="23">
        <v>0</v>
      </c>
      <c r="H104" s="26" t="s">
        <v>165</v>
      </c>
    </row>
    <row r="105" spans="2:8" x14ac:dyDescent="0.25">
      <c r="B105" s="23" t="s">
        <v>166</v>
      </c>
      <c r="C105" s="23" t="s">
        <v>167</v>
      </c>
      <c r="D105" s="23" t="s">
        <v>37</v>
      </c>
      <c r="E105" s="23">
        <v>0</v>
      </c>
      <c r="F105" s="23">
        <v>0</v>
      </c>
      <c r="G105" s="23">
        <v>0</v>
      </c>
      <c r="H105" s="26" t="s">
        <v>168</v>
      </c>
    </row>
    <row r="106" spans="2:8" x14ac:dyDescent="0.25">
      <c r="B106" s="23" t="s">
        <v>169</v>
      </c>
      <c r="C106" s="23" t="s">
        <v>167</v>
      </c>
      <c r="D106" s="23" t="s">
        <v>37</v>
      </c>
      <c r="E106" s="23">
        <v>0</v>
      </c>
      <c r="F106" s="23">
        <v>0</v>
      </c>
      <c r="G106" s="23">
        <v>0</v>
      </c>
      <c r="H106" s="26" t="s">
        <v>170</v>
      </c>
    </row>
    <row r="107" spans="2:8" x14ac:dyDescent="0.25">
      <c r="B107" s="23" t="s">
        <v>171</v>
      </c>
      <c r="C107" s="23" t="s">
        <v>167</v>
      </c>
      <c r="D107" s="23" t="s">
        <v>37</v>
      </c>
      <c r="E107" s="23">
        <v>0</v>
      </c>
      <c r="F107" s="23">
        <v>0</v>
      </c>
      <c r="G107" s="23">
        <v>0</v>
      </c>
      <c r="H107" s="26" t="s">
        <v>172</v>
      </c>
    </row>
    <row r="108" spans="2:8" x14ac:dyDescent="0.25">
      <c r="B108" s="23" t="s">
        <v>173</v>
      </c>
      <c r="C108" s="23" t="s">
        <v>167</v>
      </c>
      <c r="D108" s="23" t="s">
        <v>37</v>
      </c>
      <c r="E108" s="23">
        <v>0</v>
      </c>
      <c r="F108" s="23">
        <v>0</v>
      </c>
      <c r="G108" s="23">
        <v>0</v>
      </c>
      <c r="H108" s="26" t="s">
        <v>174</v>
      </c>
    </row>
    <row r="109" spans="2:8" x14ac:dyDescent="0.25">
      <c r="B109" s="23" t="s">
        <v>175</v>
      </c>
      <c r="C109" s="23" t="s">
        <v>167</v>
      </c>
      <c r="D109" s="23" t="s">
        <v>37</v>
      </c>
      <c r="E109" s="23">
        <v>0</v>
      </c>
      <c r="F109" s="23">
        <v>0</v>
      </c>
      <c r="G109" s="23">
        <v>0</v>
      </c>
      <c r="H109" s="26" t="s">
        <v>176</v>
      </c>
    </row>
    <row r="110" spans="2:8" x14ac:dyDescent="0.25">
      <c r="B110" s="23" t="s">
        <v>177</v>
      </c>
      <c r="C110" s="23" t="s">
        <v>167</v>
      </c>
      <c r="D110" s="23" t="s">
        <v>37</v>
      </c>
      <c r="E110" s="23">
        <v>0</v>
      </c>
      <c r="F110" s="23">
        <v>0</v>
      </c>
      <c r="G110" s="23">
        <v>0</v>
      </c>
      <c r="H110" s="26" t="s">
        <v>178</v>
      </c>
    </row>
    <row r="111" spans="2:8" x14ac:dyDescent="0.25">
      <c r="B111" s="23" t="s">
        <v>179</v>
      </c>
      <c r="C111" s="23" t="s">
        <v>167</v>
      </c>
      <c r="D111" s="23" t="s">
        <v>37</v>
      </c>
      <c r="E111" s="23">
        <v>0</v>
      </c>
      <c r="F111" s="23">
        <v>0</v>
      </c>
      <c r="G111" s="23">
        <v>0</v>
      </c>
      <c r="H111" s="26" t="s">
        <v>180</v>
      </c>
    </row>
    <row r="112" spans="2:8" x14ac:dyDescent="0.25">
      <c r="B112" s="23" t="s">
        <v>181</v>
      </c>
      <c r="C112" s="23" t="s">
        <v>167</v>
      </c>
      <c r="D112" s="23" t="s">
        <v>24</v>
      </c>
      <c r="E112" s="23">
        <v>0</v>
      </c>
      <c r="F112" s="23">
        <v>0</v>
      </c>
      <c r="G112" s="23">
        <v>0</v>
      </c>
      <c r="H112" s="26" t="s">
        <v>182</v>
      </c>
    </row>
    <row r="113" spans="2:8" x14ac:dyDescent="0.25">
      <c r="B113" s="23" t="s">
        <v>183</v>
      </c>
      <c r="C113" s="23" t="s">
        <v>167</v>
      </c>
      <c r="D113" s="23" t="s">
        <v>24</v>
      </c>
      <c r="E113" s="23">
        <v>0</v>
      </c>
      <c r="F113" s="23">
        <v>0</v>
      </c>
      <c r="G113" s="23">
        <v>0</v>
      </c>
      <c r="H113" s="26" t="s">
        <v>184</v>
      </c>
    </row>
    <row r="114" spans="2:8" x14ac:dyDescent="0.25">
      <c r="B114" s="23" t="s">
        <v>185</v>
      </c>
      <c r="C114" s="23" t="s">
        <v>167</v>
      </c>
      <c r="D114" s="23" t="s">
        <v>24</v>
      </c>
      <c r="E114" s="23">
        <v>0</v>
      </c>
      <c r="F114" s="23">
        <v>0</v>
      </c>
      <c r="G114" s="23">
        <v>0</v>
      </c>
      <c r="H114" s="26" t="s">
        <v>186</v>
      </c>
    </row>
    <row r="115" spans="2:8" x14ac:dyDescent="0.25">
      <c r="B115" s="23" t="s">
        <v>187</v>
      </c>
      <c r="C115" s="23" t="s">
        <v>167</v>
      </c>
      <c r="D115" s="23" t="s">
        <v>37</v>
      </c>
      <c r="E115" s="23">
        <v>0</v>
      </c>
      <c r="F115" s="23">
        <v>0</v>
      </c>
      <c r="G115" s="23">
        <v>0</v>
      </c>
      <c r="H115" s="26" t="s">
        <v>188</v>
      </c>
    </row>
    <row r="116" spans="2:8" x14ac:dyDescent="0.25">
      <c r="B116" s="23" t="s">
        <v>189</v>
      </c>
      <c r="C116" s="23" t="s">
        <v>167</v>
      </c>
      <c r="D116" s="23" t="s">
        <v>37</v>
      </c>
      <c r="E116" s="23">
        <v>0</v>
      </c>
      <c r="F116" s="23">
        <v>0</v>
      </c>
      <c r="G116" s="23">
        <v>0</v>
      </c>
      <c r="H116" s="26" t="s">
        <v>190</v>
      </c>
    </row>
    <row r="117" spans="2:8" x14ac:dyDescent="0.25">
      <c r="B117" s="23" t="s">
        <v>191</v>
      </c>
      <c r="C117" s="23" t="s">
        <v>167</v>
      </c>
      <c r="D117" s="23" t="s">
        <v>24</v>
      </c>
      <c r="E117" s="23">
        <v>0</v>
      </c>
      <c r="F117" s="23">
        <v>0</v>
      </c>
      <c r="G117" s="23">
        <v>0</v>
      </c>
      <c r="H117" s="26" t="s">
        <v>192</v>
      </c>
    </row>
    <row r="118" spans="2:8" x14ac:dyDescent="0.25">
      <c r="B118" s="23" t="s">
        <v>193</v>
      </c>
      <c r="C118" s="23" t="s">
        <v>167</v>
      </c>
      <c r="D118" s="23" t="s">
        <v>24</v>
      </c>
      <c r="E118" s="23">
        <v>0</v>
      </c>
      <c r="F118" s="23">
        <v>0</v>
      </c>
      <c r="G118" s="23">
        <v>0</v>
      </c>
      <c r="H118" s="26" t="s">
        <v>194</v>
      </c>
    </row>
    <row r="119" spans="2:8" x14ac:dyDescent="0.25">
      <c r="B119" s="23" t="s">
        <v>195</v>
      </c>
      <c r="C119" s="23" t="s">
        <v>167</v>
      </c>
      <c r="D119" s="23" t="s">
        <v>40</v>
      </c>
      <c r="E119" s="23">
        <v>0</v>
      </c>
      <c r="F119" s="23">
        <v>0</v>
      </c>
      <c r="G119" s="23">
        <v>0</v>
      </c>
      <c r="H119" s="26" t="s">
        <v>196</v>
      </c>
    </row>
    <row r="120" spans="2:8" x14ac:dyDescent="0.25">
      <c r="B120" s="23" t="s">
        <v>197</v>
      </c>
      <c r="C120" s="23" t="s">
        <v>167</v>
      </c>
      <c r="D120" s="23" t="s">
        <v>40</v>
      </c>
      <c r="E120" s="23">
        <v>0</v>
      </c>
      <c r="F120" s="23">
        <v>0</v>
      </c>
      <c r="G120" s="23">
        <v>0</v>
      </c>
      <c r="H120" s="26" t="s">
        <v>198</v>
      </c>
    </row>
    <row r="121" spans="2:8" x14ac:dyDescent="0.25">
      <c r="B121" s="23" t="s">
        <v>199</v>
      </c>
      <c r="C121" s="23" t="s">
        <v>200</v>
      </c>
      <c r="D121" s="23" t="s">
        <v>40</v>
      </c>
      <c r="E121" s="23">
        <v>0</v>
      </c>
      <c r="F121" s="23">
        <v>0</v>
      </c>
      <c r="G121" s="23">
        <v>0</v>
      </c>
      <c r="H121" s="26" t="s">
        <v>201</v>
      </c>
    </row>
    <row r="122" spans="2:8" x14ac:dyDescent="0.25">
      <c r="B122" s="23" t="s">
        <v>202</v>
      </c>
      <c r="C122" s="23" t="s">
        <v>200</v>
      </c>
      <c r="D122" s="23" t="s">
        <v>40</v>
      </c>
      <c r="E122" s="23">
        <v>0</v>
      </c>
      <c r="F122" s="23">
        <v>0</v>
      </c>
      <c r="G122" s="23">
        <v>0</v>
      </c>
      <c r="H122" s="26" t="s">
        <v>203</v>
      </c>
    </row>
    <row r="123" spans="2:8" x14ac:dyDescent="0.25">
      <c r="B123" s="23" t="s">
        <v>204</v>
      </c>
      <c r="C123" s="23" t="s">
        <v>200</v>
      </c>
      <c r="D123" s="23" t="s">
        <v>40</v>
      </c>
      <c r="E123" s="23">
        <v>0</v>
      </c>
      <c r="F123" s="23">
        <v>0</v>
      </c>
      <c r="G123" s="23">
        <v>0</v>
      </c>
      <c r="H123" s="26" t="s">
        <v>205</v>
      </c>
    </row>
    <row r="124" spans="2:8" x14ac:dyDescent="0.25">
      <c r="B124" s="23" t="s">
        <v>206</v>
      </c>
      <c r="C124" s="23" t="s">
        <v>200</v>
      </c>
      <c r="D124" s="23" t="s">
        <v>40</v>
      </c>
      <c r="E124" s="23">
        <v>0</v>
      </c>
      <c r="F124" s="23">
        <v>0</v>
      </c>
      <c r="G124" s="23">
        <v>0</v>
      </c>
      <c r="H124" s="26" t="s">
        <v>207</v>
      </c>
    </row>
    <row r="125" spans="2:8" x14ac:dyDescent="0.25">
      <c r="B125" s="23" t="s">
        <v>208</v>
      </c>
      <c r="C125" s="23" t="s">
        <v>200</v>
      </c>
      <c r="D125" s="23" t="s">
        <v>24</v>
      </c>
      <c r="E125" s="23">
        <v>0</v>
      </c>
      <c r="F125" s="23">
        <v>0</v>
      </c>
      <c r="G125" s="23">
        <v>0</v>
      </c>
      <c r="H125" s="26" t="s">
        <v>209</v>
      </c>
    </row>
    <row r="126" spans="2:8" x14ac:dyDescent="0.25">
      <c r="B126" s="23" t="s">
        <v>210</v>
      </c>
      <c r="C126" s="23" t="s">
        <v>200</v>
      </c>
      <c r="D126" s="23" t="s">
        <v>37</v>
      </c>
      <c r="E126" s="23">
        <v>0</v>
      </c>
      <c r="F126" s="23">
        <v>0</v>
      </c>
      <c r="G126" s="23">
        <v>0</v>
      </c>
      <c r="H126" s="26" t="s">
        <v>211</v>
      </c>
    </row>
    <row r="127" spans="2:8" x14ac:dyDescent="0.25">
      <c r="B127" s="23" t="s">
        <v>212</v>
      </c>
      <c r="C127" s="23" t="s">
        <v>200</v>
      </c>
      <c r="D127" s="23" t="s">
        <v>37</v>
      </c>
      <c r="E127" s="23">
        <v>0</v>
      </c>
      <c r="F127" s="23">
        <v>0</v>
      </c>
      <c r="G127" s="23">
        <v>0</v>
      </c>
      <c r="H127" s="26" t="s">
        <v>213</v>
      </c>
    </row>
    <row r="128" spans="2:8" x14ac:dyDescent="0.25">
      <c r="B128" s="23" t="s">
        <v>214</v>
      </c>
      <c r="C128" s="23" t="s">
        <v>215</v>
      </c>
      <c r="D128" s="23" t="s">
        <v>37</v>
      </c>
      <c r="E128" s="23">
        <v>0</v>
      </c>
      <c r="F128" s="23">
        <v>0</v>
      </c>
      <c r="G128" s="23">
        <v>0</v>
      </c>
      <c r="H128" s="26" t="s">
        <v>216</v>
      </c>
    </row>
    <row r="129" spans="2:8" x14ac:dyDescent="0.25">
      <c r="B129" s="23" t="s">
        <v>217</v>
      </c>
      <c r="C129" s="23" t="s">
        <v>215</v>
      </c>
      <c r="D129" s="23" t="s">
        <v>37</v>
      </c>
      <c r="E129" s="23">
        <v>0</v>
      </c>
      <c r="F129" s="23">
        <v>0</v>
      </c>
      <c r="G129" s="23">
        <v>0</v>
      </c>
      <c r="H129" s="26" t="s">
        <v>218</v>
      </c>
    </row>
    <row r="130" spans="2:8" x14ac:dyDescent="0.25">
      <c r="B130" s="23" t="s">
        <v>219</v>
      </c>
      <c r="C130" s="23" t="s">
        <v>215</v>
      </c>
      <c r="D130" s="23" t="s">
        <v>37</v>
      </c>
      <c r="E130" s="23">
        <v>0</v>
      </c>
      <c r="F130" s="23">
        <v>0</v>
      </c>
      <c r="G130" s="23">
        <v>0</v>
      </c>
      <c r="H130" s="26" t="s">
        <v>220</v>
      </c>
    </row>
    <row r="131" spans="2:8" x14ac:dyDescent="0.25">
      <c r="B131" s="23" t="s">
        <v>221</v>
      </c>
      <c r="C131" s="23" t="s">
        <v>215</v>
      </c>
      <c r="D131" s="23" t="s">
        <v>24</v>
      </c>
      <c r="E131" s="23">
        <v>0</v>
      </c>
      <c r="F131" s="23">
        <v>0</v>
      </c>
      <c r="G131" s="23">
        <v>0</v>
      </c>
      <c r="H131" s="26" t="s">
        <v>222</v>
      </c>
    </row>
    <row r="132" spans="2:8" x14ac:dyDescent="0.25">
      <c r="B132" s="23" t="s">
        <v>223</v>
      </c>
      <c r="C132" s="23" t="s">
        <v>215</v>
      </c>
      <c r="D132" s="23" t="s">
        <v>24</v>
      </c>
      <c r="E132" s="23">
        <v>0</v>
      </c>
      <c r="F132" s="23">
        <v>0</v>
      </c>
      <c r="G132" s="23">
        <v>0</v>
      </c>
      <c r="H132" s="26" t="s">
        <v>224</v>
      </c>
    </row>
    <row r="133" spans="2:8" x14ac:dyDescent="0.25">
      <c r="B133" s="23" t="s">
        <v>225</v>
      </c>
      <c r="C133" s="23" t="s">
        <v>215</v>
      </c>
      <c r="D133" s="23" t="s">
        <v>40</v>
      </c>
      <c r="E133" s="23">
        <v>0</v>
      </c>
      <c r="F133" s="23">
        <v>0</v>
      </c>
      <c r="G133" s="23">
        <v>0</v>
      </c>
      <c r="H133" s="26" t="s">
        <v>226</v>
      </c>
    </row>
    <row r="134" spans="2:8" x14ac:dyDescent="0.25">
      <c r="B134" s="23" t="s">
        <v>227</v>
      </c>
      <c r="C134" s="23" t="s">
        <v>215</v>
      </c>
      <c r="D134" s="23" t="s">
        <v>40</v>
      </c>
      <c r="E134" s="23">
        <v>0</v>
      </c>
      <c r="F134" s="23">
        <v>0</v>
      </c>
      <c r="G134" s="23">
        <v>0</v>
      </c>
      <c r="H134" s="26" t="s">
        <v>228</v>
      </c>
    </row>
    <row r="135" spans="2:8" x14ac:dyDescent="0.25">
      <c r="B135" s="23" t="s">
        <v>229</v>
      </c>
      <c r="C135" s="23" t="s">
        <v>215</v>
      </c>
      <c r="D135" s="23" t="s">
        <v>40</v>
      </c>
      <c r="E135" s="23">
        <v>0</v>
      </c>
      <c r="F135" s="23">
        <v>0</v>
      </c>
      <c r="G135" s="23">
        <v>0</v>
      </c>
      <c r="H135" s="26" t="s">
        <v>230</v>
      </c>
    </row>
    <row r="136" spans="2:8" x14ac:dyDescent="0.25">
      <c r="B136" s="23" t="s">
        <v>231</v>
      </c>
      <c r="C136" s="23" t="s">
        <v>215</v>
      </c>
      <c r="D136" s="23" t="s">
        <v>24</v>
      </c>
      <c r="E136" s="23">
        <v>0</v>
      </c>
      <c r="F136" s="23">
        <v>0</v>
      </c>
      <c r="G136" s="23">
        <v>0</v>
      </c>
      <c r="H136" s="26" t="s">
        <v>232</v>
      </c>
    </row>
    <row r="137" spans="2:8" x14ac:dyDescent="0.25">
      <c r="B137" s="23" t="s">
        <v>233</v>
      </c>
      <c r="C137" s="23" t="s">
        <v>215</v>
      </c>
      <c r="D137" s="23" t="s">
        <v>24</v>
      </c>
      <c r="E137" s="23">
        <v>0</v>
      </c>
      <c r="F137" s="23">
        <v>0</v>
      </c>
      <c r="G137" s="23">
        <v>0</v>
      </c>
      <c r="H137" s="26" t="s">
        <v>234</v>
      </c>
    </row>
    <row r="138" spans="2:8" x14ac:dyDescent="0.25">
      <c r="B138" s="23" t="s">
        <v>235</v>
      </c>
      <c r="C138" s="23" t="s">
        <v>215</v>
      </c>
      <c r="D138" s="23" t="s">
        <v>24</v>
      </c>
      <c r="E138" s="23">
        <v>0</v>
      </c>
      <c r="F138" s="23">
        <v>0</v>
      </c>
      <c r="G138" s="23">
        <v>0</v>
      </c>
      <c r="H138" s="26" t="s">
        <v>236</v>
      </c>
    </row>
    <row r="139" spans="2:8" x14ac:dyDescent="0.25">
      <c r="B139" s="23" t="s">
        <v>237</v>
      </c>
      <c r="C139" s="23" t="s">
        <v>215</v>
      </c>
      <c r="D139" s="23" t="s">
        <v>24</v>
      </c>
      <c r="E139" s="23">
        <v>0</v>
      </c>
      <c r="F139" s="23">
        <v>0</v>
      </c>
      <c r="G139" s="23">
        <v>0</v>
      </c>
      <c r="H139" s="26" t="s">
        <v>238</v>
      </c>
    </row>
    <row r="140" spans="2:8" x14ac:dyDescent="0.25">
      <c r="B140" s="23" t="s">
        <v>239</v>
      </c>
      <c r="C140" s="23" t="s">
        <v>215</v>
      </c>
      <c r="D140" s="23" t="s">
        <v>37</v>
      </c>
      <c r="E140" s="23">
        <v>0</v>
      </c>
      <c r="F140" s="23">
        <v>0</v>
      </c>
      <c r="G140" s="23">
        <v>0</v>
      </c>
      <c r="H140" s="26" t="s">
        <v>240</v>
      </c>
    </row>
    <row r="141" spans="2:8" x14ac:dyDescent="0.25">
      <c r="B141" s="23" t="s">
        <v>241</v>
      </c>
      <c r="C141" s="23" t="s">
        <v>215</v>
      </c>
      <c r="D141" s="23" t="s">
        <v>37</v>
      </c>
      <c r="E141" s="23">
        <v>0</v>
      </c>
      <c r="F141" s="23">
        <v>0</v>
      </c>
      <c r="G141" s="23">
        <v>0</v>
      </c>
      <c r="H141" s="26" t="s">
        <v>242</v>
      </c>
    </row>
    <row r="142" spans="2:8" x14ac:dyDescent="0.25">
      <c r="B142" s="23" t="s">
        <v>243</v>
      </c>
      <c r="C142" s="23" t="s">
        <v>215</v>
      </c>
      <c r="D142" s="23" t="s">
        <v>40</v>
      </c>
      <c r="E142" s="23">
        <v>0</v>
      </c>
      <c r="F142" s="23">
        <v>0</v>
      </c>
      <c r="G142" s="23">
        <v>0</v>
      </c>
      <c r="H142" s="26" t="s">
        <v>244</v>
      </c>
    </row>
    <row r="143" spans="2:8" x14ac:dyDescent="0.25">
      <c r="B143" s="23" t="s">
        <v>245</v>
      </c>
      <c r="C143" s="23" t="s">
        <v>215</v>
      </c>
      <c r="D143" s="23" t="s">
        <v>24</v>
      </c>
      <c r="E143" s="23">
        <v>0</v>
      </c>
      <c r="F143" s="23">
        <v>0</v>
      </c>
      <c r="G143" s="23">
        <v>0</v>
      </c>
      <c r="H143" s="26" t="s">
        <v>246</v>
      </c>
    </row>
    <row r="144" spans="2:8" x14ac:dyDescent="0.25">
      <c r="B144" s="23" t="s">
        <v>247</v>
      </c>
      <c r="C144" s="23" t="s">
        <v>215</v>
      </c>
      <c r="D144" s="23" t="s">
        <v>40</v>
      </c>
      <c r="E144" s="23">
        <v>0</v>
      </c>
      <c r="F144" s="23">
        <v>0</v>
      </c>
      <c r="G144" s="23">
        <v>0</v>
      </c>
      <c r="H144" s="26" t="s">
        <v>248</v>
      </c>
    </row>
    <row r="145" spans="2:8" x14ac:dyDescent="0.25">
      <c r="B145" s="23" t="s">
        <v>249</v>
      </c>
      <c r="C145" s="23" t="s">
        <v>215</v>
      </c>
      <c r="D145" s="23" t="s">
        <v>24</v>
      </c>
      <c r="E145" s="23">
        <v>0</v>
      </c>
      <c r="F145" s="23">
        <v>0</v>
      </c>
      <c r="G145" s="23">
        <v>0</v>
      </c>
      <c r="H145" s="26" t="s">
        <v>250</v>
      </c>
    </row>
    <row r="146" spans="2:8" x14ac:dyDescent="0.25">
      <c r="B146" s="23" t="s">
        <v>251</v>
      </c>
      <c r="C146" s="23" t="s">
        <v>252</v>
      </c>
      <c r="D146" s="23" t="s">
        <v>37</v>
      </c>
      <c r="E146" s="23">
        <v>0</v>
      </c>
      <c r="F146" s="23">
        <v>0</v>
      </c>
      <c r="G146" s="23">
        <v>0</v>
      </c>
      <c r="H146" s="26" t="s">
        <v>253</v>
      </c>
    </row>
    <row r="147" spans="2:8" x14ac:dyDescent="0.25">
      <c r="B147" s="23" t="s">
        <v>254</v>
      </c>
      <c r="C147" s="23" t="s">
        <v>252</v>
      </c>
      <c r="D147" s="23" t="s">
        <v>37</v>
      </c>
      <c r="E147" s="23">
        <v>0</v>
      </c>
      <c r="F147" s="23">
        <v>0</v>
      </c>
      <c r="G147" s="23">
        <v>0</v>
      </c>
      <c r="H147" s="26" t="s">
        <v>255</v>
      </c>
    </row>
    <row r="148" spans="2:8" x14ac:dyDescent="0.25">
      <c r="B148" s="23" t="s">
        <v>256</v>
      </c>
      <c r="C148" s="23" t="s">
        <v>252</v>
      </c>
      <c r="D148" s="23" t="s">
        <v>37</v>
      </c>
      <c r="E148" s="23">
        <v>0</v>
      </c>
      <c r="F148" s="23">
        <v>0</v>
      </c>
      <c r="G148" s="23">
        <v>0</v>
      </c>
      <c r="H148" s="26" t="s">
        <v>257</v>
      </c>
    </row>
    <row r="149" spans="2:8" x14ac:dyDescent="0.25">
      <c r="B149" s="23" t="s">
        <v>258</v>
      </c>
      <c r="C149" s="23" t="s">
        <v>252</v>
      </c>
      <c r="D149" s="23" t="s">
        <v>37</v>
      </c>
      <c r="E149" s="23">
        <v>0</v>
      </c>
      <c r="F149" s="23">
        <v>0</v>
      </c>
      <c r="G149" s="23">
        <v>0</v>
      </c>
      <c r="H149" s="26" t="s">
        <v>259</v>
      </c>
    </row>
    <row r="150" spans="2:8" x14ac:dyDescent="0.25">
      <c r="B150" s="23" t="s">
        <v>260</v>
      </c>
      <c r="C150" s="23" t="s">
        <v>252</v>
      </c>
      <c r="D150" s="23" t="s">
        <v>37</v>
      </c>
      <c r="E150" s="23">
        <v>0</v>
      </c>
      <c r="F150" s="23">
        <v>0</v>
      </c>
      <c r="G150" s="23">
        <v>0</v>
      </c>
      <c r="H150" s="26" t="s">
        <v>261</v>
      </c>
    </row>
    <row r="151" spans="2:8" x14ac:dyDescent="0.25">
      <c r="B151" s="23" t="s">
        <v>262</v>
      </c>
      <c r="C151" s="23" t="s">
        <v>252</v>
      </c>
      <c r="D151" s="23" t="s">
        <v>37</v>
      </c>
      <c r="E151" s="23">
        <v>0</v>
      </c>
      <c r="F151" s="23">
        <v>0</v>
      </c>
      <c r="G151" s="23">
        <v>0</v>
      </c>
      <c r="H151" s="26" t="s">
        <v>263</v>
      </c>
    </row>
    <row r="152" spans="2:8" x14ac:dyDescent="0.25">
      <c r="B152" s="23" t="s">
        <v>264</v>
      </c>
      <c r="C152" s="23" t="s">
        <v>252</v>
      </c>
      <c r="D152" s="23" t="s">
        <v>37</v>
      </c>
      <c r="E152" s="23">
        <v>0</v>
      </c>
      <c r="F152" s="23">
        <v>0</v>
      </c>
      <c r="G152" s="23">
        <v>0</v>
      </c>
      <c r="H152" s="26" t="s">
        <v>265</v>
      </c>
    </row>
    <row r="153" spans="2:8" x14ac:dyDescent="0.25">
      <c r="B153" s="23" t="s">
        <v>266</v>
      </c>
      <c r="C153" s="23" t="s">
        <v>252</v>
      </c>
      <c r="D153" s="23" t="s">
        <v>37</v>
      </c>
      <c r="E153" s="23">
        <v>0</v>
      </c>
      <c r="F153" s="23">
        <v>0</v>
      </c>
      <c r="G153" s="23">
        <v>0</v>
      </c>
      <c r="H153" s="26" t="s">
        <v>267</v>
      </c>
    </row>
    <row r="154" spans="2:8" x14ac:dyDescent="0.25">
      <c r="B154" s="23" t="s">
        <v>268</v>
      </c>
      <c r="C154" s="23" t="s">
        <v>269</v>
      </c>
      <c r="D154" s="23" t="s">
        <v>37</v>
      </c>
      <c r="E154" s="23">
        <v>0</v>
      </c>
      <c r="F154" s="23">
        <v>0</v>
      </c>
      <c r="G154" s="23">
        <v>0</v>
      </c>
      <c r="H154" s="26" t="s">
        <v>270</v>
      </c>
    </row>
    <row r="155" spans="2:8" x14ac:dyDescent="0.25">
      <c r="B155" s="23" t="s">
        <v>271</v>
      </c>
      <c r="C155" s="23" t="s">
        <v>269</v>
      </c>
      <c r="D155" s="23" t="s">
        <v>24</v>
      </c>
      <c r="E155" s="23">
        <v>0</v>
      </c>
      <c r="F155" s="23">
        <v>0</v>
      </c>
      <c r="G155" s="23">
        <v>0</v>
      </c>
      <c r="H155" s="26" t="s">
        <v>272</v>
      </c>
    </row>
    <row r="156" spans="2:8" x14ac:dyDescent="0.25">
      <c r="B156" s="23" t="s">
        <v>273</v>
      </c>
      <c r="C156" s="23" t="s">
        <v>269</v>
      </c>
      <c r="D156" s="23" t="s">
        <v>24</v>
      </c>
      <c r="E156" s="23">
        <v>0</v>
      </c>
      <c r="F156" s="23">
        <v>0</v>
      </c>
      <c r="G156" s="23">
        <v>0</v>
      </c>
      <c r="H156" s="26" t="s">
        <v>274</v>
      </c>
    </row>
    <row r="157" spans="2:8" x14ac:dyDescent="0.25">
      <c r="B157" s="23" t="s">
        <v>275</v>
      </c>
      <c r="C157" s="23" t="s">
        <v>269</v>
      </c>
      <c r="D157" s="23" t="s">
        <v>37</v>
      </c>
      <c r="E157" s="23">
        <v>0</v>
      </c>
      <c r="F157" s="23">
        <v>0</v>
      </c>
      <c r="G157" s="23">
        <v>0</v>
      </c>
      <c r="H157" s="26" t="s">
        <v>276</v>
      </c>
    </row>
    <row r="158" spans="2:8" x14ac:dyDescent="0.25">
      <c r="B158" s="23" t="s">
        <v>277</v>
      </c>
      <c r="C158" s="23" t="s">
        <v>269</v>
      </c>
      <c r="D158" s="23" t="s">
        <v>37</v>
      </c>
      <c r="E158" s="23">
        <v>0</v>
      </c>
      <c r="F158" s="23">
        <v>0</v>
      </c>
      <c r="G158" s="23">
        <v>0</v>
      </c>
      <c r="H158" s="26" t="s">
        <v>278</v>
      </c>
    </row>
    <row r="159" spans="2:8" x14ac:dyDescent="0.25">
      <c r="B159" s="23" t="s">
        <v>279</v>
      </c>
      <c r="C159" s="23" t="s">
        <v>280</v>
      </c>
      <c r="D159" s="23" t="s">
        <v>37</v>
      </c>
      <c r="E159" s="23">
        <v>0</v>
      </c>
      <c r="F159" s="23">
        <v>0</v>
      </c>
      <c r="G159" s="23">
        <v>0</v>
      </c>
      <c r="H159" s="26" t="s">
        <v>281</v>
      </c>
    </row>
    <row r="160" spans="2:8" x14ac:dyDescent="0.25">
      <c r="B160" s="23" t="s">
        <v>282</v>
      </c>
      <c r="C160" s="23" t="s">
        <v>280</v>
      </c>
      <c r="D160" s="23" t="s">
        <v>37</v>
      </c>
      <c r="E160" s="23">
        <v>0</v>
      </c>
      <c r="F160" s="23">
        <v>0</v>
      </c>
      <c r="G160" s="23">
        <v>0</v>
      </c>
      <c r="H160" s="26" t="s">
        <v>283</v>
      </c>
    </row>
    <row r="161" spans="2:8" x14ac:dyDescent="0.25">
      <c r="B161" s="23" t="s">
        <v>284</v>
      </c>
      <c r="C161" s="23" t="s">
        <v>280</v>
      </c>
      <c r="D161" s="23" t="s">
        <v>37</v>
      </c>
      <c r="E161" s="23">
        <v>0</v>
      </c>
      <c r="F161" s="23">
        <v>0</v>
      </c>
      <c r="G161" s="23">
        <v>0</v>
      </c>
      <c r="H161" s="26" t="s">
        <v>285</v>
      </c>
    </row>
    <row r="162" spans="2:8" x14ac:dyDescent="0.25">
      <c r="B162" s="23" t="s">
        <v>286</v>
      </c>
      <c r="C162" s="23" t="s">
        <v>280</v>
      </c>
      <c r="D162" s="23" t="s">
        <v>24</v>
      </c>
      <c r="E162" s="23">
        <v>0</v>
      </c>
      <c r="F162" s="23">
        <v>0</v>
      </c>
      <c r="G162" s="23">
        <v>0</v>
      </c>
      <c r="H162" s="26" t="s">
        <v>287</v>
      </c>
    </row>
    <row r="163" spans="2:8" x14ac:dyDescent="0.25">
      <c r="B163" s="23" t="s">
        <v>288</v>
      </c>
      <c r="C163" s="23" t="s">
        <v>280</v>
      </c>
      <c r="D163" s="23" t="s">
        <v>37</v>
      </c>
      <c r="E163" s="23">
        <v>0</v>
      </c>
      <c r="F163" s="23">
        <v>0</v>
      </c>
      <c r="G163" s="23">
        <v>0</v>
      </c>
      <c r="H163" s="26" t="s">
        <v>289</v>
      </c>
    </row>
    <row r="164" spans="2:8" x14ac:dyDescent="0.25">
      <c r="B164" s="23" t="s">
        <v>290</v>
      </c>
      <c r="C164" s="23" t="s">
        <v>291</v>
      </c>
      <c r="D164" s="23" t="s">
        <v>37</v>
      </c>
      <c r="E164" s="23">
        <v>0</v>
      </c>
      <c r="F164" s="23">
        <v>0</v>
      </c>
      <c r="G164" s="23">
        <v>0</v>
      </c>
      <c r="H164" s="26" t="s">
        <v>292</v>
      </c>
    </row>
    <row r="165" spans="2:8" x14ac:dyDescent="0.25">
      <c r="B165" s="23" t="s">
        <v>293</v>
      </c>
      <c r="C165" s="23" t="s">
        <v>291</v>
      </c>
      <c r="D165" s="23" t="s">
        <v>37</v>
      </c>
      <c r="E165" s="23">
        <v>0</v>
      </c>
      <c r="F165" s="23">
        <v>0</v>
      </c>
      <c r="G165" s="23">
        <v>0</v>
      </c>
      <c r="H165" s="26" t="s">
        <v>294</v>
      </c>
    </row>
    <row r="166" spans="2:8" x14ac:dyDescent="0.25">
      <c r="B166" s="23" t="s">
        <v>295</v>
      </c>
      <c r="C166" s="23" t="s">
        <v>291</v>
      </c>
      <c r="D166" s="23" t="s">
        <v>24</v>
      </c>
      <c r="E166" s="23">
        <v>0</v>
      </c>
      <c r="F166" s="23">
        <v>0</v>
      </c>
      <c r="G166" s="23">
        <v>0</v>
      </c>
      <c r="H166" s="26" t="s">
        <v>296</v>
      </c>
    </row>
    <row r="167" spans="2:8" x14ac:dyDescent="0.25">
      <c r="B167" s="23" t="s">
        <v>297</v>
      </c>
      <c r="C167" s="23" t="s">
        <v>291</v>
      </c>
      <c r="D167" s="23" t="s">
        <v>24</v>
      </c>
      <c r="E167" s="23">
        <v>0</v>
      </c>
      <c r="F167" s="23">
        <v>0</v>
      </c>
      <c r="G167" s="23">
        <v>0</v>
      </c>
      <c r="H167" s="26" t="s">
        <v>298</v>
      </c>
    </row>
    <row r="168" spans="2:8" x14ac:dyDescent="0.25">
      <c r="B168" s="23" t="s">
        <v>299</v>
      </c>
      <c r="C168" s="23" t="s">
        <v>291</v>
      </c>
      <c r="D168" s="23" t="s">
        <v>24</v>
      </c>
      <c r="E168" s="23">
        <v>0</v>
      </c>
      <c r="F168" s="23">
        <v>0</v>
      </c>
      <c r="G168" s="23">
        <v>0</v>
      </c>
      <c r="H168" s="26" t="s">
        <v>300</v>
      </c>
    </row>
    <row r="169" spans="2:8" x14ac:dyDescent="0.25">
      <c r="B169" s="23" t="s">
        <v>301</v>
      </c>
      <c r="C169" s="23" t="s">
        <v>302</v>
      </c>
      <c r="D169" s="23" t="s">
        <v>24</v>
      </c>
      <c r="E169" s="23">
        <v>0</v>
      </c>
      <c r="F169" s="23">
        <v>0</v>
      </c>
      <c r="G169" s="23">
        <v>0</v>
      </c>
      <c r="H169" s="26" t="s">
        <v>303</v>
      </c>
    </row>
    <row r="170" spans="2:8" x14ac:dyDescent="0.25">
      <c r="B170" s="23" t="s">
        <v>304</v>
      </c>
      <c r="C170" s="23" t="s">
        <v>302</v>
      </c>
      <c r="D170" s="23" t="s">
        <v>37</v>
      </c>
      <c r="E170" s="23">
        <v>0</v>
      </c>
      <c r="F170" s="23">
        <v>0</v>
      </c>
      <c r="G170" s="23">
        <v>0</v>
      </c>
      <c r="H170" s="26" t="s">
        <v>305</v>
      </c>
    </row>
    <row r="171" spans="2:8" x14ac:dyDescent="0.25">
      <c r="B171" s="23" t="s">
        <v>306</v>
      </c>
      <c r="C171" s="23" t="s">
        <v>302</v>
      </c>
      <c r="D171" s="23" t="s">
        <v>37</v>
      </c>
      <c r="E171" s="23">
        <v>0</v>
      </c>
      <c r="F171" s="23">
        <v>0</v>
      </c>
      <c r="G171" s="23">
        <v>0</v>
      </c>
      <c r="H171" s="26" t="s">
        <v>307</v>
      </c>
    </row>
    <row r="172" spans="2:8" x14ac:dyDescent="0.25">
      <c r="B172" s="23" t="s">
        <v>308</v>
      </c>
      <c r="C172" s="23" t="s">
        <v>302</v>
      </c>
      <c r="D172" s="23" t="s">
        <v>37</v>
      </c>
      <c r="E172" s="23">
        <v>0</v>
      </c>
      <c r="F172" s="23">
        <v>0</v>
      </c>
      <c r="G172" s="23">
        <v>0</v>
      </c>
      <c r="H172" s="26" t="s">
        <v>309</v>
      </c>
    </row>
    <row r="173" spans="2:8" x14ac:dyDescent="0.25">
      <c r="B173" s="23" t="s">
        <v>310</v>
      </c>
      <c r="C173" s="23" t="s">
        <v>302</v>
      </c>
      <c r="D173" s="23" t="s">
        <v>40</v>
      </c>
      <c r="E173" s="23">
        <v>0</v>
      </c>
      <c r="F173" s="23">
        <v>0</v>
      </c>
      <c r="G173" s="23">
        <v>0</v>
      </c>
      <c r="H173" s="26" t="s">
        <v>311</v>
      </c>
    </row>
    <row r="174" spans="2:8" x14ac:dyDescent="0.25">
      <c r="B174" s="23" t="s">
        <v>312</v>
      </c>
      <c r="C174" s="23" t="s">
        <v>302</v>
      </c>
      <c r="D174" s="23" t="s">
        <v>40</v>
      </c>
      <c r="E174" s="23">
        <v>0</v>
      </c>
      <c r="F174" s="23">
        <v>0</v>
      </c>
      <c r="G174" s="23">
        <v>0</v>
      </c>
      <c r="H174" s="26" t="s">
        <v>313</v>
      </c>
    </row>
    <row r="175" spans="2:8" x14ac:dyDescent="0.25">
      <c r="B175" s="23" t="s">
        <v>314</v>
      </c>
      <c r="C175" s="23" t="s">
        <v>302</v>
      </c>
      <c r="D175" s="23" t="s">
        <v>24</v>
      </c>
      <c r="E175" s="23">
        <v>0</v>
      </c>
      <c r="F175" s="23">
        <v>0</v>
      </c>
      <c r="G175" s="23">
        <v>0</v>
      </c>
      <c r="H175" s="26" t="s">
        <v>315</v>
      </c>
    </row>
    <row r="176" spans="2:8" x14ac:dyDescent="0.25">
      <c r="B176" s="23" t="s">
        <v>316</v>
      </c>
      <c r="C176" s="23" t="s">
        <v>302</v>
      </c>
      <c r="D176" s="23" t="s">
        <v>40</v>
      </c>
      <c r="E176" s="23">
        <v>0</v>
      </c>
      <c r="F176" s="23">
        <v>0</v>
      </c>
      <c r="G176" s="23">
        <v>0</v>
      </c>
      <c r="H176" s="26" t="s">
        <v>317</v>
      </c>
    </row>
    <row r="177" spans="2:8" x14ac:dyDescent="0.25">
      <c r="B177" s="23" t="s">
        <v>318</v>
      </c>
      <c r="C177" s="23" t="s">
        <v>302</v>
      </c>
      <c r="D177" s="23" t="s">
        <v>24</v>
      </c>
      <c r="E177" s="23">
        <v>0</v>
      </c>
      <c r="F177" s="23">
        <v>0</v>
      </c>
      <c r="G177" s="23">
        <v>0</v>
      </c>
      <c r="H177" s="26" t="s">
        <v>319</v>
      </c>
    </row>
    <row r="178" spans="2:8" x14ac:dyDescent="0.25">
      <c r="B178" s="23" t="s">
        <v>320</v>
      </c>
      <c r="C178" s="23" t="s">
        <v>302</v>
      </c>
      <c r="D178" s="23" t="s">
        <v>24</v>
      </c>
      <c r="E178" s="23">
        <v>0</v>
      </c>
      <c r="F178" s="23">
        <v>0</v>
      </c>
      <c r="G178" s="23">
        <v>0</v>
      </c>
      <c r="H178" s="26" t="s">
        <v>321</v>
      </c>
    </row>
    <row r="179" spans="2:8" x14ac:dyDescent="0.25">
      <c r="B179" s="23" t="s">
        <v>322</v>
      </c>
      <c r="C179" s="23" t="s">
        <v>302</v>
      </c>
      <c r="D179" s="23" t="s">
        <v>24</v>
      </c>
      <c r="E179" s="23">
        <v>0</v>
      </c>
      <c r="F179" s="23">
        <v>0</v>
      </c>
      <c r="G179" s="23">
        <v>0</v>
      </c>
      <c r="H179" s="26" t="s">
        <v>323</v>
      </c>
    </row>
    <row r="180" spans="2:8" x14ac:dyDescent="0.25">
      <c r="B180" s="23" t="s">
        <v>324</v>
      </c>
      <c r="C180" s="23" t="s">
        <v>302</v>
      </c>
      <c r="D180" s="23" t="s">
        <v>24</v>
      </c>
      <c r="E180" s="23">
        <v>0</v>
      </c>
      <c r="F180" s="23">
        <v>0</v>
      </c>
      <c r="G180" s="23">
        <v>0</v>
      </c>
      <c r="H180" s="26" t="s">
        <v>325</v>
      </c>
    </row>
    <row r="181" spans="2:8" x14ac:dyDescent="0.25">
      <c r="B181" s="23" t="s">
        <v>326</v>
      </c>
      <c r="C181" s="23" t="s">
        <v>302</v>
      </c>
      <c r="D181" s="23" t="s">
        <v>24</v>
      </c>
      <c r="E181" s="23">
        <v>0</v>
      </c>
      <c r="F181" s="23">
        <v>0</v>
      </c>
      <c r="G181" s="23">
        <v>0</v>
      </c>
      <c r="H181" s="26" t="s">
        <v>327</v>
      </c>
    </row>
    <row r="182" spans="2:8" x14ac:dyDescent="0.25">
      <c r="B182" s="23" t="s">
        <v>328</v>
      </c>
      <c r="C182" s="23" t="s">
        <v>302</v>
      </c>
      <c r="D182" s="23" t="s">
        <v>24</v>
      </c>
      <c r="E182" s="23">
        <v>0</v>
      </c>
      <c r="F182" s="23">
        <v>0</v>
      </c>
      <c r="G182" s="23">
        <v>0</v>
      </c>
      <c r="H182" s="26" t="s">
        <v>329</v>
      </c>
    </row>
    <row r="183" spans="2:8" x14ac:dyDescent="0.25">
      <c r="B183" s="23" t="s">
        <v>330</v>
      </c>
      <c r="C183" s="23" t="s">
        <v>302</v>
      </c>
      <c r="D183" s="23" t="s">
        <v>24</v>
      </c>
      <c r="E183" s="23">
        <v>0</v>
      </c>
      <c r="F183" s="23">
        <v>0</v>
      </c>
      <c r="G183" s="23">
        <v>0</v>
      </c>
      <c r="H183" s="26" t="s">
        <v>331</v>
      </c>
    </row>
    <row r="184" spans="2:8" x14ac:dyDescent="0.25">
      <c r="B184" s="23" t="s">
        <v>332</v>
      </c>
      <c r="C184" s="23" t="s">
        <v>302</v>
      </c>
      <c r="D184" s="23" t="s">
        <v>24</v>
      </c>
      <c r="E184" s="23">
        <v>0</v>
      </c>
      <c r="F184" s="23">
        <v>0</v>
      </c>
      <c r="G184" s="23">
        <v>0</v>
      </c>
      <c r="H184" s="26" t="s">
        <v>333</v>
      </c>
    </row>
    <row r="185" spans="2:8" x14ac:dyDescent="0.25">
      <c r="B185" s="23" t="s">
        <v>334</v>
      </c>
      <c r="C185" s="23" t="s">
        <v>302</v>
      </c>
      <c r="D185" s="23" t="s">
        <v>24</v>
      </c>
      <c r="E185" s="23">
        <v>0</v>
      </c>
      <c r="F185" s="23">
        <v>0</v>
      </c>
      <c r="G185" s="23">
        <v>0</v>
      </c>
      <c r="H185" s="26" t="s">
        <v>335</v>
      </c>
    </row>
    <row r="186" spans="2:8" x14ac:dyDescent="0.25">
      <c r="B186" s="23" t="s">
        <v>336</v>
      </c>
      <c r="C186" s="23" t="s">
        <v>302</v>
      </c>
      <c r="D186" s="23" t="s">
        <v>24</v>
      </c>
      <c r="E186" s="23">
        <v>0</v>
      </c>
      <c r="F186" s="23">
        <v>0</v>
      </c>
      <c r="G186" s="23">
        <v>0</v>
      </c>
      <c r="H186" s="26" t="s">
        <v>337</v>
      </c>
    </row>
    <row r="187" spans="2:8" x14ac:dyDescent="0.25">
      <c r="B187" s="23" t="s">
        <v>338</v>
      </c>
      <c r="C187" s="23" t="s">
        <v>302</v>
      </c>
      <c r="D187" s="23" t="s">
        <v>24</v>
      </c>
      <c r="E187" s="23">
        <v>0</v>
      </c>
      <c r="F187" s="23">
        <v>0</v>
      </c>
      <c r="G187" s="23">
        <v>0</v>
      </c>
      <c r="H187" s="26" t="s">
        <v>339</v>
      </c>
    </row>
    <row r="188" spans="2:8" x14ac:dyDescent="0.25">
      <c r="B188" s="23" t="s">
        <v>340</v>
      </c>
      <c r="C188" s="23" t="s">
        <v>302</v>
      </c>
      <c r="D188" s="23" t="s">
        <v>24</v>
      </c>
      <c r="E188" s="23">
        <v>0</v>
      </c>
      <c r="F188" s="23">
        <v>0</v>
      </c>
      <c r="G188" s="23">
        <v>0</v>
      </c>
      <c r="H188" s="26" t="s">
        <v>341</v>
      </c>
    </row>
    <row r="189" spans="2:8" x14ac:dyDescent="0.25">
      <c r="B189" s="23" t="s">
        <v>342</v>
      </c>
      <c r="C189" s="23" t="s">
        <v>302</v>
      </c>
      <c r="D189" s="23" t="s">
        <v>24</v>
      </c>
      <c r="E189" s="23">
        <v>0</v>
      </c>
      <c r="F189" s="23">
        <v>0</v>
      </c>
      <c r="G189" s="23">
        <v>0</v>
      </c>
      <c r="H189" s="26" t="s">
        <v>343</v>
      </c>
    </row>
    <row r="190" spans="2:8" x14ac:dyDescent="0.25">
      <c r="B190" s="23" t="s">
        <v>344</v>
      </c>
      <c r="C190" s="23" t="s">
        <v>302</v>
      </c>
      <c r="D190" s="23" t="s">
        <v>40</v>
      </c>
      <c r="E190" s="23">
        <v>0</v>
      </c>
      <c r="F190" s="23">
        <v>0</v>
      </c>
      <c r="G190" s="23">
        <v>0</v>
      </c>
      <c r="H190" s="26" t="s">
        <v>345</v>
      </c>
    </row>
    <row r="191" spans="2:8" x14ac:dyDescent="0.25">
      <c r="B191" s="23" t="s">
        <v>346</v>
      </c>
      <c r="C191" s="23" t="s">
        <v>302</v>
      </c>
      <c r="D191" s="23" t="s">
        <v>24</v>
      </c>
      <c r="E191" s="23">
        <v>0</v>
      </c>
      <c r="F191" s="23">
        <v>0</v>
      </c>
      <c r="G191" s="23">
        <v>0</v>
      </c>
      <c r="H191" s="26" t="s">
        <v>347</v>
      </c>
    </row>
    <row r="192" spans="2:8" x14ac:dyDescent="0.25">
      <c r="B192" s="23" t="s">
        <v>348</v>
      </c>
      <c r="C192" s="23" t="s">
        <v>302</v>
      </c>
      <c r="D192" s="23" t="s">
        <v>349</v>
      </c>
      <c r="E192" s="23">
        <v>0</v>
      </c>
      <c r="F192" s="23">
        <v>0</v>
      </c>
      <c r="G192" s="23">
        <v>0</v>
      </c>
      <c r="H192" s="26" t="s">
        <v>350</v>
      </c>
    </row>
    <row r="193" spans="2:8" x14ac:dyDescent="0.25">
      <c r="B193" s="23" t="s">
        <v>351</v>
      </c>
      <c r="C193" s="23" t="s">
        <v>302</v>
      </c>
      <c r="D193" s="23" t="s">
        <v>349</v>
      </c>
      <c r="E193" s="23">
        <v>0</v>
      </c>
      <c r="F193" s="23">
        <v>0</v>
      </c>
      <c r="G193" s="23">
        <v>0</v>
      </c>
      <c r="H193" s="26" t="s">
        <v>352</v>
      </c>
    </row>
    <row r="194" spans="2:8" x14ac:dyDescent="0.25">
      <c r="B194" s="23" t="s">
        <v>353</v>
      </c>
      <c r="C194" s="23" t="s">
        <v>302</v>
      </c>
      <c r="D194" s="23" t="s">
        <v>349</v>
      </c>
      <c r="E194" s="23">
        <v>0</v>
      </c>
      <c r="F194" s="23">
        <v>0</v>
      </c>
      <c r="G194" s="23">
        <v>0</v>
      </c>
      <c r="H194" s="26" t="s">
        <v>354</v>
      </c>
    </row>
    <row r="195" spans="2:8" x14ac:dyDescent="0.25">
      <c r="B195" s="23" t="s">
        <v>355</v>
      </c>
      <c r="C195" s="23" t="s">
        <v>302</v>
      </c>
      <c r="D195" s="23" t="s">
        <v>349</v>
      </c>
      <c r="E195" s="23">
        <v>0</v>
      </c>
      <c r="F195" s="23">
        <v>0</v>
      </c>
      <c r="G195" s="23">
        <v>0</v>
      </c>
      <c r="H195" s="26" t="s">
        <v>356</v>
      </c>
    </row>
    <row r="196" spans="2:8" x14ac:dyDescent="0.25">
      <c r="B196" s="23" t="s">
        <v>357</v>
      </c>
      <c r="C196" s="23" t="s">
        <v>302</v>
      </c>
      <c r="D196" s="23" t="s">
        <v>349</v>
      </c>
      <c r="E196" s="23">
        <v>0</v>
      </c>
      <c r="F196" s="23">
        <v>0</v>
      </c>
      <c r="G196" s="23">
        <v>0</v>
      </c>
      <c r="H196" s="26" t="s">
        <v>358</v>
      </c>
    </row>
    <row r="197" spans="2:8" x14ac:dyDescent="0.25">
      <c r="B197" s="23" t="s">
        <v>359</v>
      </c>
      <c r="C197" s="23" t="s">
        <v>302</v>
      </c>
      <c r="D197" s="23" t="s">
        <v>349</v>
      </c>
      <c r="E197" s="23">
        <v>0</v>
      </c>
      <c r="F197" s="23">
        <v>0</v>
      </c>
      <c r="G197" s="23">
        <v>0</v>
      </c>
      <c r="H197" s="26" t="s">
        <v>360</v>
      </c>
    </row>
    <row r="198" spans="2:8" x14ac:dyDescent="0.25">
      <c r="B198" s="23" t="s">
        <v>361</v>
      </c>
      <c r="C198" s="23" t="s">
        <v>302</v>
      </c>
      <c r="D198" s="23" t="s">
        <v>349</v>
      </c>
      <c r="E198" s="23">
        <v>0</v>
      </c>
      <c r="F198" s="23">
        <v>0</v>
      </c>
      <c r="G198" s="23">
        <v>0</v>
      </c>
      <c r="H198" s="26" t="s">
        <v>362</v>
      </c>
    </row>
    <row r="199" spans="2:8" x14ac:dyDescent="0.25">
      <c r="B199" s="23" t="s">
        <v>363</v>
      </c>
      <c r="C199" s="23" t="s">
        <v>302</v>
      </c>
      <c r="D199" s="23" t="s">
        <v>24</v>
      </c>
      <c r="E199" s="23">
        <v>0</v>
      </c>
      <c r="F199" s="23">
        <v>0</v>
      </c>
      <c r="G199" s="23">
        <v>0</v>
      </c>
      <c r="H199" s="26" t="s">
        <v>364</v>
      </c>
    </row>
    <row r="200" spans="2:8" x14ac:dyDescent="0.25">
      <c r="B200" s="23" t="s">
        <v>365</v>
      </c>
      <c r="C200" s="23" t="s">
        <v>302</v>
      </c>
      <c r="D200" s="23" t="s">
        <v>24</v>
      </c>
      <c r="E200" s="23">
        <v>0</v>
      </c>
      <c r="F200" s="23">
        <v>0</v>
      </c>
      <c r="G200" s="23">
        <v>0</v>
      </c>
      <c r="H200" s="26" t="s">
        <v>366</v>
      </c>
    </row>
    <row r="201" spans="2:8" x14ac:dyDescent="0.25">
      <c r="B201" s="23" t="s">
        <v>367</v>
      </c>
      <c r="C201" s="23" t="s">
        <v>302</v>
      </c>
      <c r="D201" s="23" t="s">
        <v>37</v>
      </c>
      <c r="E201" s="23">
        <v>0</v>
      </c>
      <c r="F201" s="23">
        <v>0</v>
      </c>
      <c r="G201" s="23">
        <v>0</v>
      </c>
      <c r="H201" s="26" t="s">
        <v>368</v>
      </c>
    </row>
    <row r="202" spans="2:8" x14ac:dyDescent="0.25">
      <c r="B202" s="23" t="s">
        <v>369</v>
      </c>
      <c r="C202" s="23" t="s">
        <v>302</v>
      </c>
      <c r="D202" s="23" t="s">
        <v>40</v>
      </c>
      <c r="E202" s="23">
        <v>0</v>
      </c>
      <c r="F202" s="23">
        <v>0</v>
      </c>
      <c r="G202" s="23">
        <v>0</v>
      </c>
      <c r="H202" s="26" t="s">
        <v>370</v>
      </c>
    </row>
    <row r="203" spans="2:8" x14ac:dyDescent="0.25">
      <c r="B203" s="23" t="s">
        <v>371</v>
      </c>
      <c r="C203" s="23" t="s">
        <v>302</v>
      </c>
      <c r="D203" s="23" t="s">
        <v>37</v>
      </c>
      <c r="E203" s="23">
        <v>0</v>
      </c>
      <c r="F203" s="23">
        <v>0</v>
      </c>
      <c r="G203" s="23">
        <v>0</v>
      </c>
      <c r="H203" s="26" t="s">
        <v>372</v>
      </c>
    </row>
    <row r="204" spans="2:8" x14ac:dyDescent="0.25">
      <c r="B204" s="23" t="s">
        <v>373</v>
      </c>
      <c r="C204" s="23" t="s">
        <v>302</v>
      </c>
      <c r="D204" s="23" t="s">
        <v>37</v>
      </c>
      <c r="E204" s="23">
        <v>0</v>
      </c>
      <c r="F204" s="23">
        <v>0</v>
      </c>
      <c r="G204" s="23">
        <v>0</v>
      </c>
      <c r="H204" s="26" t="s">
        <v>374</v>
      </c>
    </row>
    <row r="205" spans="2:8" x14ac:dyDescent="0.25">
      <c r="B205" s="23" t="s">
        <v>375</v>
      </c>
      <c r="C205" s="23" t="s">
        <v>376</v>
      </c>
      <c r="D205" s="23" t="s">
        <v>24</v>
      </c>
      <c r="E205" s="23">
        <v>0</v>
      </c>
      <c r="F205" s="23">
        <v>0</v>
      </c>
      <c r="G205" s="23">
        <v>0</v>
      </c>
      <c r="H205" s="26" t="s">
        <v>377</v>
      </c>
    </row>
    <row r="206" spans="2:8" x14ac:dyDescent="0.25">
      <c r="B206" s="23" t="s">
        <v>378</v>
      </c>
      <c r="C206" s="23" t="s">
        <v>376</v>
      </c>
      <c r="D206" s="23" t="s">
        <v>24</v>
      </c>
      <c r="E206" s="23">
        <v>0</v>
      </c>
      <c r="F206" s="23">
        <v>0</v>
      </c>
      <c r="G206" s="23">
        <v>0</v>
      </c>
      <c r="H206" s="26" t="s">
        <v>379</v>
      </c>
    </row>
    <row r="207" spans="2:8" x14ac:dyDescent="0.25">
      <c r="B207" s="23" t="s">
        <v>380</v>
      </c>
      <c r="C207" s="23" t="s">
        <v>376</v>
      </c>
      <c r="D207" s="23" t="s">
        <v>24</v>
      </c>
      <c r="E207" s="23">
        <v>0</v>
      </c>
      <c r="F207" s="23">
        <v>0</v>
      </c>
      <c r="G207" s="23">
        <v>0</v>
      </c>
      <c r="H207" s="26" t="s">
        <v>381</v>
      </c>
    </row>
    <row r="208" spans="2:8" x14ac:dyDescent="0.25">
      <c r="B208" s="23" t="s">
        <v>382</v>
      </c>
      <c r="C208" s="23" t="s">
        <v>376</v>
      </c>
      <c r="D208" s="23" t="s">
        <v>24</v>
      </c>
      <c r="E208" s="23">
        <v>0</v>
      </c>
      <c r="F208" s="23">
        <v>0</v>
      </c>
      <c r="G208" s="23">
        <v>0</v>
      </c>
      <c r="H208" s="26" t="s">
        <v>383</v>
      </c>
    </row>
    <row r="209" spans="2:8" x14ac:dyDescent="0.25">
      <c r="B209" s="23" t="s">
        <v>384</v>
      </c>
      <c r="C209" s="23" t="s">
        <v>376</v>
      </c>
      <c r="D209" s="23" t="s">
        <v>24</v>
      </c>
      <c r="E209" s="23">
        <v>0</v>
      </c>
      <c r="F209" s="23">
        <v>0</v>
      </c>
      <c r="G209" s="23">
        <v>0</v>
      </c>
      <c r="H209" s="26" t="s">
        <v>385</v>
      </c>
    </row>
    <row r="210" spans="2:8" x14ac:dyDescent="0.25">
      <c r="B210" s="23" t="s">
        <v>386</v>
      </c>
      <c r="C210" s="23" t="s">
        <v>376</v>
      </c>
      <c r="D210" s="23" t="s">
        <v>24</v>
      </c>
      <c r="E210" s="23">
        <v>0</v>
      </c>
      <c r="F210" s="23">
        <v>0</v>
      </c>
      <c r="G210" s="23">
        <v>0</v>
      </c>
      <c r="H210" s="26" t="s">
        <v>387</v>
      </c>
    </row>
    <row r="211" spans="2:8" x14ac:dyDescent="0.25">
      <c r="B211" s="23" t="s">
        <v>388</v>
      </c>
      <c r="C211" s="23" t="s">
        <v>376</v>
      </c>
      <c r="D211" s="23" t="s">
        <v>24</v>
      </c>
      <c r="E211" s="23">
        <v>0</v>
      </c>
      <c r="F211" s="23">
        <v>0</v>
      </c>
      <c r="G211" s="23">
        <v>0</v>
      </c>
      <c r="H211" s="26" t="s">
        <v>389</v>
      </c>
    </row>
    <row r="212" spans="2:8" x14ac:dyDescent="0.25">
      <c r="B212" s="23" t="s">
        <v>390</v>
      </c>
      <c r="C212" s="23" t="s">
        <v>376</v>
      </c>
      <c r="D212" s="23" t="s">
        <v>24</v>
      </c>
      <c r="E212" s="23">
        <v>5670</v>
      </c>
      <c r="F212" s="23">
        <v>0</v>
      </c>
      <c r="G212" s="23">
        <v>1</v>
      </c>
      <c r="H212" s="26" t="s">
        <v>391</v>
      </c>
    </row>
    <row r="213" spans="2:8" x14ac:dyDescent="0.25">
      <c r="B213" s="23" t="s">
        <v>392</v>
      </c>
      <c r="C213" s="23" t="s">
        <v>376</v>
      </c>
      <c r="D213" s="23" t="s">
        <v>24</v>
      </c>
      <c r="E213" s="23">
        <v>1080</v>
      </c>
      <c r="F213" s="23">
        <v>0</v>
      </c>
      <c r="G213" s="23">
        <v>1</v>
      </c>
      <c r="H213" s="26" t="s">
        <v>393</v>
      </c>
    </row>
    <row r="214" spans="2:8" x14ac:dyDescent="0.25">
      <c r="B214" s="23" t="s">
        <v>394</v>
      </c>
      <c r="C214" s="23" t="s">
        <v>376</v>
      </c>
      <c r="D214" s="23" t="s">
        <v>24</v>
      </c>
      <c r="E214" s="23">
        <v>0</v>
      </c>
      <c r="F214" s="23">
        <v>0</v>
      </c>
      <c r="G214" s="23">
        <v>0</v>
      </c>
      <c r="H214" s="26" t="s">
        <v>395</v>
      </c>
    </row>
    <row r="215" spans="2:8" x14ac:dyDescent="0.25">
      <c r="B215" s="23" t="s">
        <v>396</v>
      </c>
      <c r="C215" s="23" t="s">
        <v>376</v>
      </c>
      <c r="D215" s="23" t="s">
        <v>24</v>
      </c>
      <c r="E215" s="23">
        <v>900</v>
      </c>
      <c r="F215" s="23">
        <v>0</v>
      </c>
      <c r="G215" s="23">
        <v>1</v>
      </c>
      <c r="H215" s="26" t="s">
        <v>397</v>
      </c>
    </row>
    <row r="216" spans="2:8" x14ac:dyDescent="0.25">
      <c r="B216" s="23" t="s">
        <v>398</v>
      </c>
      <c r="C216" s="23" t="s">
        <v>376</v>
      </c>
      <c r="D216" s="23" t="s">
        <v>24</v>
      </c>
      <c r="E216" s="23">
        <v>0</v>
      </c>
      <c r="F216" s="23">
        <v>0</v>
      </c>
      <c r="G216" s="23">
        <v>0</v>
      </c>
      <c r="H216" s="26" t="s">
        <v>399</v>
      </c>
    </row>
    <row r="217" spans="2:8" x14ac:dyDescent="0.25">
      <c r="B217" s="23" t="s">
        <v>400</v>
      </c>
      <c r="C217" s="23" t="s">
        <v>376</v>
      </c>
      <c r="D217" s="23" t="s">
        <v>401</v>
      </c>
      <c r="E217" s="23">
        <v>0</v>
      </c>
      <c r="F217" s="23">
        <v>0</v>
      </c>
      <c r="G217" s="23">
        <v>0</v>
      </c>
      <c r="H217" s="26" t="s">
        <v>402</v>
      </c>
    </row>
    <row r="218" spans="2:8" x14ac:dyDescent="0.25">
      <c r="B218" s="23" t="s">
        <v>403</v>
      </c>
      <c r="C218" s="23" t="s">
        <v>376</v>
      </c>
      <c r="D218" s="23" t="s">
        <v>401</v>
      </c>
      <c r="E218" s="23">
        <v>0</v>
      </c>
      <c r="F218" s="23">
        <v>0</v>
      </c>
      <c r="G218" s="23">
        <v>0</v>
      </c>
      <c r="H218" s="26" t="s">
        <v>404</v>
      </c>
    </row>
    <row r="219" spans="2:8" x14ac:dyDescent="0.25">
      <c r="B219" s="23" t="s">
        <v>405</v>
      </c>
      <c r="C219" s="23" t="s">
        <v>376</v>
      </c>
      <c r="D219" s="23" t="s">
        <v>401</v>
      </c>
      <c r="E219" s="23">
        <v>0</v>
      </c>
      <c r="F219" s="23">
        <v>0</v>
      </c>
      <c r="G219" s="23">
        <v>0</v>
      </c>
      <c r="H219" s="26" t="s">
        <v>406</v>
      </c>
    </row>
    <row r="220" spans="2:8" x14ac:dyDescent="0.25">
      <c r="B220" s="23" t="s">
        <v>407</v>
      </c>
      <c r="C220" s="23" t="s">
        <v>376</v>
      </c>
      <c r="D220" s="23" t="s">
        <v>24</v>
      </c>
      <c r="E220" s="23">
        <v>0</v>
      </c>
      <c r="F220" s="23">
        <v>0</v>
      </c>
      <c r="G220" s="23">
        <v>0</v>
      </c>
      <c r="H220" s="26" t="s">
        <v>408</v>
      </c>
    </row>
    <row r="221" spans="2:8" x14ac:dyDescent="0.25">
      <c r="B221" s="23" t="s">
        <v>409</v>
      </c>
      <c r="C221" s="23" t="s">
        <v>376</v>
      </c>
      <c r="D221" s="23" t="s">
        <v>24</v>
      </c>
      <c r="E221" s="23">
        <v>0</v>
      </c>
      <c r="F221" s="23">
        <v>0</v>
      </c>
      <c r="G221" s="23">
        <v>0</v>
      </c>
      <c r="H221" s="26" t="s">
        <v>410</v>
      </c>
    </row>
    <row r="222" spans="2:8" x14ac:dyDescent="0.25">
      <c r="B222" s="23" t="s">
        <v>411</v>
      </c>
      <c r="C222" s="23" t="s">
        <v>376</v>
      </c>
      <c r="D222" s="23" t="s">
        <v>24</v>
      </c>
      <c r="E222" s="23">
        <v>0</v>
      </c>
      <c r="F222" s="23">
        <v>0</v>
      </c>
      <c r="G222" s="23">
        <v>0</v>
      </c>
      <c r="H222" s="26" t="s">
        <v>412</v>
      </c>
    </row>
    <row r="223" spans="2:8" x14ac:dyDescent="0.25">
      <c r="B223" s="23" t="s">
        <v>413</v>
      </c>
      <c r="C223" s="23" t="s">
        <v>376</v>
      </c>
      <c r="D223" s="23" t="s">
        <v>24</v>
      </c>
      <c r="E223" s="23">
        <v>0</v>
      </c>
      <c r="F223" s="23">
        <v>0</v>
      </c>
      <c r="G223" s="23">
        <v>0</v>
      </c>
      <c r="H223" s="26" t="s">
        <v>414</v>
      </c>
    </row>
    <row r="224" spans="2:8" x14ac:dyDescent="0.25">
      <c r="B224" s="23" t="s">
        <v>415</v>
      </c>
      <c r="C224" s="23" t="s">
        <v>376</v>
      </c>
      <c r="D224" s="23" t="s">
        <v>24</v>
      </c>
      <c r="E224" s="23">
        <v>1200</v>
      </c>
      <c r="F224" s="23">
        <v>0</v>
      </c>
      <c r="G224" s="23">
        <v>1</v>
      </c>
      <c r="H224" s="26" t="s">
        <v>416</v>
      </c>
    </row>
    <row r="225" spans="2:8" x14ac:dyDescent="0.25">
      <c r="B225" s="23" t="s">
        <v>417</v>
      </c>
      <c r="C225" s="23" t="s">
        <v>376</v>
      </c>
      <c r="D225" s="23" t="s">
        <v>37</v>
      </c>
      <c r="E225" s="23">
        <v>0</v>
      </c>
      <c r="F225" s="23">
        <v>0</v>
      </c>
      <c r="G225" s="23">
        <v>0</v>
      </c>
      <c r="H225" s="26" t="s">
        <v>418</v>
      </c>
    </row>
    <row r="226" spans="2:8" x14ac:dyDescent="0.25">
      <c r="B226" s="23" t="s">
        <v>419</v>
      </c>
      <c r="C226" s="23" t="s">
        <v>376</v>
      </c>
      <c r="D226" s="23" t="s">
        <v>37</v>
      </c>
      <c r="E226" s="23">
        <v>0</v>
      </c>
      <c r="F226" s="23">
        <v>0</v>
      </c>
      <c r="G226" s="23">
        <v>0</v>
      </c>
      <c r="H226" s="26" t="s">
        <v>420</v>
      </c>
    </row>
    <row r="227" spans="2:8" x14ac:dyDescent="0.25">
      <c r="B227" s="23" t="s">
        <v>421</v>
      </c>
      <c r="C227" s="23" t="s">
        <v>422</v>
      </c>
      <c r="D227" s="23" t="s">
        <v>24</v>
      </c>
      <c r="E227" s="23">
        <v>0</v>
      </c>
      <c r="F227" s="23">
        <v>0</v>
      </c>
      <c r="G227" s="23">
        <v>0</v>
      </c>
      <c r="H227" s="26" t="s">
        <v>423</v>
      </c>
    </row>
    <row r="228" spans="2:8" x14ac:dyDescent="0.25">
      <c r="B228" s="23" t="s">
        <v>424</v>
      </c>
      <c r="C228" s="23" t="s">
        <v>422</v>
      </c>
      <c r="D228" s="23" t="s">
        <v>24</v>
      </c>
      <c r="E228" s="23">
        <v>0</v>
      </c>
      <c r="F228" s="23">
        <v>0</v>
      </c>
      <c r="G228" s="23">
        <v>0</v>
      </c>
      <c r="H228" s="26" t="s">
        <v>425</v>
      </c>
    </row>
    <row r="229" spans="2:8" x14ac:dyDescent="0.25">
      <c r="B229" s="23" t="s">
        <v>426</v>
      </c>
      <c r="C229" s="23" t="s">
        <v>422</v>
      </c>
      <c r="D229" s="23" t="s">
        <v>24</v>
      </c>
      <c r="E229" s="23">
        <v>0</v>
      </c>
      <c r="F229" s="23">
        <v>0</v>
      </c>
      <c r="G229" s="23">
        <v>0</v>
      </c>
      <c r="H229" s="26" t="s">
        <v>427</v>
      </c>
    </row>
    <row r="230" spans="2:8" x14ac:dyDescent="0.25">
      <c r="B230" s="23" t="s">
        <v>428</v>
      </c>
      <c r="C230" s="23" t="s">
        <v>422</v>
      </c>
      <c r="D230" s="23" t="s">
        <v>24</v>
      </c>
      <c r="E230" s="23">
        <v>0</v>
      </c>
      <c r="F230" s="23">
        <v>0</v>
      </c>
      <c r="G230" s="23">
        <v>0</v>
      </c>
      <c r="H230" s="26" t="s">
        <v>429</v>
      </c>
    </row>
    <row r="231" spans="2:8" x14ac:dyDescent="0.25">
      <c r="B231" s="23" t="s">
        <v>430</v>
      </c>
      <c r="C231" s="23" t="s">
        <v>422</v>
      </c>
      <c r="D231" s="23" t="s">
        <v>24</v>
      </c>
      <c r="E231" s="23">
        <v>0</v>
      </c>
      <c r="F231" s="23">
        <v>0</v>
      </c>
      <c r="G231" s="23">
        <v>0</v>
      </c>
      <c r="H231" s="26" t="s">
        <v>431</v>
      </c>
    </row>
    <row r="232" spans="2:8" x14ac:dyDescent="0.25">
      <c r="B232" s="23" t="s">
        <v>432</v>
      </c>
      <c r="C232" s="23" t="s">
        <v>422</v>
      </c>
      <c r="D232" s="23" t="s">
        <v>24</v>
      </c>
      <c r="E232" s="23">
        <v>0</v>
      </c>
      <c r="F232" s="23">
        <v>0</v>
      </c>
      <c r="G232" s="23">
        <v>0</v>
      </c>
      <c r="H232" s="26" t="s">
        <v>433</v>
      </c>
    </row>
    <row r="233" spans="2:8" x14ac:dyDescent="0.25">
      <c r="B233" s="23" t="s">
        <v>434</v>
      </c>
      <c r="C233" s="23" t="s">
        <v>422</v>
      </c>
      <c r="D233" s="23" t="s">
        <v>40</v>
      </c>
      <c r="E233" s="23">
        <v>900</v>
      </c>
      <c r="F233" s="23">
        <v>0</v>
      </c>
      <c r="G233" s="23">
        <v>1</v>
      </c>
      <c r="H233" s="26" t="s">
        <v>435</v>
      </c>
    </row>
    <row r="234" spans="2:8" x14ac:dyDescent="0.25">
      <c r="B234" s="23" t="s">
        <v>436</v>
      </c>
      <c r="C234" s="23" t="s">
        <v>422</v>
      </c>
      <c r="D234" s="23" t="s">
        <v>24</v>
      </c>
      <c r="E234" s="23">
        <v>0</v>
      </c>
      <c r="F234" s="23">
        <v>0</v>
      </c>
      <c r="G234" s="23">
        <v>0</v>
      </c>
      <c r="H234" s="26" t="s">
        <v>437</v>
      </c>
    </row>
    <row r="235" spans="2:8" x14ac:dyDescent="0.25">
      <c r="B235" s="23" t="s">
        <v>438</v>
      </c>
      <c r="C235" s="23" t="s">
        <v>422</v>
      </c>
      <c r="D235" s="23" t="s">
        <v>37</v>
      </c>
      <c r="E235" s="23">
        <v>0</v>
      </c>
      <c r="F235" s="23">
        <v>0</v>
      </c>
      <c r="G235" s="23">
        <v>0</v>
      </c>
      <c r="H235" s="26" t="s">
        <v>439</v>
      </c>
    </row>
    <row r="236" spans="2:8" x14ac:dyDescent="0.25">
      <c r="B236" s="23" t="s">
        <v>440</v>
      </c>
      <c r="C236" s="23" t="s">
        <v>422</v>
      </c>
      <c r="D236" s="23" t="s">
        <v>24</v>
      </c>
      <c r="E236" s="23">
        <v>0</v>
      </c>
      <c r="F236" s="23">
        <v>0</v>
      </c>
      <c r="G236" s="23">
        <v>0</v>
      </c>
      <c r="H236" s="26" t="s">
        <v>441</v>
      </c>
    </row>
    <row r="237" spans="2:8" x14ac:dyDescent="0.25">
      <c r="B237" s="23" t="s">
        <v>442</v>
      </c>
      <c r="C237" s="23" t="s">
        <v>422</v>
      </c>
      <c r="D237" s="23" t="s">
        <v>40</v>
      </c>
      <c r="E237" s="23">
        <v>1200</v>
      </c>
      <c r="F237" s="23">
        <v>0</v>
      </c>
      <c r="G237" s="23">
        <v>1</v>
      </c>
      <c r="H237" s="26" t="s">
        <v>443</v>
      </c>
    </row>
    <row r="238" spans="2:8" x14ac:dyDescent="0.25">
      <c r="B238" s="23" t="s">
        <v>444</v>
      </c>
      <c r="C238" s="23" t="s">
        <v>422</v>
      </c>
      <c r="D238" s="23" t="s">
        <v>37</v>
      </c>
      <c r="E238" s="23">
        <v>0</v>
      </c>
      <c r="F238" s="23">
        <v>0</v>
      </c>
      <c r="G238" s="23">
        <v>0</v>
      </c>
      <c r="H238" s="26" t="s">
        <v>445</v>
      </c>
    </row>
    <row r="239" spans="2:8" x14ac:dyDescent="0.25">
      <c r="B239" s="23" t="s">
        <v>446</v>
      </c>
      <c r="C239" s="23" t="s">
        <v>422</v>
      </c>
      <c r="D239" s="23" t="s">
        <v>37</v>
      </c>
      <c r="E239" s="23">
        <v>0</v>
      </c>
      <c r="F239" s="23">
        <v>0</v>
      </c>
      <c r="G239" s="23">
        <v>0</v>
      </c>
      <c r="H239" s="26" t="s">
        <v>447</v>
      </c>
    </row>
    <row r="240" spans="2:8" x14ac:dyDescent="0.25">
      <c r="B240" s="23" t="s">
        <v>448</v>
      </c>
      <c r="C240" s="23" t="s">
        <v>422</v>
      </c>
      <c r="D240" s="23" t="s">
        <v>24</v>
      </c>
      <c r="E240" s="23">
        <v>450</v>
      </c>
      <c r="F240" s="23">
        <v>0</v>
      </c>
      <c r="G240" s="23">
        <v>1</v>
      </c>
      <c r="H240" s="26" t="s">
        <v>449</v>
      </c>
    </row>
    <row r="241" spans="2:11" x14ac:dyDescent="0.25">
      <c r="B241" s="23" t="s">
        <v>450</v>
      </c>
      <c r="C241" s="23" t="s">
        <v>422</v>
      </c>
      <c r="D241" s="23" t="s">
        <v>24</v>
      </c>
      <c r="E241" s="23">
        <v>0</v>
      </c>
      <c r="F241" s="23">
        <v>0</v>
      </c>
      <c r="G241" s="23">
        <v>0</v>
      </c>
      <c r="H241" s="26" t="s">
        <v>451</v>
      </c>
    </row>
    <row r="242" spans="2:11" x14ac:dyDescent="0.25">
      <c r="B242" s="23" t="s">
        <v>452</v>
      </c>
      <c r="C242" s="23" t="s">
        <v>422</v>
      </c>
      <c r="D242" s="23" t="s">
        <v>24</v>
      </c>
      <c r="E242" s="23">
        <v>0</v>
      </c>
      <c r="F242" s="23">
        <v>0</v>
      </c>
      <c r="G242" s="23">
        <v>0</v>
      </c>
      <c r="H242" s="26" t="s">
        <v>453</v>
      </c>
    </row>
    <row r="243" spans="2:11" x14ac:dyDescent="0.25">
      <c r="B243" s="23" t="s">
        <v>454</v>
      </c>
      <c r="C243" s="23" t="s">
        <v>422</v>
      </c>
      <c r="D243" s="23" t="s">
        <v>24</v>
      </c>
      <c r="E243" s="23">
        <v>0</v>
      </c>
      <c r="F243" s="23">
        <v>0</v>
      </c>
      <c r="G243" s="23">
        <v>0</v>
      </c>
      <c r="H243" s="26" t="s">
        <v>455</v>
      </c>
    </row>
    <row r="244" spans="2:11" x14ac:dyDescent="0.25">
      <c r="B244" s="23" t="s">
        <v>456</v>
      </c>
      <c r="C244" s="23" t="s">
        <v>422</v>
      </c>
      <c r="D244" s="23" t="s">
        <v>24</v>
      </c>
      <c r="E244" s="23">
        <v>0</v>
      </c>
      <c r="F244" s="23">
        <v>0</v>
      </c>
      <c r="G244" s="23">
        <v>0</v>
      </c>
      <c r="H244" s="26" t="s">
        <v>457</v>
      </c>
    </row>
    <row r="245" spans="2:11" x14ac:dyDescent="0.25">
      <c r="B245" s="23" t="s">
        <v>458</v>
      </c>
      <c r="C245" s="23" t="s">
        <v>459</v>
      </c>
      <c r="D245" s="23" t="s">
        <v>24</v>
      </c>
      <c r="E245" s="23">
        <v>0</v>
      </c>
      <c r="F245" s="23">
        <v>0</v>
      </c>
      <c r="G245" s="23">
        <v>0</v>
      </c>
      <c r="H245" s="26" t="s">
        <v>460</v>
      </c>
    </row>
    <row r="246" spans="2:11" x14ac:dyDescent="0.25">
      <c r="B246" s="23" t="s">
        <v>461</v>
      </c>
      <c r="C246" s="23" t="s">
        <v>459</v>
      </c>
      <c r="D246" s="23" t="s">
        <v>24</v>
      </c>
      <c r="E246" s="23">
        <v>0</v>
      </c>
      <c r="F246" s="23">
        <v>0</v>
      </c>
      <c r="G246" s="23">
        <v>0</v>
      </c>
      <c r="H246" s="26" t="s">
        <v>462</v>
      </c>
    </row>
    <row r="247" spans="2:11" x14ac:dyDescent="0.25">
      <c r="B247" s="23" t="s">
        <v>463</v>
      </c>
      <c r="C247" s="23" t="s">
        <v>459</v>
      </c>
      <c r="D247" s="23" t="s">
        <v>24</v>
      </c>
      <c r="E247" s="23">
        <v>0</v>
      </c>
      <c r="F247" s="23">
        <v>0</v>
      </c>
      <c r="G247" s="23">
        <v>0</v>
      </c>
      <c r="H247" s="26" t="s">
        <v>464</v>
      </c>
    </row>
    <row r="248" spans="2:11" x14ac:dyDescent="0.25">
      <c r="B248" s="23" t="s">
        <v>465</v>
      </c>
      <c r="C248" s="23" t="s">
        <v>459</v>
      </c>
      <c r="D248" s="23" t="s">
        <v>24</v>
      </c>
      <c r="E248" s="23">
        <v>0</v>
      </c>
      <c r="F248" s="23">
        <v>0</v>
      </c>
      <c r="G248" s="23">
        <v>0</v>
      </c>
      <c r="H248" s="26" t="s">
        <v>466</v>
      </c>
    </row>
    <row r="249" spans="2:11" x14ac:dyDescent="0.25">
      <c r="B249" s="23" t="s">
        <v>467</v>
      </c>
      <c r="C249" s="23" t="s">
        <v>459</v>
      </c>
      <c r="D249" s="23" t="s">
        <v>37</v>
      </c>
      <c r="E249" s="23">
        <v>0</v>
      </c>
      <c r="F249" s="23">
        <v>0</v>
      </c>
      <c r="G249" s="23">
        <v>0</v>
      </c>
      <c r="H249" s="26" t="s">
        <v>468</v>
      </c>
    </row>
    <row r="250" spans="2:11" x14ac:dyDescent="0.25">
      <c r="B250" s="23" t="s">
        <v>469</v>
      </c>
      <c r="C250" s="23" t="s">
        <v>459</v>
      </c>
      <c r="D250" s="23" t="s">
        <v>24</v>
      </c>
      <c r="E250" s="23">
        <v>0</v>
      </c>
      <c r="F250" s="23">
        <v>0</v>
      </c>
      <c r="G250" s="23">
        <v>0</v>
      </c>
      <c r="H250" s="26" t="s">
        <v>470</v>
      </c>
    </row>
    <row r="251" spans="2:11" x14ac:dyDescent="0.25">
      <c r="B251" s="23" t="s">
        <v>471</v>
      </c>
      <c r="C251" s="23" t="s">
        <v>459</v>
      </c>
      <c r="D251" s="23" t="s">
        <v>24</v>
      </c>
      <c r="E251" s="23">
        <v>540</v>
      </c>
      <c r="F251" s="23">
        <v>0</v>
      </c>
      <c r="G251" s="23">
        <v>1</v>
      </c>
      <c r="H251" s="26" t="s">
        <v>472</v>
      </c>
    </row>
    <row r="252" spans="2:11" x14ac:dyDescent="0.25">
      <c r="B252" s="23" t="s">
        <v>473</v>
      </c>
      <c r="C252" s="23" t="s">
        <v>459</v>
      </c>
      <c r="D252" s="23" t="s">
        <v>24</v>
      </c>
      <c r="E252" s="23">
        <v>0</v>
      </c>
      <c r="F252" s="23">
        <v>0</v>
      </c>
      <c r="G252" s="23">
        <v>0</v>
      </c>
      <c r="H252" s="26" t="s">
        <v>474</v>
      </c>
    </row>
    <row r="253" spans="2:11" x14ac:dyDescent="0.25">
      <c r="B253" s="23" t="s">
        <v>475</v>
      </c>
      <c r="C253" s="23" t="s">
        <v>459</v>
      </c>
      <c r="D253" s="23" t="s">
        <v>24</v>
      </c>
      <c r="E253" s="23">
        <v>0</v>
      </c>
      <c r="F253" s="23">
        <v>0</v>
      </c>
      <c r="G253" s="23">
        <v>0</v>
      </c>
      <c r="H253" s="26" t="s">
        <v>476</v>
      </c>
      <c r="K253" t="s">
        <v>477</v>
      </c>
    </row>
    <row r="254" spans="2:11" x14ac:dyDescent="0.25">
      <c r="B254" s="23" t="s">
        <v>478</v>
      </c>
      <c r="C254" s="23" t="s">
        <v>459</v>
      </c>
      <c r="D254" s="23" t="s">
        <v>24</v>
      </c>
      <c r="E254" s="23">
        <v>0</v>
      </c>
      <c r="F254" s="23">
        <v>0</v>
      </c>
      <c r="G254" s="23">
        <v>0</v>
      </c>
      <c r="H254" s="26" t="s">
        <v>479</v>
      </c>
    </row>
    <row r="255" spans="2:11" x14ac:dyDescent="0.25">
      <c r="B255" s="23" t="s">
        <v>480</v>
      </c>
      <c r="C255" s="23" t="s">
        <v>459</v>
      </c>
      <c r="D255" s="23" t="s">
        <v>24</v>
      </c>
      <c r="E255" s="23">
        <v>0</v>
      </c>
      <c r="F255" s="23">
        <v>0</v>
      </c>
      <c r="G255" s="23">
        <v>0</v>
      </c>
      <c r="H255" s="26" t="s">
        <v>468</v>
      </c>
    </row>
    <row r="256" spans="2:11" x14ac:dyDescent="0.25">
      <c r="B256" s="23" t="s">
        <v>481</v>
      </c>
      <c r="C256" s="23" t="s">
        <v>459</v>
      </c>
      <c r="D256" s="23" t="s">
        <v>37</v>
      </c>
      <c r="E256" s="23">
        <v>0</v>
      </c>
      <c r="F256" s="23">
        <v>0</v>
      </c>
      <c r="G256" s="23">
        <v>0</v>
      </c>
      <c r="H256" s="26" t="s">
        <v>468</v>
      </c>
    </row>
    <row r="257" spans="2:8" x14ac:dyDescent="0.25">
      <c r="B257" s="23" t="s">
        <v>482</v>
      </c>
      <c r="C257" s="23" t="s">
        <v>459</v>
      </c>
      <c r="D257" s="23" t="s">
        <v>24</v>
      </c>
      <c r="E257" s="23">
        <v>300</v>
      </c>
      <c r="F257" s="23">
        <v>0</v>
      </c>
      <c r="G257" s="23">
        <v>1</v>
      </c>
      <c r="H257" s="26" t="s">
        <v>483</v>
      </c>
    </row>
    <row r="258" spans="2:8" x14ac:dyDescent="0.25">
      <c r="B258" s="23" t="s">
        <v>484</v>
      </c>
      <c r="C258" s="23" t="s">
        <v>459</v>
      </c>
      <c r="D258" s="23" t="s">
        <v>24</v>
      </c>
      <c r="E258" s="23">
        <v>0</v>
      </c>
      <c r="F258" s="23">
        <v>0</v>
      </c>
      <c r="G258" s="23">
        <v>0</v>
      </c>
      <c r="H258" s="26" t="s">
        <v>485</v>
      </c>
    </row>
    <row r="259" spans="2:8" x14ac:dyDescent="0.25">
      <c r="B259" s="23" t="s">
        <v>486</v>
      </c>
      <c r="C259" s="23" t="s">
        <v>459</v>
      </c>
      <c r="D259" s="23" t="s">
        <v>24</v>
      </c>
      <c r="E259" s="23">
        <v>0</v>
      </c>
      <c r="F259" s="23">
        <v>0</v>
      </c>
      <c r="G259" s="23">
        <v>0</v>
      </c>
      <c r="H259" s="26" t="s">
        <v>487</v>
      </c>
    </row>
    <row r="260" spans="2:8" x14ac:dyDescent="0.25">
      <c r="B260" s="23" t="s">
        <v>488</v>
      </c>
      <c r="C260" s="23" t="s">
        <v>459</v>
      </c>
      <c r="D260" s="23" t="s">
        <v>24</v>
      </c>
      <c r="E260" s="23">
        <v>0</v>
      </c>
      <c r="F260" s="23">
        <v>0</v>
      </c>
      <c r="G260" s="23">
        <v>0</v>
      </c>
      <c r="H260" s="26" t="s">
        <v>489</v>
      </c>
    </row>
    <row r="261" spans="2:8" x14ac:dyDescent="0.25">
      <c r="B261" s="23" t="s">
        <v>490</v>
      </c>
      <c r="C261" s="23" t="s">
        <v>459</v>
      </c>
      <c r="D261" s="23" t="s">
        <v>24</v>
      </c>
      <c r="E261" s="23">
        <v>0</v>
      </c>
      <c r="F261" s="23">
        <v>0</v>
      </c>
      <c r="G261" s="23">
        <v>0</v>
      </c>
      <c r="H261" s="26" t="s">
        <v>491</v>
      </c>
    </row>
    <row r="262" spans="2:8" x14ac:dyDescent="0.25">
      <c r="B262" s="23" t="s">
        <v>492</v>
      </c>
      <c r="C262" s="23" t="s">
        <v>459</v>
      </c>
      <c r="D262" s="23" t="s">
        <v>24</v>
      </c>
      <c r="E262" s="23">
        <v>720</v>
      </c>
      <c r="F262" s="23">
        <v>0</v>
      </c>
      <c r="G262" s="23">
        <v>1</v>
      </c>
      <c r="H262" s="26" t="s">
        <v>493</v>
      </c>
    </row>
    <row r="263" spans="2:8" x14ac:dyDescent="0.25">
      <c r="B263" s="23" t="s">
        <v>494</v>
      </c>
      <c r="C263" s="23" t="s">
        <v>459</v>
      </c>
      <c r="D263" s="23" t="s">
        <v>37</v>
      </c>
      <c r="E263" s="23">
        <v>0</v>
      </c>
      <c r="F263" s="23">
        <v>0</v>
      </c>
      <c r="G263" s="23">
        <v>0</v>
      </c>
      <c r="H263" s="26" t="s">
        <v>495</v>
      </c>
    </row>
    <row r="264" spans="2:8" x14ac:dyDescent="0.25">
      <c r="B264" s="23" t="s">
        <v>496</v>
      </c>
      <c r="C264" s="23" t="s">
        <v>459</v>
      </c>
      <c r="D264" s="23" t="s">
        <v>40</v>
      </c>
      <c r="E264" s="23">
        <v>0</v>
      </c>
      <c r="F264" s="23">
        <v>0</v>
      </c>
      <c r="G264" s="23">
        <v>0</v>
      </c>
      <c r="H264" s="26" t="s">
        <v>497</v>
      </c>
    </row>
    <row r="265" spans="2:8" x14ac:dyDescent="0.25">
      <c r="B265" s="23" t="s">
        <v>498</v>
      </c>
      <c r="C265" s="23" t="s">
        <v>459</v>
      </c>
      <c r="D265" s="23" t="s">
        <v>40</v>
      </c>
      <c r="E265" s="23">
        <v>0</v>
      </c>
      <c r="F265" s="23">
        <v>0</v>
      </c>
      <c r="G265" s="23">
        <v>0</v>
      </c>
      <c r="H265" s="26" t="s">
        <v>499</v>
      </c>
    </row>
    <row r="266" spans="2:8" x14ac:dyDescent="0.25">
      <c r="B266" s="23" t="s">
        <v>500</v>
      </c>
      <c r="C266" s="23" t="s">
        <v>459</v>
      </c>
      <c r="D266" s="23" t="s">
        <v>40</v>
      </c>
      <c r="E266" s="23">
        <v>0</v>
      </c>
      <c r="F266" s="23">
        <v>0</v>
      </c>
      <c r="G266" s="23">
        <v>0</v>
      </c>
      <c r="H266" s="26" t="s">
        <v>501</v>
      </c>
    </row>
    <row r="267" spans="2:8" x14ac:dyDescent="0.25">
      <c r="B267" s="23" t="s">
        <v>502</v>
      </c>
      <c r="C267" s="23" t="s">
        <v>459</v>
      </c>
      <c r="D267" s="23" t="s">
        <v>24</v>
      </c>
      <c r="E267" s="23">
        <v>0</v>
      </c>
      <c r="F267" s="23">
        <v>0</v>
      </c>
      <c r="G267" s="23">
        <v>0</v>
      </c>
      <c r="H267" s="26" t="s">
        <v>503</v>
      </c>
    </row>
    <row r="268" spans="2:8" x14ac:dyDescent="0.25">
      <c r="B268" s="23" t="s">
        <v>504</v>
      </c>
      <c r="C268" s="23" t="s">
        <v>459</v>
      </c>
      <c r="D268" s="23" t="s">
        <v>24</v>
      </c>
      <c r="E268" s="23">
        <v>1350</v>
      </c>
      <c r="F268" s="23">
        <v>0</v>
      </c>
      <c r="G268" s="23">
        <v>1</v>
      </c>
      <c r="H268" s="26" t="s">
        <v>505</v>
      </c>
    </row>
    <row r="269" spans="2:8" x14ac:dyDescent="0.25">
      <c r="B269" s="23" t="s">
        <v>506</v>
      </c>
      <c r="C269" s="23" t="s">
        <v>459</v>
      </c>
      <c r="D269" s="23" t="s">
        <v>40</v>
      </c>
      <c r="E269" s="23">
        <v>0</v>
      </c>
      <c r="F269" s="23">
        <v>0</v>
      </c>
      <c r="G269" s="23">
        <v>0</v>
      </c>
      <c r="H269" s="26" t="s">
        <v>507</v>
      </c>
    </row>
    <row r="270" spans="2:8" x14ac:dyDescent="0.25">
      <c r="B270" s="23" t="s">
        <v>508</v>
      </c>
      <c r="C270" s="23" t="s">
        <v>459</v>
      </c>
      <c r="D270" s="23" t="s">
        <v>24</v>
      </c>
      <c r="E270" s="23">
        <v>0</v>
      </c>
      <c r="F270" s="23">
        <v>0</v>
      </c>
      <c r="G270" s="23">
        <v>0</v>
      </c>
      <c r="H270" s="26" t="s">
        <v>509</v>
      </c>
    </row>
    <row r="271" spans="2:8" x14ac:dyDescent="0.25">
      <c r="B271" s="23" t="s">
        <v>510</v>
      </c>
      <c r="C271" s="23" t="s">
        <v>459</v>
      </c>
      <c r="D271" s="23" t="s">
        <v>24</v>
      </c>
      <c r="E271" s="23">
        <v>0</v>
      </c>
      <c r="F271" s="23">
        <v>0</v>
      </c>
      <c r="G271" s="23">
        <v>0</v>
      </c>
      <c r="H271" s="26" t="s">
        <v>511</v>
      </c>
    </row>
    <row r="272" spans="2:8" x14ac:dyDescent="0.25">
      <c r="B272" s="23" t="s">
        <v>512</v>
      </c>
      <c r="C272" s="23" t="s">
        <v>459</v>
      </c>
      <c r="D272" s="23" t="s">
        <v>37</v>
      </c>
      <c r="E272" s="23">
        <v>0</v>
      </c>
      <c r="F272" s="23">
        <v>0</v>
      </c>
      <c r="G272" s="23">
        <v>0</v>
      </c>
      <c r="H272" s="26" t="s">
        <v>513</v>
      </c>
    </row>
    <row r="273" spans="2:8" x14ac:dyDescent="0.25">
      <c r="B273" s="23" t="s">
        <v>514</v>
      </c>
      <c r="C273" s="23" t="s">
        <v>459</v>
      </c>
      <c r="D273" s="23" t="s">
        <v>37</v>
      </c>
      <c r="E273" s="23">
        <v>0</v>
      </c>
      <c r="F273" s="23">
        <v>0</v>
      </c>
      <c r="G273" s="23">
        <v>0</v>
      </c>
      <c r="H273" s="26" t="s">
        <v>513</v>
      </c>
    </row>
    <row r="274" spans="2:8" x14ac:dyDescent="0.25">
      <c r="B274" s="23"/>
      <c r="C274" s="23"/>
      <c r="D274" s="23"/>
      <c r="E274" s="23"/>
      <c r="F274" s="23"/>
      <c r="G274" s="23"/>
      <c r="H274" s="23"/>
    </row>
    <row r="275" spans="2:8" x14ac:dyDescent="0.25">
      <c r="B275" s="23"/>
      <c r="C275" s="23"/>
      <c r="D275" s="23"/>
      <c r="E275" s="23"/>
      <c r="F275" s="23"/>
      <c r="G275" s="23"/>
      <c r="H275" s="23"/>
    </row>
    <row r="276" spans="2:8" x14ac:dyDescent="0.25">
      <c r="B276" s="23"/>
      <c r="C276" s="23"/>
      <c r="D276" s="23"/>
      <c r="E276" s="23"/>
      <c r="F276" s="23"/>
      <c r="G276" s="23"/>
      <c r="H276" s="23"/>
    </row>
    <row r="277" spans="2:8" x14ac:dyDescent="0.25">
      <c r="B277" s="23"/>
      <c r="C277" s="23"/>
      <c r="D277" s="23"/>
      <c r="E277" s="23"/>
      <c r="F277" s="23"/>
      <c r="G277" s="23"/>
      <c r="H277" s="23"/>
    </row>
    <row r="278" spans="2:8" x14ac:dyDescent="0.25">
      <c r="B278" s="23"/>
      <c r="C278" s="23"/>
      <c r="D278" s="23"/>
      <c r="E278" s="23"/>
      <c r="F278" s="23"/>
      <c r="G278" s="23"/>
      <c r="H278" s="23"/>
    </row>
    <row r="279" spans="2:8" x14ac:dyDescent="0.25">
      <c r="B279" s="23"/>
      <c r="C279" s="23"/>
      <c r="D279" s="23"/>
      <c r="E279" s="23"/>
      <c r="F279" s="23"/>
      <c r="G279" s="23"/>
      <c r="H279" s="23"/>
    </row>
    <row r="280" spans="2:8" x14ac:dyDescent="0.25">
      <c r="B280" s="23"/>
      <c r="C280" s="23"/>
      <c r="D280" s="23"/>
      <c r="E280" s="23"/>
      <c r="F280" s="23"/>
      <c r="G280" s="23"/>
      <c r="H280" s="23"/>
    </row>
    <row r="281" spans="2:8" x14ac:dyDescent="0.25">
      <c r="B281" s="23"/>
      <c r="C281" s="23"/>
      <c r="D281" s="23"/>
      <c r="E281" s="23"/>
      <c r="F281" s="23"/>
      <c r="G281" s="23"/>
      <c r="H281" s="23"/>
    </row>
    <row r="282" spans="2:8" x14ac:dyDescent="0.25">
      <c r="B282" s="23"/>
      <c r="C282" s="23"/>
      <c r="D282" s="23"/>
      <c r="E282" s="23"/>
      <c r="F282" s="23"/>
      <c r="G282" s="23"/>
      <c r="H282" s="23"/>
    </row>
    <row r="283" spans="2:8" x14ac:dyDescent="0.25">
      <c r="B283" s="23"/>
      <c r="C283" s="23"/>
      <c r="D283" s="23"/>
      <c r="E283" s="23"/>
      <c r="F283" s="23"/>
      <c r="G283" s="23"/>
      <c r="H283" s="23"/>
    </row>
    <row r="284" spans="2:8" x14ac:dyDescent="0.25">
      <c r="B284" s="23"/>
      <c r="C284" s="23"/>
      <c r="D284" s="23"/>
      <c r="E284" s="23"/>
      <c r="F284" s="23"/>
      <c r="G284" s="23"/>
      <c r="H284" s="23"/>
    </row>
    <row r="285" spans="2:8" x14ac:dyDescent="0.25">
      <c r="B285" s="23"/>
      <c r="C285" s="23"/>
      <c r="D285" s="23"/>
      <c r="E285" s="23"/>
      <c r="F285" s="23"/>
      <c r="G285" s="23"/>
      <c r="H285" s="23"/>
    </row>
    <row r="286" spans="2:8" x14ac:dyDescent="0.25">
      <c r="B286" s="23"/>
      <c r="C286" s="23"/>
      <c r="D286" s="23"/>
      <c r="E286" s="23"/>
      <c r="F286" s="23"/>
      <c r="G286" s="23"/>
      <c r="H286" s="23"/>
    </row>
    <row r="287" spans="2:8" x14ac:dyDescent="0.25">
      <c r="B287" s="23"/>
      <c r="C287" s="23"/>
      <c r="D287" s="23"/>
      <c r="E287" s="23"/>
      <c r="F287" s="23"/>
      <c r="G287" s="23"/>
      <c r="H287" s="23"/>
    </row>
    <row r="288" spans="2:8" x14ac:dyDescent="0.25">
      <c r="B288" s="23"/>
      <c r="C288" s="23"/>
      <c r="D288" s="23"/>
      <c r="E288" s="23"/>
      <c r="F288" s="23"/>
      <c r="G288" s="23"/>
      <c r="H288" s="23"/>
    </row>
    <row r="289" spans="2:8" x14ac:dyDescent="0.25">
      <c r="B289" s="23"/>
      <c r="C289" s="23"/>
      <c r="D289" s="23"/>
      <c r="E289" s="23"/>
      <c r="F289" s="23"/>
      <c r="G289" s="23"/>
      <c r="H289" s="23"/>
    </row>
    <row r="290" spans="2:8" x14ac:dyDescent="0.25">
      <c r="B290" s="23"/>
      <c r="C290" s="23"/>
      <c r="D290" s="23"/>
      <c r="E290" s="23"/>
      <c r="F290" s="23"/>
      <c r="G290" s="23"/>
      <c r="H290" s="23"/>
    </row>
    <row r="291" spans="2:8" x14ac:dyDescent="0.25">
      <c r="B291" s="23"/>
      <c r="C291" s="23"/>
      <c r="D291" s="23"/>
      <c r="E291" s="23"/>
      <c r="F291" s="23"/>
      <c r="G291" s="23"/>
      <c r="H291" s="23"/>
    </row>
    <row r="292" spans="2:8" x14ac:dyDescent="0.25">
      <c r="B292" s="23"/>
      <c r="C292" s="23"/>
      <c r="D292" s="23"/>
      <c r="E292" s="23"/>
      <c r="F292" s="23"/>
      <c r="G292" s="23"/>
      <c r="H292" s="23"/>
    </row>
    <row r="293" spans="2:8" x14ac:dyDescent="0.25">
      <c r="B293" s="23"/>
      <c r="C293" s="23"/>
      <c r="D293" s="23"/>
      <c r="E293" s="23"/>
      <c r="F293" s="23"/>
      <c r="G293" s="23"/>
      <c r="H293" s="23"/>
    </row>
    <row r="294" spans="2:8" x14ac:dyDescent="0.25">
      <c r="B294" s="23"/>
      <c r="C294" s="23"/>
      <c r="D294" s="23"/>
      <c r="E294" s="23"/>
      <c r="F294" s="23"/>
      <c r="G294" s="23"/>
      <c r="H294" s="23"/>
    </row>
    <row r="295" spans="2:8" x14ac:dyDescent="0.25">
      <c r="B295" s="23"/>
      <c r="C295" s="23"/>
      <c r="D295" s="23"/>
      <c r="E295" s="23"/>
      <c r="F295" s="23"/>
      <c r="G295" s="23"/>
      <c r="H295" s="23"/>
    </row>
    <row r="296" spans="2:8" x14ac:dyDescent="0.25">
      <c r="B296" s="23"/>
      <c r="C296" s="23"/>
      <c r="D296" s="23"/>
      <c r="E296" s="23"/>
      <c r="F296" s="23"/>
      <c r="G296" s="23"/>
      <c r="H296" s="23"/>
    </row>
    <row r="297" spans="2:8" x14ac:dyDescent="0.25">
      <c r="B297" s="23"/>
      <c r="C297" s="23"/>
      <c r="D297" s="23"/>
      <c r="E297" s="23"/>
      <c r="F297" s="23"/>
      <c r="G297" s="23"/>
      <c r="H297" s="23"/>
    </row>
    <row r="298" spans="2:8" x14ac:dyDescent="0.25">
      <c r="B298" s="23"/>
      <c r="C298" s="23"/>
      <c r="D298" s="23"/>
      <c r="E298" s="23"/>
      <c r="F298" s="23"/>
      <c r="G298" s="23"/>
      <c r="H298" s="23"/>
    </row>
    <row r="299" spans="2:8" x14ac:dyDescent="0.25">
      <c r="B299" s="23"/>
      <c r="C299" s="23"/>
      <c r="D299" s="23"/>
      <c r="E299" s="23"/>
      <c r="F299" s="23"/>
      <c r="G299" s="23"/>
      <c r="H299" s="23"/>
    </row>
    <row r="300" spans="2:8" x14ac:dyDescent="0.25">
      <c r="B300" s="23"/>
      <c r="C300" s="23"/>
      <c r="D300" s="23"/>
      <c r="E300" s="23"/>
      <c r="F300" s="23"/>
      <c r="G300" s="23"/>
      <c r="H300" s="23"/>
    </row>
    <row r="301" spans="2:8" x14ac:dyDescent="0.25">
      <c r="B301" s="23"/>
      <c r="C301" s="23"/>
      <c r="D301" s="23"/>
      <c r="E301" s="23"/>
      <c r="F301" s="23"/>
      <c r="G301" s="23"/>
      <c r="H301" s="23"/>
    </row>
    <row r="302" spans="2:8" x14ac:dyDescent="0.25">
      <c r="B302" s="23"/>
      <c r="C302" s="23"/>
      <c r="D302" s="23"/>
      <c r="E302" s="23"/>
      <c r="F302" s="23"/>
      <c r="G302" s="23"/>
      <c r="H302" s="23"/>
    </row>
    <row r="303" spans="2:8" x14ac:dyDescent="0.25">
      <c r="B303" s="23"/>
      <c r="C303" s="23"/>
      <c r="D303" s="23"/>
      <c r="E303" s="23"/>
      <c r="F303" s="23"/>
      <c r="G303" s="23"/>
      <c r="H303" s="23"/>
    </row>
    <row r="304" spans="2:8" x14ac:dyDescent="0.25">
      <c r="B304" s="23"/>
      <c r="C304" s="23"/>
      <c r="D304" s="23"/>
      <c r="E304" s="23"/>
      <c r="F304" s="23"/>
      <c r="G304" s="23"/>
      <c r="H304" s="23"/>
    </row>
    <row r="305" spans="2:8" x14ac:dyDescent="0.25">
      <c r="B305" s="23"/>
      <c r="C305" s="23"/>
      <c r="D305" s="23"/>
      <c r="E305" s="23"/>
      <c r="F305" s="23"/>
      <c r="G305" s="23"/>
      <c r="H305" s="23"/>
    </row>
    <row r="306" spans="2:8" x14ac:dyDescent="0.25">
      <c r="B306" s="23"/>
      <c r="C306" s="23"/>
      <c r="D306" s="23"/>
      <c r="E306" s="23"/>
      <c r="F306" s="23"/>
      <c r="G306" s="23"/>
      <c r="H306" s="23"/>
    </row>
    <row r="307" spans="2:8" x14ac:dyDescent="0.25">
      <c r="B307" s="23"/>
      <c r="C307" s="23"/>
      <c r="D307" s="23"/>
      <c r="E307" s="23"/>
      <c r="F307" s="23"/>
      <c r="G307" s="23"/>
      <c r="H307" s="23"/>
    </row>
    <row r="308" spans="2:8" x14ac:dyDescent="0.25">
      <c r="B308" s="23"/>
      <c r="C308" s="23"/>
      <c r="D308" s="23"/>
      <c r="E308" s="23"/>
      <c r="F308" s="23"/>
      <c r="G308" s="23"/>
      <c r="H308" s="23"/>
    </row>
    <row r="309" spans="2:8" x14ac:dyDescent="0.25">
      <c r="B309" s="23"/>
      <c r="C309" s="23"/>
      <c r="D309" s="23"/>
      <c r="E309" s="23"/>
      <c r="F309" s="23"/>
      <c r="G309" s="23"/>
      <c r="H309" s="23"/>
    </row>
    <row r="310" spans="2:8" x14ac:dyDescent="0.25">
      <c r="B310" s="23"/>
      <c r="C310" s="23"/>
      <c r="D310" s="23"/>
      <c r="E310" s="23"/>
      <c r="F310" s="23"/>
      <c r="G310" s="23"/>
      <c r="H310" s="23"/>
    </row>
    <row r="311" spans="2:8" x14ac:dyDescent="0.25">
      <c r="B311" s="23"/>
      <c r="C311" s="23"/>
      <c r="D311" s="23"/>
      <c r="E311" s="23"/>
      <c r="F311" s="23"/>
      <c r="G311" s="23"/>
      <c r="H311" s="23"/>
    </row>
    <row r="312" spans="2:8" x14ac:dyDescent="0.25">
      <c r="B312" s="23"/>
      <c r="C312" s="23"/>
      <c r="D312" s="23"/>
      <c r="E312" s="23"/>
      <c r="F312" s="23"/>
      <c r="G312" s="23"/>
      <c r="H312" s="23"/>
    </row>
    <row r="313" spans="2:8" x14ac:dyDescent="0.25">
      <c r="B313" s="23"/>
      <c r="C313" s="23"/>
      <c r="D313" s="23"/>
      <c r="E313" s="23"/>
      <c r="F313" s="23"/>
      <c r="G313" s="23"/>
      <c r="H313" s="23"/>
    </row>
    <row r="314" spans="2:8" x14ac:dyDescent="0.25">
      <c r="B314" s="23"/>
      <c r="C314" s="23"/>
      <c r="D314" s="23"/>
      <c r="E314" s="23"/>
      <c r="F314" s="23"/>
      <c r="G314" s="23"/>
      <c r="H314" s="23"/>
    </row>
    <row r="315" spans="2:8" x14ac:dyDescent="0.25">
      <c r="B315" s="23"/>
      <c r="C315" s="23"/>
      <c r="D315" s="23"/>
      <c r="E315" s="23"/>
      <c r="F315" s="23"/>
      <c r="G315" s="23"/>
      <c r="H315" s="23"/>
    </row>
    <row r="316" spans="2:8" x14ac:dyDescent="0.25">
      <c r="B316" s="23"/>
      <c r="C316" s="23"/>
      <c r="D316" s="23"/>
      <c r="E316" s="23"/>
      <c r="F316" s="23"/>
      <c r="G316" s="23"/>
      <c r="H316" s="23"/>
    </row>
    <row r="317" spans="2:8" x14ac:dyDescent="0.25">
      <c r="B317" s="23"/>
      <c r="C317" s="23"/>
      <c r="D317" s="23"/>
      <c r="E317" s="23"/>
      <c r="F317" s="23"/>
      <c r="G317" s="23"/>
      <c r="H317" s="23"/>
    </row>
    <row r="318" spans="2:8" x14ac:dyDescent="0.25">
      <c r="B318" s="23"/>
      <c r="C318" s="23"/>
      <c r="D318" s="23"/>
      <c r="E318" s="23"/>
      <c r="F318" s="23"/>
      <c r="G318" s="23"/>
      <c r="H318" s="23"/>
    </row>
    <row r="319" spans="2:8" x14ac:dyDescent="0.25">
      <c r="B319" s="23"/>
      <c r="C319" s="23"/>
      <c r="D319" s="23"/>
      <c r="E319" s="23"/>
      <c r="F319" s="23"/>
      <c r="G319" s="23"/>
      <c r="H319" s="23"/>
    </row>
    <row r="320" spans="2:8" x14ac:dyDescent="0.25">
      <c r="B320" s="23"/>
      <c r="C320" s="23"/>
      <c r="D320" s="23"/>
      <c r="E320" s="23"/>
      <c r="F320" s="23"/>
      <c r="G320" s="23"/>
      <c r="H320" s="23"/>
    </row>
    <row r="321" spans="2:8" x14ac:dyDescent="0.25">
      <c r="B321" s="23"/>
      <c r="C321" s="23"/>
      <c r="D321" s="23"/>
      <c r="E321" s="23"/>
      <c r="F321" s="23"/>
      <c r="G321" s="23"/>
      <c r="H321" s="23"/>
    </row>
    <row r="322" spans="2:8" x14ac:dyDescent="0.25">
      <c r="B322" s="23"/>
      <c r="C322" s="23"/>
      <c r="D322" s="23"/>
      <c r="E322" s="23"/>
      <c r="F322" s="23"/>
      <c r="G322" s="23"/>
      <c r="H322" s="23"/>
    </row>
    <row r="323" spans="2:8" x14ac:dyDescent="0.25">
      <c r="B323" s="23"/>
      <c r="C323" s="23"/>
      <c r="D323" s="23"/>
      <c r="E323" s="23"/>
      <c r="F323" s="23"/>
      <c r="G323" s="23"/>
      <c r="H323" s="23"/>
    </row>
    <row r="324" spans="2:8" x14ac:dyDescent="0.25">
      <c r="B324" s="23"/>
      <c r="C324" s="23"/>
      <c r="D324" s="23"/>
      <c r="E324" s="23"/>
      <c r="F324" s="23"/>
      <c r="G324" s="23"/>
      <c r="H324" s="23"/>
    </row>
    <row r="325" spans="2:8" x14ac:dyDescent="0.25">
      <c r="B325" s="23"/>
      <c r="C325" s="23"/>
      <c r="D325" s="23"/>
      <c r="E325" s="23"/>
      <c r="F325" s="23"/>
      <c r="G325" s="23"/>
      <c r="H325" s="23"/>
    </row>
    <row r="326" spans="2:8" x14ac:dyDescent="0.25">
      <c r="B326" s="23"/>
      <c r="C326" s="23"/>
      <c r="D326" s="23"/>
      <c r="E326" s="23"/>
      <c r="F326" s="23"/>
      <c r="G326" s="23"/>
      <c r="H326" s="23"/>
    </row>
    <row r="327" spans="2:8" x14ac:dyDescent="0.25">
      <c r="B327" s="23"/>
      <c r="C327" s="23"/>
      <c r="D327" s="23"/>
      <c r="E327" s="23"/>
      <c r="F327" s="23"/>
      <c r="G327" s="23"/>
      <c r="H327" s="23"/>
    </row>
    <row r="328" spans="2:8" x14ac:dyDescent="0.25">
      <c r="B328" s="23"/>
      <c r="C328" s="23"/>
      <c r="D328" s="23"/>
      <c r="E328" s="23"/>
      <c r="F328" s="23"/>
      <c r="G328" s="23"/>
      <c r="H328" s="23"/>
    </row>
    <row r="329" spans="2:8" x14ac:dyDescent="0.25">
      <c r="B329" s="23"/>
      <c r="C329" s="23"/>
      <c r="D329" s="23"/>
      <c r="E329" s="23"/>
      <c r="F329" s="23"/>
      <c r="G329" s="23"/>
      <c r="H329" s="23"/>
    </row>
    <row r="330" spans="2:8" x14ac:dyDescent="0.25">
      <c r="B330" s="23"/>
      <c r="C330" s="23"/>
      <c r="D330" s="23"/>
      <c r="E330" s="23"/>
      <c r="F330" s="23"/>
      <c r="G330" s="23"/>
      <c r="H330" s="23"/>
    </row>
    <row r="331" spans="2:8" x14ac:dyDescent="0.25">
      <c r="B331" s="23"/>
      <c r="C331" s="23"/>
      <c r="D331" s="23"/>
      <c r="E331" s="23"/>
      <c r="F331" s="23"/>
      <c r="G331" s="23"/>
      <c r="H331" s="23"/>
    </row>
    <row r="332" spans="2:8" x14ac:dyDescent="0.25">
      <c r="B332" s="23"/>
      <c r="C332" s="23"/>
      <c r="D332" s="23"/>
      <c r="E332" s="23"/>
      <c r="F332" s="23"/>
      <c r="G332" s="23"/>
      <c r="H332" s="23"/>
    </row>
    <row r="333" spans="2:8" x14ac:dyDescent="0.25">
      <c r="B333" s="23"/>
      <c r="C333" s="23"/>
      <c r="D333" s="23"/>
      <c r="E333" s="23"/>
      <c r="F333" s="23"/>
      <c r="G333" s="23"/>
      <c r="H333" s="23"/>
    </row>
    <row r="334" spans="2:8" x14ac:dyDescent="0.25">
      <c r="B334" s="23"/>
      <c r="C334" s="23"/>
      <c r="D334" s="23"/>
      <c r="E334" s="23"/>
      <c r="F334" s="23"/>
      <c r="G334" s="23"/>
      <c r="H334" s="23"/>
    </row>
    <row r="335" spans="2:8" x14ac:dyDescent="0.25">
      <c r="B335" s="23"/>
      <c r="C335" s="23"/>
      <c r="D335" s="23"/>
      <c r="E335" s="23"/>
      <c r="F335" s="23"/>
      <c r="G335" s="23"/>
      <c r="H335" s="23"/>
    </row>
    <row r="336" spans="2:8" x14ac:dyDescent="0.25">
      <c r="B336" s="23"/>
      <c r="C336" s="23"/>
      <c r="D336" s="23"/>
      <c r="E336" s="23"/>
      <c r="F336" s="23"/>
      <c r="G336" s="23"/>
      <c r="H336" s="23"/>
    </row>
    <row r="337" spans="2:8" x14ac:dyDescent="0.25">
      <c r="B337" s="23"/>
      <c r="C337" s="23"/>
      <c r="D337" s="23"/>
      <c r="E337" s="23"/>
      <c r="F337" s="23"/>
      <c r="G337" s="23"/>
      <c r="H337" s="23"/>
    </row>
    <row r="338" spans="2:8" x14ac:dyDescent="0.25">
      <c r="B338" s="23"/>
      <c r="C338" s="23"/>
      <c r="D338" s="23"/>
      <c r="E338" s="23"/>
      <c r="F338" s="23"/>
      <c r="G338" s="23"/>
      <c r="H338" s="23"/>
    </row>
    <row r="339" spans="2:8" x14ac:dyDescent="0.25">
      <c r="B339" s="23"/>
      <c r="C339" s="23"/>
      <c r="D339" s="23"/>
      <c r="E339" s="23"/>
      <c r="F339" s="23"/>
      <c r="G339" s="23"/>
      <c r="H339" s="23"/>
    </row>
    <row r="340" spans="2:8" x14ac:dyDescent="0.25">
      <c r="B340" s="23"/>
      <c r="C340" s="23"/>
      <c r="D340" s="23"/>
      <c r="E340" s="23"/>
      <c r="F340" s="23"/>
      <c r="G340" s="23"/>
      <c r="H340" s="23"/>
    </row>
    <row r="341" spans="2:8" x14ac:dyDescent="0.25">
      <c r="B341" s="23"/>
      <c r="C341" s="23"/>
      <c r="D341" s="23"/>
      <c r="E341" s="23"/>
      <c r="F341" s="23"/>
      <c r="G341" s="23"/>
      <c r="H341" s="23"/>
    </row>
    <row r="342" spans="2:8" x14ac:dyDescent="0.25">
      <c r="B342" s="23"/>
      <c r="C342" s="23"/>
      <c r="D342" s="23"/>
      <c r="E342" s="23"/>
      <c r="F342" s="23"/>
      <c r="G342" s="23"/>
      <c r="H342" s="23"/>
    </row>
    <row r="343" spans="2:8" x14ac:dyDescent="0.25">
      <c r="B343" s="23"/>
      <c r="C343" s="23"/>
      <c r="D343" s="23"/>
      <c r="E343" s="23"/>
      <c r="F343" s="23"/>
      <c r="G343" s="23"/>
      <c r="H343" s="23"/>
    </row>
    <row r="344" spans="2:8" x14ac:dyDescent="0.25">
      <c r="B344" s="23"/>
      <c r="C344" s="23"/>
      <c r="D344" s="23"/>
      <c r="E344" s="23"/>
      <c r="F344" s="23"/>
      <c r="G344" s="23"/>
      <c r="H344" s="23"/>
    </row>
    <row r="345" spans="2:8" x14ac:dyDescent="0.25">
      <c r="B345" s="23"/>
      <c r="C345" s="23"/>
      <c r="D345" s="23"/>
      <c r="E345" s="23"/>
      <c r="F345" s="23"/>
      <c r="G345" s="23"/>
      <c r="H345" s="23"/>
    </row>
    <row r="346" spans="2:8" x14ac:dyDescent="0.25">
      <c r="B346" s="23"/>
      <c r="C346" s="23"/>
      <c r="D346" s="23"/>
      <c r="E346" s="23"/>
      <c r="F346" s="23"/>
      <c r="G346" s="23"/>
      <c r="H346" s="23"/>
    </row>
    <row r="347" spans="2:8" x14ac:dyDescent="0.25">
      <c r="B347" s="23"/>
      <c r="C347" s="23"/>
      <c r="D347" s="23"/>
      <c r="E347" s="23"/>
      <c r="F347" s="23"/>
      <c r="G347" s="23"/>
      <c r="H347" s="23"/>
    </row>
    <row r="348" spans="2:8" x14ac:dyDescent="0.25">
      <c r="B348" s="23"/>
      <c r="C348" s="23"/>
      <c r="D348" s="23"/>
      <c r="E348" s="23"/>
      <c r="F348" s="23"/>
      <c r="G348" s="23"/>
      <c r="H348" s="23"/>
    </row>
    <row r="349" spans="2:8" x14ac:dyDescent="0.25">
      <c r="B349" s="23"/>
      <c r="C349" s="23"/>
      <c r="D349" s="23"/>
      <c r="E349" s="23"/>
      <c r="F349" s="23"/>
      <c r="G349" s="23"/>
      <c r="H349" s="23"/>
    </row>
    <row r="350" spans="2:8" x14ac:dyDescent="0.25">
      <c r="B350" s="23"/>
      <c r="C350" s="23"/>
      <c r="D350" s="23"/>
      <c r="E350" s="23"/>
      <c r="F350" s="23"/>
      <c r="G350" s="23"/>
      <c r="H350" s="23"/>
    </row>
    <row r="351" spans="2:8" x14ac:dyDescent="0.25">
      <c r="B351" s="23"/>
      <c r="C351" s="23"/>
      <c r="D351" s="23"/>
      <c r="E351" s="23"/>
      <c r="F351" s="23"/>
      <c r="G351" s="23"/>
      <c r="H351" s="23"/>
    </row>
    <row r="352" spans="2:8" x14ac:dyDescent="0.25">
      <c r="B352" s="23"/>
      <c r="C352" s="23"/>
      <c r="D352" s="23"/>
      <c r="E352" s="23"/>
      <c r="F352" s="23"/>
      <c r="G352" s="23"/>
      <c r="H352" s="23"/>
    </row>
    <row r="353" spans="2:8" x14ac:dyDescent="0.25">
      <c r="B353" s="23"/>
      <c r="C353" s="23"/>
      <c r="D353" s="23"/>
      <c r="E353" s="23"/>
      <c r="F353" s="23"/>
      <c r="G353" s="23"/>
      <c r="H353" s="23"/>
    </row>
    <row r="354" spans="2:8" x14ac:dyDescent="0.25">
      <c r="B354" s="23"/>
      <c r="C354" s="23"/>
      <c r="D354" s="23"/>
      <c r="E354" s="23"/>
      <c r="F354" s="23"/>
      <c r="G354" s="23"/>
      <c r="H354" s="23"/>
    </row>
    <row r="355" spans="2:8" x14ac:dyDescent="0.25">
      <c r="B355" s="23"/>
      <c r="C355" s="23"/>
      <c r="D355" s="23"/>
      <c r="E355" s="23"/>
      <c r="F355" s="23"/>
      <c r="G355" s="23"/>
      <c r="H355" s="23"/>
    </row>
    <row r="356" spans="2:8" x14ac:dyDescent="0.25">
      <c r="B356" s="23"/>
      <c r="C356" s="23"/>
      <c r="D356" s="23"/>
      <c r="E356" s="23"/>
      <c r="F356" s="23"/>
      <c r="G356" s="23"/>
      <c r="H356" s="23"/>
    </row>
    <row r="357" spans="2:8" x14ac:dyDescent="0.25">
      <c r="B357" s="23"/>
      <c r="C357" s="23"/>
      <c r="D357" s="23"/>
      <c r="E357" s="23"/>
      <c r="F357" s="23"/>
      <c r="G357" s="23"/>
      <c r="H357" s="23"/>
    </row>
    <row r="358" spans="2:8" x14ac:dyDescent="0.25">
      <c r="B358" s="23"/>
      <c r="C358" s="23"/>
      <c r="D358" s="23"/>
      <c r="E358" s="23"/>
      <c r="F358" s="23"/>
      <c r="G358" s="23"/>
      <c r="H358" s="23"/>
    </row>
    <row r="359" spans="2:8" x14ac:dyDescent="0.25">
      <c r="B359" s="23"/>
      <c r="C359" s="23"/>
      <c r="D359" s="23"/>
      <c r="E359" s="23"/>
      <c r="F359" s="23"/>
      <c r="G359" s="23"/>
      <c r="H359" s="23"/>
    </row>
    <row r="360" spans="2:8" x14ac:dyDescent="0.25">
      <c r="B360" s="23"/>
      <c r="C360" s="23"/>
      <c r="D360" s="23"/>
      <c r="E360" s="23"/>
      <c r="F360" s="23"/>
      <c r="G360" s="23"/>
      <c r="H360" s="23"/>
    </row>
    <row r="361" spans="2:8" x14ac:dyDescent="0.25">
      <c r="B361" s="23"/>
      <c r="C361" s="23"/>
      <c r="D361" s="23"/>
      <c r="E361" s="23"/>
      <c r="F361" s="23"/>
      <c r="G361" s="23"/>
      <c r="H361" s="23"/>
    </row>
    <row r="362" spans="2:8" x14ac:dyDescent="0.25">
      <c r="B362" s="23"/>
      <c r="C362" s="23"/>
      <c r="D362" s="23"/>
      <c r="E362" s="23"/>
      <c r="F362" s="23"/>
      <c r="G362" s="23"/>
      <c r="H362" s="23"/>
    </row>
    <row r="363" spans="2:8" x14ac:dyDescent="0.25">
      <c r="B363" s="23"/>
      <c r="C363" s="23"/>
      <c r="D363" s="23"/>
      <c r="E363" s="23"/>
      <c r="F363" s="23"/>
      <c r="G363" s="23"/>
      <c r="H363" s="23"/>
    </row>
    <row r="364" spans="2:8" x14ac:dyDescent="0.25">
      <c r="B364" s="23"/>
      <c r="C364" s="23"/>
      <c r="D364" s="23"/>
      <c r="E364" s="23"/>
      <c r="F364" s="23"/>
      <c r="G364" s="23"/>
      <c r="H364" s="23"/>
    </row>
    <row r="365" spans="2:8" x14ac:dyDescent="0.25">
      <c r="B365" s="23"/>
      <c r="C365" s="23"/>
      <c r="D365" s="23"/>
      <c r="E365" s="23"/>
      <c r="F365" s="23"/>
      <c r="G365" s="23"/>
      <c r="H365" s="23"/>
    </row>
    <row r="366" spans="2:8" x14ac:dyDescent="0.25">
      <c r="B366" s="23"/>
      <c r="C366" s="23"/>
      <c r="D366" s="23"/>
      <c r="E366" s="23"/>
      <c r="F366" s="23"/>
      <c r="G366" s="23"/>
      <c r="H366" s="23"/>
    </row>
    <row r="367" spans="2:8" x14ac:dyDescent="0.25">
      <c r="B367" s="23"/>
      <c r="C367" s="23"/>
      <c r="D367" s="23"/>
      <c r="E367" s="23"/>
      <c r="F367" s="23"/>
      <c r="G367" s="23"/>
      <c r="H367" s="23"/>
    </row>
    <row r="368" spans="2:8" x14ac:dyDescent="0.25">
      <c r="B368" s="23"/>
      <c r="C368" s="23"/>
      <c r="D368" s="23"/>
      <c r="E368" s="23"/>
      <c r="F368" s="23"/>
      <c r="G368" s="23"/>
      <c r="H368" s="23"/>
    </row>
    <row r="369" spans="2:8" x14ac:dyDescent="0.25">
      <c r="B369" s="23"/>
      <c r="C369" s="23"/>
      <c r="D369" s="23"/>
      <c r="E369" s="23"/>
      <c r="F369" s="23"/>
      <c r="G369" s="23"/>
      <c r="H369" s="23"/>
    </row>
    <row r="370" spans="2:8" x14ac:dyDescent="0.25">
      <c r="B370" s="23"/>
      <c r="C370" s="23"/>
      <c r="D370" s="23"/>
      <c r="E370" s="23"/>
      <c r="F370" s="23"/>
      <c r="G370" s="23"/>
      <c r="H370" s="23"/>
    </row>
    <row r="371" spans="2:8" x14ac:dyDescent="0.25">
      <c r="B371" s="23"/>
      <c r="C371" s="23"/>
      <c r="D371" s="23"/>
      <c r="E371" s="23"/>
      <c r="F371" s="23"/>
      <c r="G371" s="23"/>
      <c r="H371" s="23"/>
    </row>
    <row r="372" spans="2:8" x14ac:dyDescent="0.25">
      <c r="B372" s="23"/>
      <c r="C372" s="23"/>
      <c r="D372" s="23"/>
      <c r="E372" s="23"/>
      <c r="F372" s="23"/>
      <c r="G372" s="23"/>
      <c r="H372" s="23"/>
    </row>
    <row r="373" spans="2:8" x14ac:dyDescent="0.25">
      <c r="B373" s="23"/>
      <c r="C373" s="23"/>
      <c r="D373" s="23"/>
      <c r="E373" s="23"/>
      <c r="F373" s="23"/>
      <c r="G373" s="23"/>
      <c r="H373" s="23"/>
    </row>
    <row r="374" spans="2:8" x14ac:dyDescent="0.25">
      <c r="B374" s="23"/>
      <c r="C374" s="23"/>
      <c r="D374" s="23"/>
      <c r="E374" s="23"/>
      <c r="F374" s="23"/>
      <c r="G374" s="23"/>
      <c r="H374" s="23"/>
    </row>
    <row r="375" spans="2:8" x14ac:dyDescent="0.25">
      <c r="B375" s="23"/>
      <c r="C375" s="23"/>
      <c r="D375" s="23"/>
      <c r="E375" s="23"/>
      <c r="F375" s="23"/>
      <c r="G375" s="23"/>
      <c r="H375" s="23"/>
    </row>
    <row r="376" spans="2:8" x14ac:dyDescent="0.25">
      <c r="B376" s="23"/>
      <c r="C376" s="23"/>
      <c r="D376" s="23"/>
      <c r="E376" s="23"/>
      <c r="F376" s="23"/>
      <c r="G376" s="23"/>
      <c r="H376" s="23"/>
    </row>
    <row r="377" spans="2:8" x14ac:dyDescent="0.25">
      <c r="B377" s="23"/>
      <c r="C377" s="23"/>
      <c r="D377" s="23"/>
      <c r="E377" s="23"/>
      <c r="F377" s="23"/>
      <c r="G377" s="23"/>
      <c r="H377" s="23"/>
    </row>
    <row r="378" spans="2:8" x14ac:dyDescent="0.25">
      <c r="B378" s="23"/>
      <c r="C378" s="23"/>
      <c r="D378" s="23"/>
      <c r="E378" s="23"/>
      <c r="F378" s="23"/>
      <c r="G378" s="23"/>
      <c r="H378" s="23"/>
    </row>
    <row r="379" spans="2:8" x14ac:dyDescent="0.25">
      <c r="B379" s="23"/>
      <c r="C379" s="23"/>
      <c r="D379" s="23"/>
      <c r="E379" s="23"/>
      <c r="F379" s="23"/>
      <c r="G379" s="23"/>
      <c r="H379" s="23"/>
    </row>
    <row r="380" spans="2:8" x14ac:dyDescent="0.25">
      <c r="B380" s="23"/>
      <c r="C380" s="23"/>
      <c r="D380" s="23"/>
      <c r="E380" s="23"/>
      <c r="F380" s="23"/>
      <c r="G380" s="23"/>
      <c r="H380" s="23"/>
    </row>
    <row r="381" spans="2:8" x14ac:dyDescent="0.25">
      <c r="B381" s="23"/>
      <c r="C381" s="23"/>
      <c r="D381" s="23"/>
      <c r="E381" s="23"/>
      <c r="F381" s="23"/>
      <c r="G381" s="23"/>
      <c r="H381" s="23"/>
    </row>
    <row r="382" spans="2:8" x14ac:dyDescent="0.25">
      <c r="B382" s="23"/>
      <c r="C382" s="23"/>
      <c r="D382" s="23"/>
      <c r="E382" s="23"/>
      <c r="F382" s="23"/>
      <c r="G382" s="23"/>
      <c r="H382" s="23"/>
    </row>
    <row r="383" spans="2:8" x14ac:dyDescent="0.25">
      <c r="B383" s="23"/>
      <c r="C383" s="23"/>
      <c r="D383" s="23"/>
      <c r="E383" s="23"/>
      <c r="F383" s="23"/>
      <c r="G383" s="23"/>
      <c r="H383" s="23"/>
    </row>
    <row r="384" spans="2:8" x14ac:dyDescent="0.25">
      <c r="B384" s="23"/>
      <c r="C384" s="23"/>
      <c r="D384" s="23"/>
      <c r="E384" s="23"/>
      <c r="F384" s="23"/>
      <c r="G384" s="23"/>
      <c r="H384" s="23"/>
    </row>
    <row r="385" spans="2:8" x14ac:dyDescent="0.25">
      <c r="B385" s="23"/>
      <c r="C385" s="23"/>
      <c r="D385" s="23"/>
      <c r="E385" s="23"/>
      <c r="F385" s="23"/>
      <c r="G385" s="23"/>
      <c r="H385" s="23"/>
    </row>
    <row r="386" spans="2:8" x14ac:dyDescent="0.25">
      <c r="B386" s="23"/>
      <c r="C386" s="23"/>
      <c r="D386" s="23"/>
      <c r="E386" s="23"/>
      <c r="F386" s="23"/>
      <c r="G386" s="23"/>
      <c r="H386" s="23"/>
    </row>
    <row r="387" spans="2:8" x14ac:dyDescent="0.25">
      <c r="B387" s="23"/>
      <c r="C387" s="23"/>
      <c r="D387" s="23"/>
      <c r="E387" s="23"/>
      <c r="F387" s="23"/>
      <c r="G387" s="23"/>
      <c r="H387" s="23"/>
    </row>
    <row r="388" spans="2:8" x14ac:dyDescent="0.25">
      <c r="B388" s="23"/>
      <c r="C388" s="23"/>
      <c r="D388" s="23"/>
      <c r="E388" s="23"/>
      <c r="F388" s="23"/>
      <c r="G388" s="23"/>
      <c r="H388" s="23"/>
    </row>
    <row r="389" spans="2:8" x14ac:dyDescent="0.25">
      <c r="B389" s="23"/>
      <c r="C389" s="23"/>
      <c r="D389" s="23"/>
      <c r="E389" s="23"/>
      <c r="F389" s="23"/>
      <c r="G389" s="23"/>
      <c r="H389" s="23"/>
    </row>
    <row r="390" spans="2:8" x14ac:dyDescent="0.25">
      <c r="B390" s="23"/>
      <c r="C390" s="23"/>
      <c r="D390" s="23"/>
      <c r="E390" s="23"/>
      <c r="F390" s="23"/>
      <c r="G390" s="23"/>
      <c r="H390" s="23"/>
    </row>
    <row r="391" spans="2:8" x14ac:dyDescent="0.25">
      <c r="B391" s="23"/>
      <c r="C391" s="23"/>
      <c r="D391" s="23"/>
      <c r="E391" s="23"/>
      <c r="F391" s="23"/>
      <c r="G391" s="23"/>
      <c r="H391" s="23"/>
    </row>
    <row r="392" spans="2:8" x14ac:dyDescent="0.25">
      <c r="B392" s="23"/>
      <c r="C392" s="23"/>
      <c r="D392" s="23"/>
      <c r="E392" s="23"/>
      <c r="F392" s="23"/>
      <c r="G392" s="23"/>
      <c r="H392" s="23"/>
    </row>
    <row r="393" spans="2:8" x14ac:dyDescent="0.25">
      <c r="B393" s="23"/>
      <c r="C393" s="23"/>
      <c r="D393" s="23"/>
      <c r="E393" s="23"/>
      <c r="F393" s="23"/>
      <c r="G393" s="23"/>
      <c r="H393" s="23"/>
    </row>
    <row r="394" spans="2:8" x14ac:dyDescent="0.25">
      <c r="B394" s="23"/>
      <c r="C394" s="23"/>
      <c r="D394" s="23"/>
      <c r="E394" s="23"/>
      <c r="F394" s="23"/>
      <c r="G394" s="23"/>
      <c r="H394" s="23"/>
    </row>
    <row r="395" spans="2:8" x14ac:dyDescent="0.25">
      <c r="B395" s="23"/>
      <c r="C395" s="23"/>
      <c r="D395" s="23"/>
      <c r="E395" s="23"/>
      <c r="F395" s="23"/>
      <c r="G395" s="23"/>
      <c r="H395" s="23"/>
    </row>
    <row r="396" spans="2:8" x14ac:dyDescent="0.25">
      <c r="B396" s="23"/>
      <c r="C396" s="23"/>
      <c r="D396" s="23"/>
      <c r="E396" s="23"/>
      <c r="F396" s="23"/>
      <c r="G396" s="23"/>
      <c r="H396" s="23"/>
    </row>
    <row r="397" spans="2:8" x14ac:dyDescent="0.25">
      <c r="B397" s="23"/>
      <c r="C397" s="23"/>
      <c r="D397" s="23"/>
      <c r="E397" s="23"/>
      <c r="F397" s="23"/>
      <c r="G397" s="23"/>
      <c r="H397" s="23"/>
    </row>
    <row r="398" spans="2:8" x14ac:dyDescent="0.25">
      <c r="B398" s="23"/>
      <c r="C398" s="23"/>
      <c r="D398" s="23"/>
      <c r="E398" s="23"/>
      <c r="F398" s="23"/>
      <c r="G398" s="23"/>
      <c r="H398" s="23"/>
    </row>
    <row r="399" spans="2:8" x14ac:dyDescent="0.25">
      <c r="B399" s="23"/>
      <c r="C399" s="23"/>
      <c r="D399" s="23"/>
      <c r="E399" s="23"/>
      <c r="F399" s="23"/>
      <c r="G399" s="23"/>
      <c r="H399" s="23"/>
    </row>
    <row r="400" spans="2:8" x14ac:dyDescent="0.25">
      <c r="B400" s="23"/>
      <c r="C400" s="23"/>
      <c r="D400" s="23"/>
      <c r="E400" s="23"/>
      <c r="F400" s="23"/>
      <c r="G400" s="23"/>
      <c r="H400" s="23"/>
    </row>
    <row r="401" spans="2:8" x14ac:dyDescent="0.25">
      <c r="B401" s="23"/>
      <c r="C401" s="23"/>
      <c r="D401" s="23"/>
      <c r="E401" s="23"/>
      <c r="F401" s="23"/>
      <c r="G401" s="23"/>
      <c r="H401" s="23"/>
    </row>
    <row r="402" spans="2:8" x14ac:dyDescent="0.25">
      <c r="B402" s="23"/>
      <c r="C402" s="23"/>
      <c r="D402" s="23"/>
      <c r="E402" s="23"/>
      <c r="F402" s="23"/>
      <c r="G402" s="23"/>
      <c r="H402" s="23"/>
    </row>
    <row r="403" spans="2:8" x14ac:dyDescent="0.25">
      <c r="B403" s="23"/>
      <c r="C403" s="23"/>
      <c r="D403" s="23"/>
      <c r="E403" s="23"/>
      <c r="F403" s="23"/>
      <c r="G403" s="23"/>
      <c r="H403" s="23"/>
    </row>
    <row r="404" spans="2:8" x14ac:dyDescent="0.25">
      <c r="B404" s="23"/>
      <c r="C404" s="23"/>
      <c r="D404" s="23"/>
      <c r="E404" s="23"/>
      <c r="F404" s="23"/>
      <c r="G404" s="23"/>
      <c r="H404" s="23"/>
    </row>
    <row r="405" spans="2:8" x14ac:dyDescent="0.25">
      <c r="B405" s="23"/>
      <c r="C405" s="23"/>
      <c r="D405" s="23"/>
      <c r="E405" s="23"/>
      <c r="F405" s="23"/>
      <c r="G405" s="23"/>
      <c r="H405" s="23"/>
    </row>
    <row r="406" spans="2:8" x14ac:dyDescent="0.25">
      <c r="B406" s="23"/>
      <c r="C406" s="23"/>
      <c r="D406" s="23"/>
      <c r="E406" s="23"/>
      <c r="F406" s="23"/>
      <c r="G406" s="23"/>
      <c r="H406" s="23"/>
    </row>
    <row r="407" spans="2:8" x14ac:dyDescent="0.25">
      <c r="B407" s="23"/>
      <c r="C407" s="23"/>
      <c r="D407" s="23"/>
      <c r="E407" s="23"/>
      <c r="F407" s="23"/>
      <c r="G407" s="23"/>
      <c r="H407" s="23"/>
    </row>
    <row r="408" spans="2:8" x14ac:dyDescent="0.25">
      <c r="B408" s="23"/>
      <c r="C408" s="23"/>
      <c r="D408" s="23"/>
      <c r="E408" s="23"/>
      <c r="F408" s="23"/>
      <c r="G408" s="23"/>
      <c r="H408" s="23"/>
    </row>
    <row r="409" spans="2:8" x14ac:dyDescent="0.25">
      <c r="B409" s="23"/>
      <c r="C409" s="23"/>
      <c r="D409" s="23"/>
      <c r="E409" s="23"/>
      <c r="F409" s="23"/>
      <c r="G409" s="23"/>
      <c r="H409" s="23"/>
    </row>
    <row r="410" spans="2:8" x14ac:dyDescent="0.25">
      <c r="B410" s="23"/>
      <c r="C410" s="23"/>
      <c r="D410" s="23"/>
      <c r="E410" s="23"/>
      <c r="F410" s="23"/>
      <c r="G410" s="23"/>
      <c r="H410" s="23"/>
    </row>
    <row r="411" spans="2:8" x14ac:dyDescent="0.25">
      <c r="B411" s="23"/>
      <c r="C411" s="23"/>
      <c r="D411" s="23"/>
      <c r="E411" s="23"/>
      <c r="F411" s="23"/>
      <c r="G411" s="23"/>
      <c r="H411" s="23"/>
    </row>
    <row r="412" spans="2:8" x14ac:dyDescent="0.25">
      <c r="B412" s="23"/>
      <c r="C412" s="23"/>
      <c r="D412" s="23"/>
      <c r="E412" s="23"/>
      <c r="F412" s="23"/>
      <c r="G412" s="23"/>
      <c r="H412" s="23"/>
    </row>
    <row r="413" spans="2:8" x14ac:dyDescent="0.25">
      <c r="B413" s="23"/>
      <c r="C413" s="23"/>
      <c r="D413" s="23"/>
      <c r="E413" s="23"/>
      <c r="F413" s="23"/>
      <c r="G413" s="23"/>
      <c r="H413" s="23"/>
    </row>
    <row r="414" spans="2:8" x14ac:dyDescent="0.25">
      <c r="B414" s="23"/>
      <c r="C414" s="23"/>
      <c r="D414" s="23"/>
      <c r="E414" s="23"/>
      <c r="F414" s="23"/>
      <c r="G414" s="23"/>
      <c r="H414" s="23"/>
    </row>
    <row r="415" spans="2:8" x14ac:dyDescent="0.25">
      <c r="B415" s="23"/>
      <c r="C415" s="23"/>
      <c r="D415" s="23"/>
      <c r="E415" s="23"/>
      <c r="F415" s="23"/>
      <c r="G415" s="23"/>
      <c r="H415" s="23"/>
    </row>
    <row r="416" spans="2:8" x14ac:dyDescent="0.25">
      <c r="B416" s="23"/>
      <c r="C416" s="23"/>
      <c r="D416" s="23"/>
      <c r="E416" s="23"/>
      <c r="F416" s="23"/>
      <c r="G416" s="23"/>
      <c r="H416" s="23"/>
    </row>
    <row r="417" spans="2:8" x14ac:dyDescent="0.25">
      <c r="B417" s="23"/>
      <c r="C417" s="23"/>
      <c r="D417" s="23"/>
      <c r="E417" s="23"/>
      <c r="F417" s="23"/>
      <c r="G417" s="23"/>
      <c r="H417" s="23"/>
    </row>
    <row r="418" spans="2:8" x14ac:dyDescent="0.25">
      <c r="B418" s="23"/>
      <c r="C418" s="23"/>
      <c r="D418" s="23"/>
      <c r="E418" s="23"/>
      <c r="F418" s="23"/>
      <c r="G418" s="23"/>
      <c r="H418" s="23"/>
    </row>
    <row r="419" spans="2:8" x14ac:dyDescent="0.25">
      <c r="B419" s="23"/>
      <c r="C419" s="23"/>
      <c r="D419" s="23"/>
      <c r="E419" s="23"/>
      <c r="F419" s="23"/>
      <c r="G419" s="23"/>
      <c r="H419" s="23"/>
    </row>
    <row r="420" spans="2:8" x14ac:dyDescent="0.25">
      <c r="B420" s="23"/>
      <c r="C420" s="23"/>
      <c r="D420" s="23"/>
      <c r="E420" s="23"/>
      <c r="F420" s="23"/>
      <c r="G420" s="23"/>
      <c r="H420" s="23"/>
    </row>
    <row r="421" spans="2:8" x14ac:dyDescent="0.25">
      <c r="B421" s="23"/>
      <c r="C421" s="23"/>
      <c r="D421" s="23"/>
      <c r="E421" s="23"/>
      <c r="F421" s="23"/>
      <c r="G421" s="23"/>
      <c r="H421" s="23"/>
    </row>
    <row r="422" spans="2:8" x14ac:dyDescent="0.25">
      <c r="B422" s="23"/>
      <c r="C422" s="23"/>
      <c r="D422" s="23"/>
      <c r="E422" s="23"/>
      <c r="F422" s="23"/>
      <c r="G422" s="23"/>
      <c r="H422" s="23"/>
    </row>
    <row r="423" spans="2:8" x14ac:dyDescent="0.25">
      <c r="B423" s="23"/>
      <c r="C423" s="23"/>
      <c r="D423" s="23"/>
      <c r="E423" s="23"/>
      <c r="F423" s="23"/>
      <c r="G423" s="23"/>
      <c r="H423" s="23"/>
    </row>
    <row r="424" spans="2:8" x14ac:dyDescent="0.25">
      <c r="B424" s="23"/>
      <c r="C424" s="23"/>
      <c r="D424" s="23"/>
      <c r="E424" s="23"/>
      <c r="F424" s="23"/>
      <c r="G424" s="23"/>
      <c r="H424" s="23"/>
    </row>
    <row r="425" spans="2:8" x14ac:dyDescent="0.25">
      <c r="B425" s="23"/>
      <c r="C425" s="23"/>
      <c r="D425" s="23"/>
      <c r="E425" s="23"/>
      <c r="F425" s="23"/>
      <c r="G425" s="23"/>
      <c r="H425" s="23"/>
    </row>
    <row r="426" spans="2:8" x14ac:dyDescent="0.25">
      <c r="B426" s="23"/>
      <c r="C426" s="23"/>
      <c r="D426" s="23"/>
      <c r="E426" s="23"/>
      <c r="F426" s="23"/>
      <c r="G426" s="23"/>
      <c r="H426" s="23"/>
    </row>
    <row r="427" spans="2:8" x14ac:dyDescent="0.25">
      <c r="B427" s="23"/>
      <c r="C427" s="23"/>
      <c r="D427" s="23"/>
      <c r="E427" s="23"/>
      <c r="F427" s="23"/>
      <c r="G427" s="23"/>
      <c r="H427" s="23"/>
    </row>
    <row r="428" spans="2:8" x14ac:dyDescent="0.25">
      <c r="B428" s="23"/>
      <c r="C428" s="23"/>
      <c r="D428" s="23"/>
      <c r="E428" s="23"/>
      <c r="F428" s="23"/>
      <c r="G428" s="23"/>
      <c r="H428" s="23"/>
    </row>
    <row r="429" spans="2:8" x14ac:dyDescent="0.25">
      <c r="B429" s="23"/>
      <c r="C429" s="23"/>
      <c r="D429" s="23"/>
      <c r="E429" s="23"/>
      <c r="F429" s="23"/>
      <c r="G429" s="23"/>
      <c r="H429" s="23"/>
    </row>
    <row r="430" spans="2:8" x14ac:dyDescent="0.25">
      <c r="B430" s="23"/>
      <c r="C430" s="23"/>
      <c r="D430" s="23"/>
      <c r="E430" s="23"/>
      <c r="F430" s="23"/>
      <c r="G430" s="23"/>
      <c r="H430" s="23"/>
    </row>
    <row r="431" spans="2:8" x14ac:dyDescent="0.25">
      <c r="B431" s="23"/>
      <c r="C431" s="23"/>
      <c r="D431" s="23"/>
      <c r="E431" s="23"/>
      <c r="F431" s="23"/>
      <c r="G431" s="23"/>
      <c r="H431" s="23"/>
    </row>
    <row r="432" spans="2:8" x14ac:dyDescent="0.25">
      <c r="B432" s="23"/>
      <c r="C432" s="23"/>
      <c r="D432" s="23"/>
      <c r="E432" s="23"/>
      <c r="F432" s="23"/>
      <c r="G432" s="23"/>
      <c r="H432" s="23"/>
    </row>
    <row r="433" spans="2:8" x14ac:dyDescent="0.25">
      <c r="B433" s="23"/>
      <c r="C433" s="23"/>
      <c r="D433" s="23"/>
      <c r="E433" s="23"/>
      <c r="F433" s="23"/>
      <c r="G433" s="23"/>
      <c r="H433" s="23"/>
    </row>
    <row r="434" spans="2:8" x14ac:dyDescent="0.25">
      <c r="B434" s="23"/>
      <c r="C434" s="23"/>
      <c r="D434" s="23"/>
      <c r="E434" s="23"/>
      <c r="F434" s="23"/>
      <c r="G434" s="23"/>
      <c r="H434" s="23"/>
    </row>
    <row r="435" spans="2:8" x14ac:dyDescent="0.25">
      <c r="B435" s="23"/>
      <c r="C435" s="23"/>
      <c r="D435" s="23"/>
      <c r="E435" s="23"/>
      <c r="F435" s="23"/>
      <c r="G435" s="23"/>
      <c r="H435" s="23"/>
    </row>
    <row r="436" spans="2:8" x14ac:dyDescent="0.25">
      <c r="B436" s="23"/>
      <c r="C436" s="23"/>
      <c r="D436" s="23"/>
      <c r="E436" s="23"/>
      <c r="F436" s="23"/>
      <c r="G436" s="23"/>
      <c r="H436" s="23"/>
    </row>
    <row r="437" spans="2:8" x14ac:dyDescent="0.25">
      <c r="B437" s="23"/>
      <c r="C437" s="23"/>
      <c r="D437" s="23"/>
      <c r="E437" s="23"/>
      <c r="F437" s="23"/>
      <c r="G437" s="23"/>
      <c r="H437" s="23"/>
    </row>
    <row r="438" spans="2:8" x14ac:dyDescent="0.25">
      <c r="B438" s="23"/>
      <c r="C438" s="23"/>
      <c r="D438" s="23"/>
      <c r="E438" s="23"/>
      <c r="F438" s="23"/>
      <c r="G438" s="23"/>
      <c r="H438" s="23"/>
    </row>
    <row r="439" spans="2:8" x14ac:dyDescent="0.25">
      <c r="B439" s="23"/>
      <c r="C439" s="23"/>
      <c r="D439" s="23"/>
      <c r="E439" s="23"/>
      <c r="F439" s="23"/>
      <c r="G439" s="23"/>
      <c r="H439" s="23"/>
    </row>
    <row r="440" spans="2:8" x14ac:dyDescent="0.25">
      <c r="B440" s="23"/>
      <c r="C440" s="23"/>
      <c r="D440" s="23"/>
      <c r="E440" s="23"/>
      <c r="F440" s="23"/>
      <c r="G440" s="23"/>
      <c r="H440" s="23"/>
    </row>
    <row r="441" spans="2:8" x14ac:dyDescent="0.25">
      <c r="B441" s="23"/>
      <c r="C441" s="23"/>
      <c r="D441" s="23"/>
      <c r="E441" s="23"/>
      <c r="F441" s="23"/>
      <c r="G441" s="23"/>
      <c r="H441" s="23"/>
    </row>
    <row r="442" spans="2:8" x14ac:dyDescent="0.25">
      <c r="B442" s="23"/>
      <c r="C442" s="23"/>
      <c r="D442" s="23"/>
      <c r="E442" s="23"/>
      <c r="F442" s="23"/>
      <c r="G442" s="23"/>
      <c r="H442" s="23"/>
    </row>
    <row r="443" spans="2:8" x14ac:dyDescent="0.25">
      <c r="B443" s="23"/>
      <c r="C443" s="23"/>
      <c r="D443" s="23"/>
      <c r="E443" s="23"/>
      <c r="F443" s="23"/>
      <c r="G443" s="23"/>
      <c r="H443" s="23"/>
    </row>
    <row r="444" spans="2:8" x14ac:dyDescent="0.25">
      <c r="B444" s="23"/>
      <c r="C444" s="23"/>
      <c r="D444" s="23"/>
      <c r="E444" s="23"/>
      <c r="F444" s="23"/>
      <c r="G444" s="23"/>
      <c r="H444" s="23"/>
    </row>
    <row r="445" spans="2:8" x14ac:dyDescent="0.25">
      <c r="B445" s="23"/>
      <c r="C445" s="23"/>
      <c r="D445" s="23"/>
      <c r="E445" s="23"/>
      <c r="F445" s="23"/>
      <c r="G445" s="23"/>
      <c r="H445" s="23"/>
    </row>
    <row r="446" spans="2:8" x14ac:dyDescent="0.25">
      <c r="B446" s="23"/>
      <c r="C446" s="23"/>
      <c r="D446" s="23"/>
      <c r="E446" s="23"/>
      <c r="F446" s="23"/>
      <c r="G446" s="23"/>
      <c r="H446" s="23"/>
    </row>
    <row r="447" spans="2:8" x14ac:dyDescent="0.25">
      <c r="B447" s="23"/>
      <c r="C447" s="23"/>
      <c r="D447" s="23"/>
      <c r="E447" s="23"/>
      <c r="F447" s="23"/>
      <c r="G447" s="23"/>
      <c r="H447" s="23"/>
    </row>
    <row r="448" spans="2:8" x14ac:dyDescent="0.25">
      <c r="B448" s="23"/>
      <c r="C448" s="23"/>
      <c r="D448" s="23"/>
      <c r="E448" s="23"/>
      <c r="F448" s="23"/>
      <c r="G448" s="23"/>
      <c r="H448" s="23"/>
    </row>
    <row r="449" spans="2:8" x14ac:dyDescent="0.25">
      <c r="B449" s="23"/>
      <c r="C449" s="23"/>
      <c r="D449" s="23"/>
      <c r="E449" s="23"/>
      <c r="F449" s="23"/>
      <c r="G449" s="23"/>
      <c r="H449" s="23"/>
    </row>
    <row r="450" spans="2:8" x14ac:dyDescent="0.25">
      <c r="B450" s="23"/>
      <c r="C450" s="23"/>
      <c r="D450" s="23"/>
      <c r="E450" s="23"/>
      <c r="F450" s="23"/>
      <c r="G450" s="23"/>
      <c r="H450" s="23"/>
    </row>
    <row r="451" spans="2:8" x14ac:dyDescent="0.25">
      <c r="B451" s="23"/>
      <c r="C451" s="23"/>
      <c r="D451" s="23"/>
      <c r="E451" s="23"/>
      <c r="F451" s="23"/>
      <c r="G451" s="23"/>
      <c r="H451" s="23"/>
    </row>
    <row r="452" spans="2:8" x14ac:dyDescent="0.25">
      <c r="B452" s="23"/>
      <c r="C452" s="23"/>
      <c r="D452" s="23"/>
      <c r="E452" s="23"/>
      <c r="F452" s="23"/>
      <c r="G452" s="23"/>
      <c r="H452" s="23"/>
    </row>
    <row r="453" spans="2:8" x14ac:dyDescent="0.25">
      <c r="B453" s="23"/>
      <c r="C453" s="23"/>
      <c r="D453" s="23"/>
      <c r="E453" s="23"/>
      <c r="F453" s="23"/>
      <c r="G453" s="23"/>
      <c r="H453" s="23"/>
    </row>
    <row r="454" spans="2:8" x14ac:dyDescent="0.25">
      <c r="B454" s="23"/>
      <c r="C454" s="23"/>
      <c r="D454" s="23"/>
      <c r="E454" s="23"/>
      <c r="F454" s="23"/>
      <c r="G454" s="23"/>
      <c r="H454" s="23"/>
    </row>
    <row r="455" spans="2:8" x14ac:dyDescent="0.25">
      <c r="B455" s="23"/>
      <c r="C455" s="23"/>
      <c r="D455" s="23"/>
      <c r="E455" s="23"/>
      <c r="F455" s="23"/>
      <c r="G455" s="23"/>
      <c r="H455" s="23"/>
    </row>
    <row r="456" spans="2:8" x14ac:dyDescent="0.25">
      <c r="B456" s="23"/>
      <c r="C456" s="23"/>
      <c r="D456" s="23"/>
      <c r="E456" s="23"/>
      <c r="F456" s="23"/>
      <c r="G456" s="23"/>
      <c r="H456" s="23"/>
    </row>
    <row r="457" spans="2:8" x14ac:dyDescent="0.25">
      <c r="B457" s="23"/>
      <c r="C457" s="23"/>
      <c r="D457" s="23"/>
      <c r="E457" s="23"/>
      <c r="F457" s="23"/>
      <c r="G457" s="23"/>
      <c r="H457" s="23"/>
    </row>
    <row r="458" spans="2:8" x14ac:dyDescent="0.25">
      <c r="B458" s="23"/>
      <c r="C458" s="23"/>
      <c r="D458" s="23"/>
      <c r="E458" s="23"/>
      <c r="F458" s="23"/>
      <c r="G458" s="23"/>
      <c r="H458" s="23"/>
    </row>
    <row r="459" spans="2:8" x14ac:dyDescent="0.25">
      <c r="B459" s="23"/>
      <c r="C459" s="23"/>
      <c r="D459" s="23"/>
      <c r="E459" s="23"/>
      <c r="F459" s="23"/>
      <c r="G459" s="23"/>
      <c r="H459" s="23"/>
    </row>
    <row r="460" spans="2:8" x14ac:dyDescent="0.25">
      <c r="B460" s="23"/>
      <c r="C460" s="23"/>
      <c r="D460" s="23"/>
      <c r="E460" s="23"/>
      <c r="F460" s="23"/>
      <c r="G460" s="23"/>
      <c r="H460" s="23"/>
    </row>
    <row r="461" spans="2:8" x14ac:dyDescent="0.25">
      <c r="B461" s="23"/>
      <c r="C461" s="23"/>
      <c r="D461" s="23"/>
      <c r="E461" s="23"/>
      <c r="F461" s="23"/>
      <c r="G461" s="23"/>
      <c r="H461" s="23"/>
    </row>
    <row r="462" spans="2:8" x14ac:dyDescent="0.25">
      <c r="B462" s="23"/>
      <c r="C462" s="23"/>
      <c r="D462" s="23"/>
      <c r="E462" s="23"/>
      <c r="F462" s="23"/>
      <c r="G462" s="23"/>
      <c r="H462" s="23"/>
    </row>
    <row r="463" spans="2:8" x14ac:dyDescent="0.25">
      <c r="B463" s="23"/>
      <c r="C463" s="23"/>
      <c r="D463" s="23"/>
      <c r="E463" s="23"/>
      <c r="F463" s="23"/>
      <c r="G463" s="23"/>
      <c r="H463" s="23"/>
    </row>
    <row r="464" spans="2:8" x14ac:dyDescent="0.25">
      <c r="B464" s="23"/>
      <c r="C464" s="23"/>
      <c r="D464" s="23"/>
      <c r="E464" s="23"/>
      <c r="F464" s="23"/>
      <c r="G464" s="23"/>
      <c r="H464" s="23"/>
    </row>
    <row r="465" spans="2:8" x14ac:dyDescent="0.25">
      <c r="B465" s="23"/>
      <c r="C465" s="23"/>
      <c r="D465" s="23"/>
      <c r="E465" s="23"/>
      <c r="F465" s="23"/>
      <c r="G465" s="23"/>
      <c r="H465" s="23"/>
    </row>
    <row r="466" spans="2:8" x14ac:dyDescent="0.25">
      <c r="B466" s="23"/>
      <c r="C466" s="23"/>
      <c r="D466" s="23"/>
      <c r="E466" s="23"/>
      <c r="F466" s="23"/>
      <c r="G466" s="23"/>
      <c r="H466" s="23"/>
    </row>
    <row r="467" spans="2:8" x14ac:dyDescent="0.25">
      <c r="B467" s="23"/>
      <c r="C467" s="23"/>
      <c r="D467" s="23"/>
      <c r="E467" s="23"/>
      <c r="F467" s="23"/>
      <c r="G467" s="23"/>
      <c r="H467" s="23"/>
    </row>
    <row r="468" spans="2:8" x14ac:dyDescent="0.25">
      <c r="B468" s="23"/>
      <c r="C468" s="23"/>
      <c r="D468" s="23"/>
      <c r="E468" s="23"/>
      <c r="F468" s="23"/>
      <c r="G468" s="23"/>
      <c r="H468" s="23"/>
    </row>
    <row r="469" spans="2:8" x14ac:dyDescent="0.25">
      <c r="B469" s="23"/>
      <c r="C469" s="23"/>
      <c r="D469" s="23"/>
      <c r="E469" s="23"/>
      <c r="F469" s="23"/>
      <c r="G469" s="23"/>
      <c r="H469" s="23"/>
    </row>
    <row r="470" spans="2:8" x14ac:dyDescent="0.25">
      <c r="B470" s="23"/>
      <c r="C470" s="23"/>
      <c r="D470" s="23"/>
      <c r="E470" s="23"/>
      <c r="F470" s="23"/>
      <c r="G470" s="23"/>
      <c r="H470" s="23"/>
    </row>
    <row r="471" spans="2:8" x14ac:dyDescent="0.25">
      <c r="B471" s="23"/>
      <c r="C471" s="23"/>
      <c r="D471" s="23"/>
      <c r="E471" s="23"/>
      <c r="F471" s="23"/>
      <c r="G471" s="23"/>
      <c r="H471" s="23"/>
    </row>
    <row r="472" spans="2:8" x14ac:dyDescent="0.25">
      <c r="B472" s="23"/>
      <c r="C472" s="23"/>
      <c r="D472" s="23"/>
      <c r="E472" s="23"/>
      <c r="F472" s="23"/>
      <c r="G472" s="23"/>
      <c r="H472" s="23"/>
    </row>
    <row r="473" spans="2:8" x14ac:dyDescent="0.25">
      <c r="B473" s="23"/>
      <c r="C473" s="23"/>
      <c r="D473" s="23"/>
      <c r="E473" s="23"/>
      <c r="F473" s="23"/>
      <c r="G473" s="23"/>
      <c r="H473" s="23"/>
    </row>
    <row r="474" spans="2:8" x14ac:dyDescent="0.25">
      <c r="B474" s="23"/>
      <c r="C474" s="23"/>
      <c r="D474" s="23"/>
      <c r="E474" s="23"/>
      <c r="F474" s="23"/>
      <c r="G474" s="23"/>
      <c r="H474" s="23"/>
    </row>
    <row r="475" spans="2:8" x14ac:dyDescent="0.25">
      <c r="B475" s="23"/>
      <c r="C475" s="23"/>
      <c r="D475" s="23"/>
      <c r="E475" s="23"/>
      <c r="F475" s="23"/>
      <c r="G475" s="23"/>
      <c r="H475" s="23"/>
    </row>
    <row r="476" spans="2:8" x14ac:dyDescent="0.25">
      <c r="B476" s="23"/>
      <c r="C476" s="23"/>
      <c r="D476" s="23"/>
      <c r="E476" s="23"/>
      <c r="F476" s="23"/>
      <c r="G476" s="23"/>
      <c r="H476" s="23"/>
    </row>
    <row r="477" spans="2:8" x14ac:dyDescent="0.25">
      <c r="B477" s="23"/>
      <c r="C477" s="23"/>
      <c r="D477" s="23"/>
      <c r="E477" s="23"/>
      <c r="F477" s="23"/>
      <c r="G477" s="23"/>
      <c r="H477" s="23"/>
    </row>
    <row r="478" spans="2:8" x14ac:dyDescent="0.25">
      <c r="B478" s="23"/>
      <c r="C478" s="23"/>
      <c r="D478" s="23"/>
      <c r="E478" s="23"/>
      <c r="F478" s="23"/>
      <c r="G478" s="23"/>
      <c r="H478" s="23"/>
    </row>
    <row r="479" spans="2:8" x14ac:dyDescent="0.25">
      <c r="B479" s="23"/>
      <c r="C479" s="23"/>
      <c r="D479" s="23"/>
      <c r="E479" s="23"/>
      <c r="F479" s="23"/>
      <c r="G479" s="23"/>
      <c r="H479" s="23"/>
    </row>
    <row r="480" spans="2:8" x14ac:dyDescent="0.25">
      <c r="B480" s="23"/>
      <c r="C480" s="23"/>
      <c r="D480" s="23"/>
      <c r="E480" s="23"/>
      <c r="F480" s="23"/>
      <c r="G480" s="23"/>
      <c r="H480" s="23"/>
    </row>
    <row r="481" spans="2:8" x14ac:dyDescent="0.25">
      <c r="B481" s="23"/>
      <c r="C481" s="23"/>
      <c r="D481" s="23"/>
      <c r="E481" s="23"/>
      <c r="F481" s="23"/>
      <c r="G481" s="23"/>
      <c r="H481" s="23"/>
    </row>
    <row r="482" spans="2:8" x14ac:dyDescent="0.25">
      <c r="B482" s="23"/>
      <c r="C482" s="23"/>
      <c r="D482" s="23"/>
      <c r="E482" s="23"/>
      <c r="F482" s="23"/>
      <c r="G482" s="23"/>
      <c r="H482" s="23"/>
    </row>
    <row r="483" spans="2:8" x14ac:dyDescent="0.25">
      <c r="B483" s="23"/>
      <c r="C483" s="23"/>
      <c r="D483" s="23"/>
      <c r="E483" s="23"/>
      <c r="F483" s="23"/>
      <c r="G483" s="23"/>
      <c r="H483" s="23"/>
    </row>
    <row r="484" spans="2:8" x14ac:dyDescent="0.25">
      <c r="B484" s="23"/>
      <c r="C484" s="23"/>
      <c r="D484" s="23"/>
      <c r="E484" s="23"/>
      <c r="F484" s="23"/>
      <c r="G484" s="23"/>
      <c r="H484" s="23"/>
    </row>
    <row r="485" spans="2:8" x14ac:dyDescent="0.25">
      <c r="B485" s="23"/>
      <c r="C485" s="23"/>
      <c r="D485" s="23"/>
      <c r="E485" s="23"/>
      <c r="F485" s="23"/>
      <c r="G485" s="23"/>
      <c r="H485" s="23"/>
    </row>
    <row r="486" spans="2:8" x14ac:dyDescent="0.25">
      <c r="B486" s="23"/>
      <c r="C486" s="23"/>
      <c r="D486" s="23"/>
      <c r="E486" s="23"/>
      <c r="F486" s="23"/>
      <c r="G486" s="23"/>
      <c r="H486" s="23"/>
    </row>
    <row r="487" spans="2:8" x14ac:dyDescent="0.25">
      <c r="B487" s="23"/>
      <c r="C487" s="23"/>
      <c r="D487" s="23"/>
      <c r="E487" s="23"/>
      <c r="F487" s="23"/>
      <c r="G487" s="23"/>
      <c r="H487" s="23"/>
    </row>
    <row r="488" spans="2:8" x14ac:dyDescent="0.25">
      <c r="B488" s="23"/>
      <c r="C488" s="23"/>
      <c r="D488" s="23"/>
      <c r="E488" s="23"/>
      <c r="F488" s="23"/>
      <c r="G488" s="23"/>
      <c r="H488" s="23"/>
    </row>
    <row r="489" spans="2:8" x14ac:dyDescent="0.25">
      <c r="B489" s="23"/>
      <c r="C489" s="23"/>
      <c r="D489" s="23"/>
      <c r="E489" s="23"/>
      <c r="F489" s="23"/>
      <c r="G489" s="23"/>
      <c r="H489" s="23"/>
    </row>
    <row r="490" spans="2:8" x14ac:dyDescent="0.25">
      <c r="B490" s="23"/>
      <c r="C490" s="23"/>
      <c r="D490" s="23"/>
      <c r="E490" s="23"/>
      <c r="F490" s="23"/>
      <c r="G490" s="23"/>
      <c r="H490" s="23"/>
    </row>
    <row r="491" spans="2:8" x14ac:dyDescent="0.25">
      <c r="B491" s="23"/>
      <c r="C491" s="23"/>
      <c r="D491" s="23"/>
      <c r="E491" s="23"/>
      <c r="F491" s="23"/>
      <c r="G491" s="23"/>
      <c r="H491" s="23"/>
    </row>
    <row r="492" spans="2:8" x14ac:dyDescent="0.25">
      <c r="B492" s="23"/>
      <c r="C492" s="23"/>
      <c r="D492" s="23"/>
      <c r="E492" s="23"/>
      <c r="F492" s="23"/>
      <c r="G492" s="23"/>
      <c r="H492" s="23"/>
    </row>
    <row r="493" spans="2:8" x14ac:dyDescent="0.25">
      <c r="B493" s="23"/>
      <c r="C493" s="23"/>
      <c r="D493" s="23"/>
      <c r="E493" s="23"/>
      <c r="F493" s="23"/>
      <c r="G493" s="23"/>
      <c r="H493" s="23"/>
    </row>
    <row r="494" spans="2:8" x14ac:dyDescent="0.25">
      <c r="B494" s="23"/>
      <c r="C494" s="23"/>
      <c r="D494" s="23"/>
      <c r="E494" s="23"/>
      <c r="F494" s="23"/>
      <c r="G494" s="23"/>
      <c r="H494" s="23"/>
    </row>
    <row r="495" spans="2:8" x14ac:dyDescent="0.25">
      <c r="B495" s="23"/>
      <c r="C495" s="23"/>
      <c r="D495" s="23"/>
      <c r="E495" s="23"/>
      <c r="F495" s="23"/>
      <c r="G495" s="23"/>
      <c r="H495" s="23"/>
    </row>
    <row r="496" spans="2:8" x14ac:dyDescent="0.25">
      <c r="B496" s="23"/>
      <c r="C496" s="23"/>
      <c r="D496" s="23"/>
      <c r="E496" s="23"/>
      <c r="F496" s="23"/>
      <c r="G496" s="23"/>
      <c r="H496" s="23"/>
    </row>
    <row r="497" spans="2:8" x14ac:dyDescent="0.25">
      <c r="B497" s="23"/>
      <c r="C497" s="23"/>
      <c r="D497" s="23"/>
      <c r="E497" s="23"/>
      <c r="F497" s="23"/>
      <c r="G497" s="23"/>
      <c r="H497" s="23"/>
    </row>
    <row r="498" spans="2:8" x14ac:dyDescent="0.25">
      <c r="B498" s="23"/>
      <c r="C498" s="23"/>
      <c r="D498" s="23"/>
      <c r="E498" s="23"/>
      <c r="F498" s="23"/>
      <c r="G498" s="23"/>
      <c r="H498" s="23"/>
    </row>
    <row r="499" spans="2:8" x14ac:dyDescent="0.25">
      <c r="B499" s="23"/>
      <c r="C499" s="23"/>
      <c r="D499" s="23"/>
      <c r="E499" s="23"/>
      <c r="F499" s="23"/>
      <c r="G499" s="23"/>
      <c r="H499" s="23"/>
    </row>
    <row r="500" spans="2:8" x14ac:dyDescent="0.25">
      <c r="B500" s="23"/>
      <c r="C500" s="23"/>
      <c r="D500" s="23"/>
      <c r="E500" s="23"/>
      <c r="F500" s="23"/>
      <c r="G500" s="23"/>
      <c r="H500" s="23"/>
    </row>
  </sheetData>
  <sheetProtection algorithmName="SHA-512" hashValue="/1Numbj5Vh7HTRmWFM9GPWeFelgo+IC94h5SZDVkpDmA4OL1AG2ovh3ZxVL61RkvlGs5vDZhhXh89uYgKSZ7ng==" saltValue="5QpB03Drg69jeX6uOZ4pLA==" spinCount="100000" sheet="1" objects="1" scenarios="1" insertColumns="0" insertRows="0" insertHyperlinks="0"/>
  <protectedRanges>
    <protectedRange algorithmName="SHA-512" hashValue="ETT32a1NkBcXp3KzvVA3UY+AV/G12u0vOAavKUre/LKGnvXUcs62cddjkrq4AeqPG2g4FOAzR3pnpO4Rhvqb5w==" saltValue="CUHzlCyW34qGEfj58Om7kQ==" spinCount="100000" sqref="B31:G500" name="Ejercicios"/>
  </protectedRanges>
  <mergeCells count="20">
    <mergeCell ref="F27:G27"/>
    <mergeCell ref="F28:G28"/>
    <mergeCell ref="R2:W4"/>
    <mergeCell ref="R5:W16"/>
    <mergeCell ref="F29:G29"/>
    <mergeCell ref="B5:G19"/>
    <mergeCell ref="B31:G31"/>
    <mergeCell ref="B4:G4"/>
    <mergeCell ref="H2:Q4"/>
    <mergeCell ref="H5:Q26"/>
    <mergeCell ref="B2:G3"/>
    <mergeCell ref="B20:G20"/>
    <mergeCell ref="E21:G21"/>
    <mergeCell ref="F30:G30"/>
    <mergeCell ref="F23:G23"/>
    <mergeCell ref="F24:G24"/>
    <mergeCell ref="F25:G25"/>
    <mergeCell ref="F26:G26"/>
    <mergeCell ref="F22:G22"/>
    <mergeCell ref="B21:D21"/>
  </mergeCells>
  <phoneticPr fontId="8" type="noConversion"/>
  <hyperlinks>
    <hyperlink ref="H33" r:id="rId1" xr:uid="{863A58E0-A954-4058-911E-A2F1A7030445}"/>
    <hyperlink ref="H34" r:id="rId2" xr:uid="{86BCDC4A-22B0-414B-953D-82CE01A3C371}"/>
    <hyperlink ref="H64" r:id="rId3" xr:uid="{C862CC7B-420D-419B-9355-8FF68B3B9456}"/>
    <hyperlink ref="H65" r:id="rId4" xr:uid="{B2A48B89-ABC3-40F5-814E-AAC7404D754D}"/>
    <hyperlink ref="H142" r:id="rId5" xr:uid="{FFCB0880-DD88-49A6-8780-289270646C9C}"/>
    <hyperlink ref="H159" r:id="rId6" xr:uid="{28A7E2ED-5038-4C30-B8C3-1784C3DCB415}"/>
    <hyperlink ref="H160" r:id="rId7" xr:uid="{7056C8F0-90F5-4EF8-BB9B-0CF5153B7DC8}"/>
    <hyperlink ref="H161" r:id="rId8" xr:uid="{A7BED387-80A4-426A-859C-C253C0E9097B}"/>
    <hyperlink ref="H145" r:id="rId9" xr:uid="{B79EFE6C-A4C8-4A9D-8708-BE7FE1504258}"/>
    <hyperlink ref="H143" r:id="rId10" xr:uid="{BFB2E92F-999B-409B-9982-A6E87DFEFF45}"/>
    <hyperlink ref="H149" r:id="rId11" xr:uid="{7969A846-335D-41E7-A47C-823D4ADC079D}"/>
    <hyperlink ref="H153" r:id="rId12" xr:uid="{F40B9030-592B-4F19-8015-27F4C0C3D71E}"/>
    <hyperlink ref="H157" r:id="rId13" xr:uid="{695A7121-7093-4CCE-B8FA-7E0776B5EBD1}"/>
    <hyperlink ref="H204" r:id="rId14" xr:uid="{F7745A98-188D-4F27-83E8-6BB1E1D7398E}"/>
    <hyperlink ref="H162" r:id="rId15" xr:uid="{41972D9B-BF87-43FB-91E5-24A24343B517}"/>
    <hyperlink ref="H174" r:id="rId16" xr:uid="{6FD5F592-6B88-49FE-B411-650B88DB3D18}"/>
    <hyperlink ref="H187" r:id="rId17" xr:uid="{BA1348D1-8451-4D6D-BBB0-33041411F9C9}"/>
    <hyperlink ref="H188" r:id="rId18" xr:uid="{86B3A757-AF5C-4307-9211-BE35483DDBC9}"/>
    <hyperlink ref="H203" r:id="rId19" xr:uid="{F8E8BF77-2C6D-4B7D-8F5B-5606FB1BDB9A}"/>
    <hyperlink ref="H37" r:id="rId20" xr:uid="{00EECC30-ACD0-494D-A797-48A4B2AB9000}"/>
    <hyperlink ref="H35" r:id="rId21" xr:uid="{1C87165A-E65A-40B1-9336-58725F61921F}"/>
    <hyperlink ref="H36" r:id="rId22" xr:uid="{0C680212-14C3-4AC4-ADB9-D84E68627D00}"/>
    <hyperlink ref="H45" r:id="rId23" xr:uid="{2C4448AA-C1DF-4877-B34E-AD0C0533E796}"/>
    <hyperlink ref="H41" r:id="rId24" xr:uid="{9AA28272-B55D-4779-BD25-7B5BB9B287AC}"/>
    <hyperlink ref="H39" r:id="rId25" xr:uid="{D5AE5658-FC63-4BA9-A0B4-273BEA2C3271}"/>
    <hyperlink ref="H40" r:id="rId26" xr:uid="{254CF99E-BC2F-4196-AEE3-F4C490838D6B}"/>
    <hyperlink ref="H49" r:id="rId27" xr:uid="{B7C48EAF-E326-4A95-89A5-9F3A7C05D8F1}"/>
    <hyperlink ref="H42" r:id="rId28" xr:uid="{61E53E38-B0C9-438E-8476-4B00382FEDAB}"/>
    <hyperlink ref="H43" r:id="rId29" xr:uid="{32B3F126-78C2-47A7-B8DB-DF4AFCF1A846}"/>
    <hyperlink ref="H44" r:id="rId30" xr:uid="{7EA39091-D654-497E-9D8E-C889F6D74E71}"/>
    <hyperlink ref="H38" r:id="rId31" xr:uid="{39F8C4E1-690D-47B2-A806-F1717927E91F}"/>
    <hyperlink ref="H47" r:id="rId32" xr:uid="{E6E0F12F-8C5F-48DF-ADD9-96384D30A1EB}"/>
    <hyperlink ref="H48" r:id="rId33" xr:uid="{AC9389B0-9F1F-4964-8C6D-A6A07147561C}"/>
    <hyperlink ref="H50" r:id="rId34" xr:uid="{B2F7665B-0725-4B81-8854-9FCA276CF0CE}"/>
    <hyperlink ref="H51" r:id="rId35" xr:uid="{39478245-7D31-4F14-9C6D-EF6AC94822BC}"/>
    <hyperlink ref="H52" r:id="rId36" xr:uid="{94C037F5-3AFF-466A-B355-67E3ADF535A1}"/>
    <hyperlink ref="H53" r:id="rId37" xr:uid="{6F6ABC55-B409-4109-B074-8F3796268F27}"/>
    <hyperlink ref="H272" r:id="rId38" xr:uid="{CE1BCF4E-397E-4094-8BDA-2FC3E32DCC36}"/>
    <hyperlink ref="H273" r:id="rId39" xr:uid="{60248C5D-7167-48D8-8372-80FFA597F9E9}"/>
    <hyperlink ref="H271" r:id="rId40" xr:uid="{AFE40AF9-D219-41A3-9709-04127400DCF3}"/>
    <hyperlink ref="H269" r:id="rId41" xr:uid="{AE5B5D66-B213-4FB4-934A-19F41BB6C96C}"/>
    <hyperlink ref="H267" r:id="rId42" xr:uid="{CFD2B476-CBE2-4965-85F1-4C11DC4497BF}"/>
    <hyperlink ref="H266" r:id="rId43" xr:uid="{C21A9897-18A3-43C5-808D-0E24253DDB30}"/>
    <hyperlink ref="H265" r:id="rId44" xr:uid="{F5EAA08A-DB44-47D9-9724-AFDDA19ED092}"/>
    <hyperlink ref="H264" r:id="rId45" xr:uid="{2C5FB79F-CD2C-4AF9-9982-43F296CED62A}"/>
    <hyperlink ref="H263" r:id="rId46" xr:uid="{4D3C8095-1A14-41DF-9BD0-F0E60BD6D345}"/>
    <hyperlink ref="H262" r:id="rId47" xr:uid="{8B8CDE62-E93D-4010-B1A2-89571A3D6C0F}"/>
    <hyperlink ref="H261" r:id="rId48" xr:uid="{6283A6C2-FEDD-4724-9794-B3266A7717F0}"/>
    <hyperlink ref="H260" r:id="rId49" xr:uid="{0F7029EB-156D-4D6C-B7DD-95B7855BFB94}"/>
    <hyperlink ref="H259" r:id="rId50" xr:uid="{D9FBEFE4-1AA4-4880-8F76-888A4FBA78C0}"/>
    <hyperlink ref="H258" r:id="rId51" xr:uid="{8B5C48E5-9EDC-48FE-B684-70D9F40526EE}"/>
    <hyperlink ref="H257" r:id="rId52" xr:uid="{B1362DD1-3FA4-4ABF-B4C2-0CA20CD1ADC9}"/>
    <hyperlink ref="H256" r:id="rId53" xr:uid="{DE0A7262-8C43-4325-BE3F-BC51AC76FD5E}"/>
    <hyperlink ref="H255" r:id="rId54" xr:uid="{2BC8BDE2-0A22-46C3-B546-A8126D941881}"/>
    <hyperlink ref="H249" r:id="rId55" xr:uid="{A39447DA-76EA-45FB-B488-0FA7A5B8C090}"/>
    <hyperlink ref="H250" r:id="rId56" xr:uid="{F7454E4E-261A-49E3-8132-226527BE7479}"/>
    <hyperlink ref="H251" r:id="rId57" xr:uid="{B2085D80-778B-4296-BC56-A18B1B93AE43}"/>
    <hyperlink ref="H253" r:id="rId58" xr:uid="{7F482F85-C1EF-4669-90A3-70FF88F7FC28}"/>
    <hyperlink ref="H254" r:id="rId59" xr:uid="{417FEB3D-463E-4251-9A32-2550D0CE3E73}"/>
    <hyperlink ref="H248" r:id="rId60" xr:uid="{CA6434FB-CDF6-4C34-8C5B-367785B4E738}"/>
    <hyperlink ref="H247" r:id="rId61" xr:uid="{0CFFCFEE-880A-4ED3-9607-D92C49DEEF9A}"/>
    <hyperlink ref="H246" r:id="rId62" xr:uid="{2186395E-3C11-4206-A54A-849FB40952A7}"/>
    <hyperlink ref="H245" r:id="rId63" xr:uid="{4F6DBD48-A024-46F1-85D6-C996F21F248D}"/>
    <hyperlink ref="H244" r:id="rId64" xr:uid="{BC154DEC-3772-4F64-B8D9-5CD2E6C19621}"/>
    <hyperlink ref="H243" r:id="rId65" xr:uid="{252C9FEE-A071-401D-AFB6-D12E4214C8D6}"/>
    <hyperlink ref="H242" r:id="rId66" xr:uid="{5AD6764B-17D1-4244-B4A0-63D867DD74F1}"/>
    <hyperlink ref="H241" r:id="rId67" xr:uid="{32598593-E048-49A2-A5A2-779A3E41027C}"/>
    <hyperlink ref="H240" r:id="rId68" xr:uid="{E9AD868A-96FD-4649-85C9-CF4F010C6386}"/>
    <hyperlink ref="H239" r:id="rId69" xr:uid="{E00065D0-9046-4384-9593-AD92C076B282}"/>
    <hyperlink ref="H238" r:id="rId70" xr:uid="{97BCD1B7-7059-4A7F-8CEB-030877859C1F}"/>
    <hyperlink ref="H237" r:id="rId71" xr:uid="{E5431737-A84E-4784-AEDC-05DE51ED0781}"/>
    <hyperlink ref="H236" r:id="rId72" xr:uid="{8709878A-21B3-4AEF-9925-25C07B18E5F8}"/>
    <hyperlink ref="H235" r:id="rId73" xr:uid="{816FC0FC-AAEF-4BEC-A267-592435C31C4D}"/>
    <hyperlink ref="H234" r:id="rId74" xr:uid="{FCA4191C-2393-414F-B207-A7EBB097B0F6}"/>
    <hyperlink ref="H233" r:id="rId75" xr:uid="{D808AF48-AB09-4AA8-8F7B-740D4BA6FD72}"/>
    <hyperlink ref="H232" r:id="rId76" xr:uid="{CEB13989-7AA3-45C3-AB22-F738B53BC3AC}"/>
    <hyperlink ref="H231" r:id="rId77" xr:uid="{1A38CE33-8F6E-4A02-B589-AB343D41B329}"/>
    <hyperlink ref="H230" r:id="rId78" xr:uid="{2BFB1690-BD98-4214-B594-6D83EE6A64EB}"/>
    <hyperlink ref="H229" r:id="rId79" xr:uid="{5EB45727-6923-43C0-BAE3-D17B2D95A94B}"/>
    <hyperlink ref="H228" r:id="rId80" xr:uid="{EB8453EA-5221-494F-BA60-16D32F58F14F}"/>
    <hyperlink ref="H227" r:id="rId81" xr:uid="{62C9AC14-38F1-4934-979C-C5C15A716BB0}"/>
    <hyperlink ref="H226" r:id="rId82" xr:uid="{9DF3938A-AD56-478E-9F78-07AC07371E9E}"/>
    <hyperlink ref="H225" r:id="rId83" xr:uid="{2290130A-BE2E-4AE5-A92A-180FAF068E99}"/>
    <hyperlink ref="H224" r:id="rId84" xr:uid="{1F3FDB03-82E0-4773-88EC-BC98FD7D8597}"/>
    <hyperlink ref="H223" r:id="rId85" xr:uid="{5A2E7371-0F50-4EFF-8BC1-CF2C4B8FBBDD}"/>
    <hyperlink ref="H222" r:id="rId86" xr:uid="{417D9080-62FF-452A-8E1B-274C5D6D3DB8}"/>
    <hyperlink ref="H221" r:id="rId87" xr:uid="{8989065F-8F7F-4EC2-93A9-59E7CAACB11E}"/>
    <hyperlink ref="H220" r:id="rId88" xr:uid="{F863377D-E4E4-483E-8E19-437F7CE3125A}"/>
    <hyperlink ref="H218" r:id="rId89" xr:uid="{D56C2C43-6D67-40C0-B827-29592BED66AE}"/>
    <hyperlink ref="H219" r:id="rId90" xr:uid="{FE4755EC-568C-42A0-BD9A-9AB90E3E8823}"/>
    <hyperlink ref="H216" r:id="rId91" xr:uid="{CFB2E3C5-700C-4240-B1B8-A7053431B6CA}"/>
    <hyperlink ref="H217" r:id="rId92" xr:uid="{8A5E97D3-5C55-4358-B776-DFB74F38FFEB}"/>
    <hyperlink ref="H215" r:id="rId93" xr:uid="{E5F4F4EA-8091-4CF8-B7D7-5D9DC7FF17F4}"/>
    <hyperlink ref="H214" r:id="rId94" xr:uid="{59AB8D45-D8E0-47D4-AC14-5196392576D7}"/>
    <hyperlink ref="H213" r:id="rId95" xr:uid="{418A812A-CB38-4B3F-AC06-B36904347707}"/>
    <hyperlink ref="H212" r:id="rId96" xr:uid="{7C376A9C-F309-4555-9161-BF1ADB7ADB0A}"/>
    <hyperlink ref="H211" r:id="rId97" xr:uid="{C60A1C67-A681-4D80-AC27-AAAD3DD6B0CD}"/>
    <hyperlink ref="H210" r:id="rId98" xr:uid="{4B3A7D72-B062-46AF-A560-4E3FF46ECAD1}"/>
    <hyperlink ref="H207" r:id="rId99" xr:uid="{525F62CB-D92D-4B71-8251-150BA6EB5B06}"/>
    <hyperlink ref="H209" r:id="rId100" xr:uid="{5523B671-74CA-4281-A532-A26A71E1BF2E}"/>
    <hyperlink ref="H208" r:id="rId101" xr:uid="{6E56445B-81E4-4755-B86B-1B66F7A0EC11}"/>
    <hyperlink ref="H206" r:id="rId102" xr:uid="{612B1659-43E0-4080-8CF7-7039C9FF610A}"/>
    <hyperlink ref="H205" r:id="rId103" xr:uid="{3DD26088-30D2-47BD-9FCA-F22D2E0E0D7E}"/>
    <hyperlink ref="H202" r:id="rId104" xr:uid="{CDAFF0B2-4844-4A9E-BAAE-A03BABBD58CE}"/>
    <hyperlink ref="H201" r:id="rId105" xr:uid="{FC8387CB-43B8-434C-8C10-7FB1305BB6E2}"/>
    <hyperlink ref="H200" r:id="rId106" xr:uid="{BC03F1EE-5AFE-4572-A6FD-296FE7FF05EB}"/>
    <hyperlink ref="H199" r:id="rId107" xr:uid="{04D9B14B-4587-452E-9C01-DEFC28A4C51C}"/>
    <hyperlink ref="H198" r:id="rId108" xr:uid="{4F9F8105-2FAD-4369-8C5E-B8D43412A7F9}"/>
    <hyperlink ref="H197" r:id="rId109" xr:uid="{CB6DD22D-1C68-40BB-B269-FE3FA5742683}"/>
    <hyperlink ref="H196" r:id="rId110" xr:uid="{209CA2D3-5285-4DB0-AF18-339A33F1E6E6}"/>
    <hyperlink ref="H195" r:id="rId111" xr:uid="{4B470768-CF28-4A07-B36D-3395A80A3173}"/>
    <hyperlink ref="H194" r:id="rId112" xr:uid="{78B31027-0114-4F09-8E93-ADE219D165CB}"/>
    <hyperlink ref="H193" r:id="rId113" xr:uid="{E3CEB4EC-501A-4B38-8EC0-9994E4EFDEDA}"/>
    <hyperlink ref="H192" r:id="rId114" xr:uid="{86E7B360-0A6F-492B-9BF4-E46AD338E7C8}"/>
    <hyperlink ref="H191" r:id="rId115" xr:uid="{BA43B5C1-36EA-4174-8D7D-C92A96ED3EA5}"/>
    <hyperlink ref="H190" r:id="rId116" xr:uid="{5E076987-B882-409E-BB54-31ED67523B49}"/>
    <hyperlink ref="H189" r:id="rId117" xr:uid="{299C627C-DD2C-4B3C-8D48-911805234B8F}"/>
    <hyperlink ref="H186" r:id="rId118" xr:uid="{DA26FEF8-059C-4785-952C-8B83211E788A}"/>
    <hyperlink ref="H185" r:id="rId119" xr:uid="{190948A8-267C-4059-9DF6-299284673B21}"/>
    <hyperlink ref="H184" r:id="rId120" xr:uid="{45D9FC00-4E93-4E44-BF76-6FF60C2EC867}"/>
    <hyperlink ref="H183" r:id="rId121" xr:uid="{99A05E44-D4A9-45D3-AD5E-595F5F97FD1C}"/>
    <hyperlink ref="H182" r:id="rId122" xr:uid="{45C742AD-7458-4820-B9FE-8FA2A3EBC6C7}"/>
    <hyperlink ref="H181" r:id="rId123" xr:uid="{4B40DA69-9F85-4E07-8387-8BA1A1241E96}"/>
    <hyperlink ref="H180" r:id="rId124" xr:uid="{CCC99210-AE2E-4F72-9F78-8834D38E12C9}"/>
    <hyperlink ref="H179" r:id="rId125" xr:uid="{142C55F7-F642-44CE-A126-B82EFE41A2A5}"/>
    <hyperlink ref="H178" r:id="rId126" xr:uid="{40FACBFA-24C4-4993-B1B0-C8B11EB59C5D}"/>
    <hyperlink ref="H177" r:id="rId127" xr:uid="{0F65388F-F9A3-4901-93D5-174EE00B4427}"/>
    <hyperlink ref="H176" r:id="rId128" xr:uid="{C61EC335-4E5E-4801-A492-262FC95C14B3}"/>
    <hyperlink ref="H175" r:id="rId129" xr:uid="{781F2698-BD2C-4DF9-8173-F0A8C73F0370}"/>
    <hyperlink ref="H173" r:id="rId130" xr:uid="{96FE6BD7-7E6E-4DC2-859C-2F5A33376263}"/>
    <hyperlink ref="H172" r:id="rId131" xr:uid="{9D8F1D52-51BC-4122-9951-FDD35E68D47F}"/>
    <hyperlink ref="H171" r:id="rId132" xr:uid="{F074F07C-84D0-42F1-A6BD-D1160E246DA1}"/>
    <hyperlink ref="H170" r:id="rId133" xr:uid="{0B796FB4-A42B-4403-B2B8-E7D34E059B80}"/>
    <hyperlink ref="H168" r:id="rId134" xr:uid="{6BDEFCD0-25CA-4D3C-9746-81517B09446A}"/>
    <hyperlink ref="H167" r:id="rId135" xr:uid="{AF42A939-ACBC-413E-85E0-35AD4F224680}"/>
    <hyperlink ref="H166" r:id="rId136" xr:uid="{1F74C5B1-9670-4003-934C-77ADA4192C8E}"/>
    <hyperlink ref="H165" r:id="rId137" xr:uid="{908AAB04-0D65-4311-97F0-43C18F56B88F}"/>
    <hyperlink ref="H164" r:id="rId138" xr:uid="{EDA83EBA-1EDA-4248-AAB8-C56726DBDEDB}"/>
    <hyperlink ref="H169" r:id="rId139" xr:uid="{CB611396-C5F1-476D-A59A-DCA231708350}"/>
    <hyperlink ref="H163" r:id="rId140" xr:uid="{A0759DB5-5F58-4AEC-8440-D1D2D36DB452}"/>
    <hyperlink ref="H158" r:id="rId141" xr:uid="{65E62340-ED3E-44AD-AC17-A2BC7F896227}"/>
    <hyperlink ref="H155" r:id="rId142" xr:uid="{BA118791-21E7-40FA-A831-603C6B5C94BE}"/>
    <hyperlink ref="H156" r:id="rId143" xr:uid="{08839973-C51A-474C-A8D7-4C2B6CC4F35B}"/>
    <hyperlink ref="H154" r:id="rId144" xr:uid="{EBA40DF6-DBEC-4939-A4DE-DF3E10074218}"/>
    <hyperlink ref="H151" r:id="rId145" xr:uid="{6970A174-91E1-44F7-8C3A-0DFD03BA9032}"/>
    <hyperlink ref="H152" r:id="rId146" xr:uid="{6C57C389-0D51-4A60-B5EA-2409C7FA0611}"/>
    <hyperlink ref="H150" r:id="rId147" xr:uid="{38D66122-FCFE-4537-894B-47457DF06202}"/>
    <hyperlink ref="H148" r:id="rId148" xr:uid="{DCBE8875-1D91-4E30-9506-F1AA0026A8FA}"/>
    <hyperlink ref="H147" r:id="rId149" xr:uid="{864FCFCB-E4E2-4D73-A67F-3075330AC820}"/>
    <hyperlink ref="H146" r:id="rId150" xr:uid="{E9D9FA99-6C09-4216-B7AE-DB58E311257D}"/>
    <hyperlink ref="H144" r:id="rId151" xr:uid="{C2344899-AA84-4A17-A67D-B83827E1CFE6}"/>
    <hyperlink ref="H141" r:id="rId152" xr:uid="{728695F2-3F83-404F-B55D-D10FB33EE3C7}"/>
    <hyperlink ref="H140" r:id="rId153" xr:uid="{A9E093EC-9C46-4414-87DC-EFBA30A140EB}"/>
    <hyperlink ref="H139" r:id="rId154" xr:uid="{35636921-BB9B-4BC2-8AD2-1A35F374A918}"/>
    <hyperlink ref="H138" r:id="rId155" xr:uid="{9957D810-F007-4401-8413-20CDF40F2F93}"/>
    <hyperlink ref="H137" r:id="rId156" xr:uid="{8FE660B2-2733-4AFB-A761-88C5752CFDF9}"/>
    <hyperlink ref="H136" r:id="rId157" xr:uid="{C6CE8C4A-C442-4086-B8A3-879EC16F9D69}"/>
    <hyperlink ref="H135" r:id="rId158" xr:uid="{95BCFE95-1EF4-48E2-BAA9-4B98649AF690}"/>
    <hyperlink ref="H133" r:id="rId159" xr:uid="{238FF83F-77AA-4035-89DB-2065F23E41D5}"/>
    <hyperlink ref="H132" r:id="rId160" xr:uid="{986CB3B3-3413-4D18-AE53-2EB4BA4C8B94}"/>
    <hyperlink ref="H131" r:id="rId161" xr:uid="{1EF86A38-1FAB-44CB-8280-1F6B5089DE32}"/>
    <hyperlink ref="H130" r:id="rId162" xr:uid="{5CAC762B-7CFE-4346-8672-735A19DEAD0F}"/>
    <hyperlink ref="H129" r:id="rId163" xr:uid="{B81B7E5F-22F8-4C7E-9F90-57569CE1DB86}"/>
    <hyperlink ref="H128" r:id="rId164" xr:uid="{529CECAE-0FB7-4D21-B7ED-EDC6BF927859}"/>
    <hyperlink ref="H127" r:id="rId165" xr:uid="{B44A524B-8F7A-4852-8CD3-FF4992FB0793}"/>
    <hyperlink ref="H126" r:id="rId166" xr:uid="{BE0BF920-4955-43AD-B806-A734E5E52E28}"/>
    <hyperlink ref="H125" r:id="rId167" xr:uid="{8C93DBB5-E98B-444E-B53F-3CC74B108D8F}"/>
    <hyperlink ref="H123" r:id="rId168" xr:uid="{0CA37870-74B7-4722-88FA-C3338AA210FE}"/>
    <hyperlink ref="H124" r:id="rId169" xr:uid="{F1B36FF2-0729-46D4-BA75-77B85FFFB9E4}"/>
    <hyperlink ref="H122" r:id="rId170" xr:uid="{AE4D65BD-BD44-45BD-9890-5D1CEC0FAEB5}"/>
    <hyperlink ref="H121" r:id="rId171" xr:uid="{6EE14F06-3646-4B81-AFAB-46C8010153C1}"/>
    <hyperlink ref="H120" r:id="rId172" xr:uid="{79D70802-9C87-45F6-9260-62E7FE390B38}"/>
    <hyperlink ref="H119" r:id="rId173" xr:uid="{4F794E77-4F31-4E1A-9C3B-1E630B4471C5}"/>
    <hyperlink ref="H118" r:id="rId174" xr:uid="{D64AE4C1-DA42-4BD9-829C-29DADF5F9B0B}"/>
    <hyperlink ref="H116" r:id="rId175" xr:uid="{87F5035A-BE74-44C2-A655-6E4D23B5E308}"/>
    <hyperlink ref="H115" r:id="rId176" xr:uid="{8FE53099-0240-4AB7-90C8-5F7F74575328}"/>
    <hyperlink ref="H114" r:id="rId177" xr:uid="{D25040B7-D4BD-4AF5-B854-C2F6919ABC52}"/>
    <hyperlink ref="H113" r:id="rId178" xr:uid="{A96691CF-F31E-4F42-AF84-BC3E4E8FF157}"/>
    <hyperlink ref="H112" r:id="rId179" xr:uid="{12D6F526-EBDE-45B3-81A7-CC17E7556181}"/>
    <hyperlink ref="H117" r:id="rId180" xr:uid="{4EB130AE-299C-4491-A100-F3F2E5915F1E}"/>
    <hyperlink ref="H111" r:id="rId181" xr:uid="{2F3FCB8D-F89B-4EEB-A47E-97E9BE282713}"/>
    <hyperlink ref="H110" r:id="rId182" xr:uid="{C911A03B-EDBF-4FA8-A560-89E7D839FBC5}"/>
    <hyperlink ref="H109" r:id="rId183" xr:uid="{E850ECC4-A575-4CBE-8997-6282392506FE}"/>
    <hyperlink ref="H108" r:id="rId184" xr:uid="{F1BA0FF7-7053-444E-86E2-2E2ACD2BF673}"/>
    <hyperlink ref="H107" r:id="rId185" xr:uid="{45B12F12-894F-4759-9D9F-D6A485B50B6A}"/>
    <hyperlink ref="H105" r:id="rId186" xr:uid="{8305C6F2-A22B-4296-97D0-0E4DBF9F7BEE}"/>
    <hyperlink ref="H106" r:id="rId187" xr:uid="{A0E2D6C7-A438-4C01-B78D-90BCA2654F3C}"/>
    <hyperlink ref="H104" r:id="rId188" xr:uid="{3432FAE3-058E-4FF7-BE0C-374C777090B8}"/>
    <hyperlink ref="H103" r:id="rId189" xr:uid="{5D49C544-FD01-46B6-BD80-576C7A5ED7D4}"/>
    <hyperlink ref="H102" r:id="rId190" xr:uid="{427A5DBF-9746-4752-985C-54752CF4ACA2}"/>
    <hyperlink ref="H101" r:id="rId191" xr:uid="{1BCABE98-6362-4922-9A5E-412B86684D00}"/>
    <hyperlink ref="H100" r:id="rId192" xr:uid="{53F069FA-2C10-4073-8327-9407290BF2D1}"/>
    <hyperlink ref="H99" r:id="rId193" xr:uid="{ABDC0AD4-1ACF-4253-80BB-FD488AF82602}"/>
    <hyperlink ref="H98" r:id="rId194" xr:uid="{372B8BAE-1C88-4C9F-9DBD-856FD11F2ACD}"/>
    <hyperlink ref="H97" r:id="rId195" xr:uid="{2D635D92-369C-4BAB-86DE-1B5B9BF868CB}"/>
    <hyperlink ref="H95" r:id="rId196" xr:uid="{B2E857A6-2DDC-4DE7-AFEC-9B4630850C77}"/>
    <hyperlink ref="H96" r:id="rId197" xr:uid="{69741814-0039-4E94-BE56-98E1D37F17CE}"/>
    <hyperlink ref="H94" r:id="rId198" xr:uid="{AE77668B-3779-46E8-B4A9-71B366ABEEC8}"/>
    <hyperlink ref="H93" r:id="rId199" xr:uid="{7444D63B-4E0B-4576-A214-0F962B827C01}"/>
    <hyperlink ref="H92" r:id="rId200" xr:uid="{ABFD0267-94CA-4057-8283-4D28B53066B4}"/>
    <hyperlink ref="H91" r:id="rId201" xr:uid="{C87ACC64-955A-4190-9156-A57ACF700C69}"/>
    <hyperlink ref="H90" r:id="rId202" xr:uid="{D521C20D-C716-4899-9D4D-2E4D3E1255A4}"/>
    <hyperlink ref="H89" r:id="rId203" xr:uid="{AFC0A3FC-1681-4748-AA59-379FECE8FC29}"/>
    <hyperlink ref="H88" r:id="rId204" xr:uid="{CF5C4931-25D3-4E34-A542-83740F2BF27B}"/>
    <hyperlink ref="H87" r:id="rId205" xr:uid="{64D31AE9-0DD1-4A83-9DBF-BF9FEC8BDB41}"/>
    <hyperlink ref="H86" r:id="rId206" xr:uid="{E983804A-EA0E-477B-987E-DE9EBD4F7D3C}"/>
    <hyperlink ref="H85" r:id="rId207" xr:uid="{2748D85D-A7B9-4669-B092-C57F035FA822}"/>
    <hyperlink ref="H84" r:id="rId208" xr:uid="{6D80A241-2C60-4CFD-BF1C-822D5E2011FD}"/>
    <hyperlink ref="H83" r:id="rId209" xr:uid="{0FE3A259-F9BC-4444-A597-FCFFFD95B5A7}"/>
    <hyperlink ref="H82" r:id="rId210" xr:uid="{EC7AB4B4-19E0-40FA-8425-D6A5C680415E}"/>
    <hyperlink ref="H81" r:id="rId211" xr:uid="{C8141A71-6B65-42C4-9F94-764D58B50F6B}"/>
    <hyperlink ref="H80" r:id="rId212" xr:uid="{13CB50EA-87E5-4B20-B2EB-8320029303C7}"/>
    <hyperlink ref="H79" r:id="rId213" xr:uid="{3AFDB4BF-BBC6-4937-93E1-10AFBC337873}"/>
    <hyperlink ref="H78" r:id="rId214" xr:uid="{6C050043-1103-4241-972C-301B8B6CD407}"/>
    <hyperlink ref="H77" r:id="rId215" xr:uid="{05ACCFB2-795F-4580-BE55-05071DCDAC4A}"/>
    <hyperlink ref="H76" r:id="rId216" xr:uid="{67F14FB2-C782-4A7B-840B-BF7823962C8D}"/>
    <hyperlink ref="H75" r:id="rId217" xr:uid="{B572DAE0-116C-44C6-B76A-B71A9CF17296}"/>
    <hyperlink ref="H74" r:id="rId218" xr:uid="{9FE73B7B-DE0C-4D43-BE42-134A6112A718}"/>
    <hyperlink ref="H73" r:id="rId219" xr:uid="{778345D7-5D76-4966-881B-BE30117B9147}"/>
    <hyperlink ref="H72" r:id="rId220" xr:uid="{A76633EF-6AC9-45D0-A15B-C472AC39C8C5}"/>
    <hyperlink ref="H71" r:id="rId221" xr:uid="{7A31BA01-99C7-473A-9259-DE65CB5B5A13}"/>
    <hyperlink ref="H70" r:id="rId222" xr:uid="{EF47D03D-6E57-4C5D-9AE3-E0EE64F8E1B4}"/>
    <hyperlink ref="H69" r:id="rId223" xr:uid="{3E080228-8AB9-44FB-BF82-92CFD75E82B1}"/>
    <hyperlink ref="H68" r:id="rId224" xr:uid="{4D83AC33-9E0D-4A8B-AA30-DCE6CC81BB7A}"/>
    <hyperlink ref="H67" r:id="rId225" xr:uid="{25E4DF91-CDBE-4594-8C91-048AE71C1C59}"/>
    <hyperlink ref="H66" r:id="rId226" xr:uid="{83855601-1704-4777-B74C-A62220AB98BE}"/>
    <hyperlink ref="H63" r:id="rId227" xr:uid="{B8A92D1D-17BF-440C-9E07-AC265F3F387F}"/>
    <hyperlink ref="H62" r:id="rId228" xr:uid="{4798069C-5DAF-4BE5-833D-2BD1B617CC79}"/>
    <hyperlink ref="H270" r:id="rId229" xr:uid="{6D2F7631-40C0-4E1D-8B86-C9B6B2B311D2}"/>
    <hyperlink ref="H268" r:id="rId230" xr:uid="{C16D33F1-D0BA-4433-8C41-41BD323A1550}"/>
    <hyperlink ref="H61" r:id="rId231" xr:uid="{63B066D5-1BC4-403B-8FDE-E6EB05A4909B}"/>
    <hyperlink ref="H60" r:id="rId232" xr:uid="{A246FC97-C053-4737-BED3-6E0EB25D83C5}"/>
    <hyperlink ref="H59" r:id="rId233" xr:uid="{983510A6-F4C9-42D7-A4FC-91B803A622F5}"/>
    <hyperlink ref="H58" r:id="rId234" xr:uid="{2F648340-190C-4101-A214-7C4C2FF4AECE}"/>
    <hyperlink ref="H57" r:id="rId235" xr:uid="{AD4C4715-6E2A-46F6-B07E-C7244C244439}"/>
    <hyperlink ref="H56" r:id="rId236" xr:uid="{EA1217B6-A00D-44EA-A973-8C1213483AE7}"/>
    <hyperlink ref="H55" r:id="rId237" xr:uid="{6ABA00DA-2172-4FAE-A00C-153B83E837CC}"/>
    <hyperlink ref="H54" r:id="rId238" xr:uid="{CF4FDC17-F4D5-402A-818F-0762E1CF9F89}"/>
    <hyperlink ref="H46" r:id="rId239" xr:uid="{9F4B5852-E1F0-4B48-84A9-7F75A6525D8F}"/>
    <hyperlink ref="H252" r:id="rId240" xr:uid="{66310481-C55D-41C5-B150-CB95145F7767}"/>
    <hyperlink ref="H134" r:id="rId241" xr:uid="{68D57837-9431-4B99-A8C8-06BCE8ED15E3}"/>
  </hyperlinks>
  <pageMargins left="0.7" right="0.7" top="0.75" bottom="0.75" header="0.3" footer="0.3"/>
  <pageSetup paperSize="9" orientation="portrait" r:id="rId242"/>
  <drawing r:id="rId243"/>
  <legacyDrawing r:id="rId244"/>
  <tableParts count="1">
    <tablePart r:id="rId24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34BA8-029A-4642-9802-1A9A91AA5778}">
  <sheetPr codeName="Hoja4"/>
  <dimension ref="A1:AF142"/>
  <sheetViews>
    <sheetView zoomScale="85" zoomScaleNormal="85" workbookViewId="0">
      <selection activeCell="B28" sqref="B28"/>
    </sheetView>
  </sheetViews>
  <sheetFormatPr baseColWidth="10" defaultColWidth="10.7109375" defaultRowHeight="15" x14ac:dyDescent="0.25"/>
  <cols>
    <col min="1" max="1" width="47" customWidth="1"/>
    <col min="2" max="2" width="27.28515625" customWidth="1"/>
    <col min="3" max="3" width="22.5703125" customWidth="1"/>
    <col min="4" max="4" width="17.28515625" customWidth="1"/>
    <col min="5" max="5" width="22.42578125" customWidth="1"/>
    <col min="6" max="6" width="25.85546875" customWidth="1"/>
    <col min="7" max="7" width="16" customWidth="1"/>
    <col min="8" max="8" width="16.42578125" customWidth="1"/>
    <col min="9" max="9" width="4.85546875" customWidth="1"/>
    <col min="10" max="10" width="24.42578125" customWidth="1"/>
    <col min="11" max="11" width="16.7109375" customWidth="1"/>
    <col min="12" max="12" width="5.7109375" customWidth="1"/>
    <col min="13" max="14" width="8.7109375" customWidth="1"/>
    <col min="15" max="15" width="16.7109375" customWidth="1"/>
    <col min="16" max="16" width="5.7109375" customWidth="1"/>
    <col min="17" max="18" width="8.7109375" customWidth="1"/>
    <col min="19" max="19" width="16.7109375" customWidth="1"/>
    <col min="20" max="20" width="5.7109375" customWidth="1"/>
    <col min="21" max="22" width="8.7109375" customWidth="1"/>
    <col min="23" max="23" width="16.7109375" customWidth="1"/>
    <col min="24" max="24" width="5.7109375" customWidth="1"/>
    <col min="25" max="26" width="8.7109375" customWidth="1"/>
    <col min="27" max="27" width="16.7109375" customWidth="1"/>
    <col min="28" max="28" width="5.7109375" customWidth="1"/>
    <col min="29" max="30" width="8.7109375" customWidth="1"/>
  </cols>
  <sheetData>
    <row r="1" spans="1:8" ht="15.75" thickBot="1" x14ac:dyDescent="0.3">
      <c r="A1" s="23"/>
    </row>
    <row r="2" spans="1:8" x14ac:dyDescent="0.25">
      <c r="A2" s="95" t="s">
        <v>515</v>
      </c>
      <c r="B2" s="96"/>
      <c r="C2" s="96"/>
      <c r="D2" s="96"/>
      <c r="E2" s="96"/>
      <c r="F2" s="96"/>
      <c r="G2" s="96"/>
      <c r="H2" s="97"/>
    </row>
    <row r="3" spans="1:8" ht="15.75" thickBot="1" x14ac:dyDescent="0.3">
      <c r="A3" s="98"/>
      <c r="B3" s="99"/>
      <c r="C3" s="99"/>
      <c r="D3" s="99"/>
      <c r="E3" s="99"/>
      <c r="F3" s="99"/>
      <c r="G3" s="99"/>
      <c r="H3" s="100"/>
    </row>
    <row r="4" spans="1:8" ht="15" customHeight="1" x14ac:dyDescent="0.25"/>
    <row r="5" spans="1:8" ht="15" customHeight="1" x14ac:dyDescent="0.25">
      <c r="A5" s="102" t="s">
        <v>516</v>
      </c>
      <c r="B5" s="103"/>
    </row>
    <row r="6" spans="1:8" x14ac:dyDescent="0.25">
      <c r="A6" s="27" t="s">
        <v>517</v>
      </c>
      <c r="B6" s="35"/>
    </row>
    <row r="7" spans="1:8" x14ac:dyDescent="0.25">
      <c r="A7" s="27" t="s">
        <v>518</v>
      </c>
      <c r="B7" s="35"/>
    </row>
    <row r="8" spans="1:8" x14ac:dyDescent="0.25">
      <c r="A8" s="27" t="s">
        <v>519</v>
      </c>
      <c r="B8" s="35"/>
    </row>
    <row r="9" spans="1:8" x14ac:dyDescent="0.25">
      <c r="A9" s="27" t="s">
        <v>520</v>
      </c>
      <c r="B9" s="35"/>
    </row>
    <row r="10" spans="1:8" ht="45" x14ac:dyDescent="0.25">
      <c r="A10" s="28" t="s">
        <v>521</v>
      </c>
      <c r="B10" s="36"/>
    </row>
    <row r="11" spans="1:8" x14ac:dyDescent="0.25">
      <c r="A11" s="27" t="s">
        <v>522</v>
      </c>
      <c r="B11" s="38" t="e" cm="1">
        <f t="array" ref="B11">_xlfn.IFS(B10=1,1.2,B10=2,1.375,B10=3,1.55,B10=4,1.725,B10=5,1.9)*((10*B6)+(6.25*B7)-(5*B8)+_xlfn.IFS(B9="m",5,B9="f",-161))</f>
        <v>#N/A</v>
      </c>
      <c r="C11" s="34" t="s">
        <v>523</v>
      </c>
    </row>
    <row r="12" spans="1:8" x14ac:dyDescent="0.25">
      <c r="A12" s="27" t="s">
        <v>524</v>
      </c>
      <c r="B12" s="37"/>
    </row>
    <row r="13" spans="1:8" x14ac:dyDescent="0.25">
      <c r="A13" s="27" t="s">
        <v>525</v>
      </c>
      <c r="B13" s="38" t="e" cm="1">
        <f t="array" ref="B13">B11+_xlfn.IFS(B12="v",500,B12="d",-500)</f>
        <v>#N/A</v>
      </c>
      <c r="C13" s="34" t="s">
        <v>523</v>
      </c>
    </row>
    <row r="15" spans="1:8" ht="15.75" x14ac:dyDescent="0.25">
      <c r="A15" s="102" t="s">
        <v>526</v>
      </c>
      <c r="B15" s="103"/>
    </row>
    <row r="16" spans="1:8" x14ac:dyDescent="0.25">
      <c r="A16" s="27" t="s">
        <v>527</v>
      </c>
      <c r="B16" s="29">
        <v>1</v>
      </c>
    </row>
    <row r="17" spans="1:32" x14ac:dyDescent="0.25">
      <c r="A17" s="27" t="s">
        <v>528</v>
      </c>
      <c r="B17" s="30">
        <v>2</v>
      </c>
    </row>
    <row r="18" spans="1:32" x14ac:dyDescent="0.25">
      <c r="A18" s="27" t="s">
        <v>529</v>
      </c>
      <c r="B18" s="31">
        <v>3</v>
      </c>
    </row>
    <row r="19" spans="1:32" x14ac:dyDescent="0.25">
      <c r="A19" s="27" t="s">
        <v>530</v>
      </c>
      <c r="B19" s="32">
        <v>4</v>
      </c>
    </row>
    <row r="20" spans="1:32" x14ac:dyDescent="0.25">
      <c r="A20" s="27" t="s">
        <v>531</v>
      </c>
      <c r="B20" s="33">
        <v>5</v>
      </c>
    </row>
    <row r="22" spans="1:32" x14ac:dyDescent="0.25">
      <c r="A22" s="101" t="s">
        <v>532</v>
      </c>
      <c r="B22" s="101"/>
      <c r="C22" s="101"/>
      <c r="D22" s="101"/>
      <c r="E22" s="101"/>
      <c r="F22" s="101"/>
      <c r="G22" s="101"/>
      <c r="H22" s="101"/>
      <c r="J22" s="101" t="s">
        <v>533</v>
      </c>
      <c r="K22" s="101"/>
      <c r="L22" s="101"/>
      <c r="M22" s="101"/>
      <c r="N22" s="101"/>
      <c r="O22" s="101"/>
      <c r="P22" s="101"/>
      <c r="Q22" s="101"/>
      <c r="R22" s="101"/>
      <c r="S22" s="101"/>
      <c r="T22" s="101"/>
      <c r="U22" s="101"/>
      <c r="V22" s="101"/>
      <c r="W22" s="101"/>
      <c r="X22" s="101"/>
      <c r="Y22" s="101"/>
      <c r="Z22" s="101"/>
      <c r="AA22" s="101"/>
      <c r="AB22" s="101"/>
      <c r="AC22" s="101"/>
      <c r="AD22" s="101"/>
      <c r="AE22" s="101"/>
    </row>
    <row r="23" spans="1:32" x14ac:dyDescent="0.25">
      <c r="A23" s="23" t="s">
        <v>534</v>
      </c>
      <c r="B23" s="23" t="s">
        <v>535</v>
      </c>
      <c r="C23" s="23" t="s">
        <v>536</v>
      </c>
      <c r="D23" s="23" t="s">
        <v>537</v>
      </c>
      <c r="E23" s="23" t="s">
        <v>538</v>
      </c>
      <c r="F23" s="23" t="s">
        <v>539</v>
      </c>
      <c r="G23" s="23" t="s">
        <v>540</v>
      </c>
      <c r="H23" s="23" t="s">
        <v>541</v>
      </c>
      <c r="J23" s="27" t="s">
        <v>542</v>
      </c>
      <c r="K23" s="25" t="s">
        <v>543</v>
      </c>
      <c r="L23" s="25" t="s">
        <v>544</v>
      </c>
      <c r="M23" s="23" t="s">
        <v>545</v>
      </c>
      <c r="N23" s="25" t="s">
        <v>546</v>
      </c>
      <c r="O23" s="25" t="s">
        <v>547</v>
      </c>
      <c r="P23" s="25" t="s">
        <v>544</v>
      </c>
      <c r="Q23" s="25" t="s">
        <v>545</v>
      </c>
      <c r="R23" s="25" t="s">
        <v>546</v>
      </c>
      <c r="S23" s="25" t="s">
        <v>548</v>
      </c>
      <c r="T23" s="25" t="s">
        <v>544</v>
      </c>
      <c r="U23" s="25" t="s">
        <v>545</v>
      </c>
      <c r="V23" s="25" t="s">
        <v>546</v>
      </c>
      <c r="W23" s="25" t="s">
        <v>549</v>
      </c>
      <c r="X23" s="25" t="s">
        <v>544</v>
      </c>
      <c r="Y23" s="25" t="s">
        <v>545</v>
      </c>
      <c r="Z23" s="25" t="s">
        <v>546</v>
      </c>
      <c r="AA23" s="25" t="s">
        <v>550</v>
      </c>
      <c r="AB23" s="25" t="s">
        <v>544</v>
      </c>
      <c r="AC23" s="25" t="s">
        <v>545</v>
      </c>
      <c r="AD23" s="25" t="s">
        <v>546</v>
      </c>
      <c r="AE23" s="104" t="s">
        <v>551</v>
      </c>
      <c r="AF23" s="25" t="s">
        <v>552</v>
      </c>
    </row>
    <row r="24" spans="1:32" x14ac:dyDescent="0.25">
      <c r="A24" s="23" t="s">
        <v>553</v>
      </c>
      <c r="B24" s="23" t="s">
        <v>554</v>
      </c>
      <c r="C24" s="23" t="s">
        <v>555</v>
      </c>
      <c r="D24" s="23">
        <v>100</v>
      </c>
      <c r="E24" s="23">
        <v>574</v>
      </c>
      <c r="F24" s="23">
        <v>29.8</v>
      </c>
      <c r="G24" s="23">
        <f>Tabla2[[#This Row],[Calorías x porción]]/Tabla2[[#This Row],[g por porción]]</f>
        <v>5.74</v>
      </c>
      <c r="H24" s="23">
        <f>Tabla2[[#This Row],[Proteína x porción]]/Tabla2[[#This Row],[g por porción]]</f>
        <v>0.29799999999999999</v>
      </c>
      <c r="J24" s="27" t="s">
        <v>546</v>
      </c>
      <c r="K24" s="40" t="s">
        <v>556</v>
      </c>
      <c r="L24" s="40">
        <v>200</v>
      </c>
      <c r="M24" s="41"/>
      <c r="N24" s="41"/>
      <c r="O24" s="40" t="s">
        <v>557</v>
      </c>
      <c r="P24" s="40">
        <v>150</v>
      </c>
      <c r="Q24" s="41"/>
      <c r="R24" s="41"/>
      <c r="S24" s="40" t="s">
        <v>557</v>
      </c>
      <c r="T24" s="40">
        <v>150</v>
      </c>
      <c r="U24" s="41"/>
      <c r="V24" s="41"/>
      <c r="W24" s="40" t="s">
        <v>557</v>
      </c>
      <c r="X24" s="40">
        <v>150</v>
      </c>
      <c r="Y24" s="41"/>
      <c r="Z24" s="41"/>
      <c r="AA24" s="40" t="s">
        <v>557</v>
      </c>
      <c r="AB24" s="40">
        <v>150</v>
      </c>
      <c r="AC24" s="41"/>
      <c r="AD24" s="41"/>
      <c r="AE24" s="105"/>
      <c r="AF24" s="104">
        <v>1</v>
      </c>
    </row>
    <row r="25" spans="1:32" x14ac:dyDescent="0.25">
      <c r="A25" s="23" t="s">
        <v>558</v>
      </c>
      <c r="B25" s="23" t="s">
        <v>559</v>
      </c>
      <c r="C25" s="23" t="s">
        <v>560</v>
      </c>
      <c r="D25" s="23">
        <v>100</v>
      </c>
      <c r="E25" s="23">
        <v>168</v>
      </c>
      <c r="F25" s="23">
        <v>27.7</v>
      </c>
      <c r="G25" s="23">
        <f>Tabla2[[#This Row],[Calorías x porción]]/Tabla2[[#This Row],[g por porción]]</f>
        <v>1.68</v>
      </c>
      <c r="H25" s="23">
        <f>Tabla2[[#This Row],[Proteína x porción]]/Tabla2[[#This Row],[g por porción]]</f>
        <v>0.27699999999999997</v>
      </c>
      <c r="J25" s="27" t="s">
        <v>561</v>
      </c>
      <c r="K25" s="40" t="s">
        <v>562</v>
      </c>
      <c r="L25" s="40">
        <v>120</v>
      </c>
      <c r="M25" s="41"/>
      <c r="N25" s="41"/>
      <c r="O25" s="40" t="s">
        <v>562</v>
      </c>
      <c r="P25" s="40">
        <v>60</v>
      </c>
      <c r="Q25" s="41"/>
      <c r="R25" s="41"/>
      <c r="S25" s="40" t="s">
        <v>562</v>
      </c>
      <c r="T25" s="40">
        <v>60</v>
      </c>
      <c r="U25" s="41"/>
      <c r="V25" s="41"/>
      <c r="W25" s="40" t="s">
        <v>562</v>
      </c>
      <c r="X25" s="40">
        <v>60</v>
      </c>
      <c r="Y25" s="41"/>
      <c r="Z25" s="41"/>
      <c r="AA25" s="40" t="s">
        <v>562</v>
      </c>
      <c r="AB25" s="40">
        <v>60</v>
      </c>
      <c r="AC25" s="41"/>
      <c r="AD25" s="41"/>
      <c r="AE25" s="105"/>
      <c r="AF25" s="105"/>
    </row>
    <row r="26" spans="1:32" x14ac:dyDescent="0.25">
      <c r="A26" s="23" t="s">
        <v>563</v>
      </c>
      <c r="B26" s="23" t="s">
        <v>564</v>
      </c>
      <c r="C26" s="23" t="s">
        <v>565</v>
      </c>
      <c r="D26" s="23">
        <v>100</v>
      </c>
      <c r="E26" s="23">
        <v>570</v>
      </c>
      <c r="F26" s="23">
        <v>26.2</v>
      </c>
      <c r="G26" s="23">
        <f>Tabla2[[#This Row],[Calorías x porción]]/Tabla2[[#This Row],[g por porción]]</f>
        <v>5.7</v>
      </c>
      <c r="H26" s="23">
        <f>Tabla2[[#This Row],[Proteína x porción]]/Tabla2[[#This Row],[g por porción]]</f>
        <v>0.26200000000000001</v>
      </c>
      <c r="J26" s="27" t="s">
        <v>566</v>
      </c>
      <c r="K26" s="40" t="s">
        <v>567</v>
      </c>
      <c r="L26" s="40">
        <v>90</v>
      </c>
      <c r="M26" s="41"/>
      <c r="N26" s="41"/>
      <c r="O26" s="40" t="s">
        <v>568</v>
      </c>
      <c r="P26" s="40">
        <v>90</v>
      </c>
      <c r="Q26" s="41"/>
      <c r="R26" s="41"/>
      <c r="S26" s="40" t="s">
        <v>568</v>
      </c>
      <c r="T26" s="40">
        <v>90</v>
      </c>
      <c r="U26" s="41"/>
      <c r="V26" s="41"/>
      <c r="W26" s="40" t="s">
        <v>568</v>
      </c>
      <c r="X26" s="40">
        <v>90</v>
      </c>
      <c r="Y26" s="41"/>
      <c r="Z26" s="41"/>
      <c r="AA26" s="40" t="s">
        <v>568</v>
      </c>
      <c r="AB26" s="40">
        <v>90</v>
      </c>
      <c r="AC26" s="41"/>
      <c r="AD26" s="41"/>
      <c r="AE26" s="105"/>
      <c r="AF26" s="105"/>
    </row>
    <row r="27" spans="1:32" x14ac:dyDescent="0.25">
      <c r="A27" s="23" t="s">
        <v>569</v>
      </c>
      <c r="B27" s="23" t="s">
        <v>554</v>
      </c>
      <c r="C27" s="23" t="s">
        <v>570</v>
      </c>
      <c r="D27" s="23">
        <v>100</v>
      </c>
      <c r="E27" s="23">
        <v>351</v>
      </c>
      <c r="F27" s="23">
        <v>25.6</v>
      </c>
      <c r="G27" s="23">
        <f>Tabla2[[#This Row],[Calorías x porción]]/Tabla2[[#This Row],[g por porción]]</f>
        <v>3.51</v>
      </c>
      <c r="H27" s="23">
        <f>Tabla2[[#This Row],[Proteína x porción]]/Tabla2[[#This Row],[g por porción]]</f>
        <v>0.25600000000000001</v>
      </c>
      <c r="J27" s="27" t="s">
        <v>571</v>
      </c>
      <c r="K27" s="40" t="s">
        <v>572</v>
      </c>
      <c r="L27" s="40">
        <v>10</v>
      </c>
      <c r="M27" s="41"/>
      <c r="N27" s="41"/>
      <c r="O27" s="40" t="s">
        <v>569</v>
      </c>
      <c r="P27" s="40">
        <v>50</v>
      </c>
      <c r="Q27" s="41"/>
      <c r="R27" s="41"/>
      <c r="S27" s="40" t="s">
        <v>569</v>
      </c>
      <c r="T27" s="40">
        <v>50</v>
      </c>
      <c r="U27" s="41"/>
      <c r="V27" s="41"/>
      <c r="W27" s="40" t="s">
        <v>569</v>
      </c>
      <c r="X27" s="40">
        <v>50</v>
      </c>
      <c r="Y27" s="41"/>
      <c r="Z27" s="41"/>
      <c r="AA27" s="40" t="s">
        <v>569</v>
      </c>
      <c r="AB27" s="40">
        <v>50</v>
      </c>
      <c r="AC27" s="41"/>
      <c r="AD27" s="41"/>
      <c r="AE27" s="105"/>
      <c r="AF27" s="105"/>
    </row>
    <row r="28" spans="1:32" x14ac:dyDescent="0.25">
      <c r="A28" s="23" t="s">
        <v>573</v>
      </c>
      <c r="B28" s="23" t="s">
        <v>564</v>
      </c>
      <c r="C28" s="23" t="s">
        <v>565</v>
      </c>
      <c r="D28" s="23">
        <v>100</v>
      </c>
      <c r="E28" s="23">
        <v>352</v>
      </c>
      <c r="F28" s="23">
        <v>24.6</v>
      </c>
      <c r="G28" s="23">
        <f>Tabla2[[#This Row],[Calorías x porción]]/Tabla2[[#This Row],[g por porción]]</f>
        <v>3.52</v>
      </c>
      <c r="H28" s="23">
        <f>Tabla2[[#This Row],[Proteína x porción]]/Tabla2[[#This Row],[g por porción]]</f>
        <v>0.24600000000000002</v>
      </c>
      <c r="J28" s="27" t="s">
        <v>574</v>
      </c>
      <c r="K28" s="40"/>
      <c r="L28" s="40"/>
      <c r="M28" s="41"/>
      <c r="N28" s="41"/>
      <c r="O28" s="40" t="s">
        <v>575</v>
      </c>
      <c r="P28" s="40">
        <v>10</v>
      </c>
      <c r="Q28" s="41"/>
      <c r="R28" s="41"/>
      <c r="S28" s="40" t="s">
        <v>575</v>
      </c>
      <c r="T28" s="40">
        <v>10</v>
      </c>
      <c r="U28" s="41"/>
      <c r="V28" s="41"/>
      <c r="W28" s="40" t="s">
        <v>575</v>
      </c>
      <c r="X28" s="40">
        <v>10</v>
      </c>
      <c r="Y28" s="41"/>
      <c r="Z28" s="41"/>
      <c r="AA28" s="40" t="s">
        <v>575</v>
      </c>
      <c r="AB28" s="40">
        <v>10</v>
      </c>
      <c r="AC28" s="41"/>
      <c r="AD28" s="41"/>
      <c r="AE28" s="106"/>
      <c r="AF28" s="105"/>
    </row>
    <row r="29" spans="1:32" x14ac:dyDescent="0.25">
      <c r="A29" s="23" t="s">
        <v>556</v>
      </c>
      <c r="B29" s="23" t="s">
        <v>559</v>
      </c>
      <c r="C29" s="23" t="s">
        <v>560</v>
      </c>
      <c r="D29" s="39">
        <v>100</v>
      </c>
      <c r="E29" s="23">
        <v>149</v>
      </c>
      <c r="F29" s="23">
        <v>23.9</v>
      </c>
      <c r="G29" s="23">
        <f>Tabla2[[#This Row],[Calorías x porción]]/Tabla2[[#This Row],[g por porción]]</f>
        <v>1.49</v>
      </c>
      <c r="H29" s="23">
        <f>Tabla2[[#This Row],[Proteína x porción]]/Tabla2[[#This Row],[g por porción]]</f>
        <v>0.23899999999999999</v>
      </c>
      <c r="J29" s="27" t="s">
        <v>545</v>
      </c>
      <c r="K29" s="107">
        <f>SUM(M24:M28)</f>
        <v>0</v>
      </c>
      <c r="L29" s="108"/>
      <c r="M29" s="108"/>
      <c r="N29" s="109"/>
      <c r="O29" s="107">
        <f>SUM(Q24:Q28)</f>
        <v>0</v>
      </c>
      <c r="P29" s="108"/>
      <c r="Q29" s="108"/>
      <c r="R29" s="109"/>
      <c r="S29" s="107">
        <f>SUM(U24:U28)</f>
        <v>0</v>
      </c>
      <c r="T29" s="108"/>
      <c r="U29" s="108"/>
      <c r="V29" s="109"/>
      <c r="W29" s="107">
        <f>SUM(Y24:Y28)</f>
        <v>0</v>
      </c>
      <c r="X29" s="108"/>
      <c r="Y29" s="108"/>
      <c r="Z29" s="109"/>
      <c r="AA29" s="107">
        <f>SUM(AC24:AC28)</f>
        <v>0</v>
      </c>
      <c r="AB29" s="108"/>
      <c r="AC29" s="108"/>
      <c r="AD29" s="109"/>
      <c r="AE29" s="42">
        <f>SUM(K29:AD29)</f>
        <v>0</v>
      </c>
      <c r="AF29" s="105"/>
    </row>
    <row r="30" spans="1:32" x14ac:dyDescent="0.25">
      <c r="A30" s="23" t="s">
        <v>576</v>
      </c>
      <c r="B30" s="23" t="s">
        <v>559</v>
      </c>
      <c r="C30" s="23" t="s">
        <v>570</v>
      </c>
      <c r="D30" s="23">
        <v>100</v>
      </c>
      <c r="E30" s="23">
        <v>296</v>
      </c>
      <c r="F30" s="23">
        <v>23.7</v>
      </c>
      <c r="G30" s="23">
        <f>Tabla2[[#This Row],[Calorías x porción]]/Tabla2[[#This Row],[g por porción]]</f>
        <v>2.96</v>
      </c>
      <c r="H30" s="23">
        <f>Tabla2[[#This Row],[Proteína x porción]]/Tabla2[[#This Row],[g por porción]]</f>
        <v>0.23699999999999999</v>
      </c>
      <c r="J30" s="27" t="s">
        <v>559</v>
      </c>
      <c r="K30" s="107">
        <f>SUM(N24:N28)</f>
        <v>0</v>
      </c>
      <c r="L30" s="108"/>
      <c r="M30" s="108"/>
      <c r="N30" s="109"/>
      <c r="O30" s="107">
        <f>SUM(R24:R28)</f>
        <v>0</v>
      </c>
      <c r="P30" s="108"/>
      <c r="Q30" s="108"/>
      <c r="R30" s="109"/>
      <c r="S30" s="107">
        <f>SUM(V24:V28)</f>
        <v>0</v>
      </c>
      <c r="T30" s="108"/>
      <c r="U30" s="108"/>
      <c r="V30" s="109"/>
      <c r="W30" s="107">
        <f>SUM(Z24:Z28)</f>
        <v>0</v>
      </c>
      <c r="X30" s="108"/>
      <c r="Y30" s="108"/>
      <c r="Z30" s="109"/>
      <c r="AA30" s="107">
        <f>SUM(AD24:AD28)</f>
        <v>0</v>
      </c>
      <c r="AB30" s="108"/>
      <c r="AC30" s="108"/>
      <c r="AD30" s="109"/>
      <c r="AE30" s="42">
        <f>SUM(K30:AD30)</f>
        <v>0</v>
      </c>
      <c r="AF30" s="106"/>
    </row>
    <row r="31" spans="1:32" x14ac:dyDescent="0.25">
      <c r="A31" s="23" t="s">
        <v>577</v>
      </c>
      <c r="B31" s="23" t="s">
        <v>554</v>
      </c>
      <c r="C31" s="23" t="s">
        <v>570</v>
      </c>
      <c r="D31" s="23">
        <v>100</v>
      </c>
      <c r="E31" s="23">
        <v>409</v>
      </c>
      <c r="F31" s="23">
        <v>23.3</v>
      </c>
      <c r="G31" s="23">
        <f>Tabla2[[#This Row],[Calorías x porción]]/Tabla2[[#This Row],[g por porción]]</f>
        <v>4.09</v>
      </c>
      <c r="H31" s="23">
        <f>Tabla2[[#This Row],[Proteína x porción]]/Tabla2[[#This Row],[g por porción]]</f>
        <v>0.23300000000000001</v>
      </c>
      <c r="J31" s="27" t="s">
        <v>546</v>
      </c>
      <c r="K31" s="40" t="s">
        <v>556</v>
      </c>
      <c r="L31" s="40">
        <v>200</v>
      </c>
      <c r="M31" s="41"/>
      <c r="N31" s="41"/>
      <c r="O31" s="40" t="s">
        <v>557</v>
      </c>
      <c r="P31" s="40">
        <v>150</v>
      </c>
      <c r="Q31" s="41"/>
      <c r="R31" s="41"/>
      <c r="S31" s="40" t="s">
        <v>557</v>
      </c>
      <c r="T31" s="40">
        <v>150</v>
      </c>
      <c r="U31" s="41"/>
      <c r="V31" s="41"/>
      <c r="W31" s="40" t="s">
        <v>578</v>
      </c>
      <c r="X31" s="40">
        <v>200</v>
      </c>
      <c r="Y31" s="41"/>
      <c r="Z31" s="41"/>
      <c r="AA31" s="40"/>
      <c r="AB31" s="40"/>
      <c r="AC31" s="41"/>
      <c r="AD31" s="41"/>
      <c r="AE31" s="110" t="s">
        <v>551</v>
      </c>
      <c r="AF31" s="110">
        <v>2</v>
      </c>
    </row>
    <row r="32" spans="1:32" x14ac:dyDescent="0.25">
      <c r="A32" s="23" t="s">
        <v>579</v>
      </c>
      <c r="B32" s="23" t="s">
        <v>554</v>
      </c>
      <c r="C32" s="23" t="s">
        <v>580</v>
      </c>
      <c r="D32" s="23">
        <v>100</v>
      </c>
      <c r="E32" s="23">
        <v>667</v>
      </c>
      <c r="F32" s="23">
        <v>20.399999999999999</v>
      </c>
      <c r="G32" s="23">
        <f>Tabla2[[#This Row],[Calorías x porción]]/Tabla2[[#This Row],[g por porción]]</f>
        <v>6.67</v>
      </c>
      <c r="H32" s="23">
        <f>Tabla2[[#This Row],[Proteína x porción]]/Tabla2[[#This Row],[g por porción]]</f>
        <v>0.20399999999999999</v>
      </c>
      <c r="J32" s="27" t="s">
        <v>561</v>
      </c>
      <c r="K32" s="40" t="s">
        <v>562</v>
      </c>
      <c r="L32" s="40">
        <v>120</v>
      </c>
      <c r="M32" s="41"/>
      <c r="N32" s="41"/>
      <c r="O32" s="40" t="s">
        <v>562</v>
      </c>
      <c r="P32" s="40">
        <v>60</v>
      </c>
      <c r="Q32" s="41"/>
      <c r="R32" s="41"/>
      <c r="S32" s="40" t="s">
        <v>562</v>
      </c>
      <c r="T32" s="40">
        <v>60</v>
      </c>
      <c r="U32" s="41"/>
      <c r="V32" s="41"/>
      <c r="W32" s="40" t="s">
        <v>581</v>
      </c>
      <c r="X32" s="40">
        <v>200</v>
      </c>
      <c r="Y32" s="41"/>
      <c r="Z32" s="41"/>
      <c r="AA32" s="40"/>
      <c r="AB32" s="40"/>
      <c r="AC32" s="41"/>
      <c r="AD32" s="41"/>
      <c r="AE32" s="110"/>
      <c r="AF32" s="110"/>
    </row>
    <row r="33" spans="1:32" x14ac:dyDescent="0.25">
      <c r="A33" s="23" t="s">
        <v>582</v>
      </c>
      <c r="B33" s="23" t="s">
        <v>554</v>
      </c>
      <c r="C33" s="23" t="s">
        <v>580</v>
      </c>
      <c r="D33" s="23">
        <v>100</v>
      </c>
      <c r="E33" s="23">
        <v>560</v>
      </c>
      <c r="F33" s="23">
        <v>20.2</v>
      </c>
      <c r="G33" s="23">
        <f>Tabla2[[#This Row],[Calorías x porción]]/Tabla2[[#This Row],[g por porción]]</f>
        <v>5.6</v>
      </c>
      <c r="H33" s="23">
        <f>Tabla2[[#This Row],[Proteína x porción]]/Tabla2[[#This Row],[g por porción]]</f>
        <v>0.20199999999999999</v>
      </c>
      <c r="J33" s="27" t="s">
        <v>566</v>
      </c>
      <c r="K33" s="40" t="s">
        <v>567</v>
      </c>
      <c r="L33" s="40">
        <v>90</v>
      </c>
      <c r="M33" s="41"/>
      <c r="N33" s="41"/>
      <c r="O33" s="40" t="s">
        <v>568</v>
      </c>
      <c r="P33" s="40">
        <v>90</v>
      </c>
      <c r="Q33" s="41"/>
      <c r="R33" s="41"/>
      <c r="S33" s="40" t="s">
        <v>568</v>
      </c>
      <c r="T33" s="40">
        <v>90</v>
      </c>
      <c r="U33" s="41"/>
      <c r="V33" s="41"/>
      <c r="W33" s="40" t="s">
        <v>583</v>
      </c>
      <c r="X33" s="40">
        <v>60</v>
      </c>
      <c r="Y33" s="41"/>
      <c r="Z33" s="41"/>
      <c r="AA33" s="40"/>
      <c r="AB33" s="40"/>
      <c r="AC33" s="41"/>
      <c r="AD33" s="41"/>
      <c r="AE33" s="110"/>
      <c r="AF33" s="110"/>
    </row>
    <row r="34" spans="1:32" x14ac:dyDescent="0.25">
      <c r="A34" s="23" t="s">
        <v>584</v>
      </c>
      <c r="B34" s="23" t="s">
        <v>559</v>
      </c>
      <c r="C34" s="23" t="s">
        <v>560</v>
      </c>
      <c r="D34" s="23">
        <v>100</v>
      </c>
      <c r="E34" s="23">
        <v>179</v>
      </c>
      <c r="F34" s="23">
        <v>19.899999999999999</v>
      </c>
      <c r="G34" s="23">
        <f>Tabla2[[#This Row],[Calorías x porción]]/Tabla2[[#This Row],[g por porción]]</f>
        <v>1.79</v>
      </c>
      <c r="H34" s="23">
        <f>Tabla2[[#This Row],[Proteína x porción]]/Tabla2[[#This Row],[g por porción]]</f>
        <v>0.19899999999999998</v>
      </c>
      <c r="J34" s="27" t="s">
        <v>571</v>
      </c>
      <c r="K34" s="40" t="s">
        <v>572</v>
      </c>
      <c r="L34" s="40">
        <v>10</v>
      </c>
      <c r="M34" s="41"/>
      <c r="N34" s="41"/>
      <c r="O34" s="40" t="s">
        <v>569</v>
      </c>
      <c r="P34" s="40">
        <v>50</v>
      </c>
      <c r="Q34" s="41"/>
      <c r="R34" s="41"/>
      <c r="S34" s="40" t="s">
        <v>569</v>
      </c>
      <c r="T34" s="40">
        <v>50</v>
      </c>
      <c r="U34" s="41"/>
      <c r="V34" s="41"/>
      <c r="W34" s="40" t="s">
        <v>572</v>
      </c>
      <c r="X34" s="40">
        <v>20</v>
      </c>
      <c r="Y34" s="41"/>
      <c r="Z34" s="41"/>
      <c r="AA34" s="40"/>
      <c r="AB34" s="40"/>
      <c r="AC34" s="41"/>
      <c r="AD34" s="41"/>
      <c r="AE34" s="110"/>
      <c r="AF34" s="110"/>
    </row>
    <row r="35" spans="1:32" x14ac:dyDescent="0.25">
      <c r="A35" s="23" t="s">
        <v>578</v>
      </c>
      <c r="B35" s="23" t="s">
        <v>559</v>
      </c>
      <c r="C35" s="23" t="s">
        <v>560</v>
      </c>
      <c r="D35" s="23">
        <v>100</v>
      </c>
      <c r="E35" s="23">
        <v>85</v>
      </c>
      <c r="F35" s="23">
        <v>19</v>
      </c>
      <c r="G35" s="23">
        <f>Tabla2[[#This Row],[Calorías x porción]]/Tabla2[[#This Row],[g por porción]]</f>
        <v>0.85</v>
      </c>
      <c r="H35" s="23">
        <f>Tabla2[[#This Row],[Proteína x porción]]/Tabla2[[#This Row],[g por porción]]</f>
        <v>0.19</v>
      </c>
      <c r="J35" s="27" t="s">
        <v>574</v>
      </c>
      <c r="K35" s="40"/>
      <c r="L35" s="40"/>
      <c r="M35" s="41"/>
      <c r="N35" s="41"/>
      <c r="O35" s="40" t="s">
        <v>575</v>
      </c>
      <c r="P35" s="40">
        <v>10</v>
      </c>
      <c r="Q35" s="41"/>
      <c r="R35" s="41"/>
      <c r="S35" s="40" t="s">
        <v>575</v>
      </c>
      <c r="T35" s="40">
        <v>10</v>
      </c>
      <c r="U35" s="41"/>
      <c r="V35" s="41"/>
      <c r="W35" s="40"/>
      <c r="X35" s="40"/>
      <c r="Y35" s="41"/>
      <c r="Z35" s="41"/>
      <c r="AA35" s="40"/>
      <c r="AB35" s="40"/>
      <c r="AC35" s="41"/>
      <c r="AD35" s="41"/>
      <c r="AE35" s="110"/>
      <c r="AF35" s="110"/>
    </row>
    <row r="36" spans="1:32" x14ac:dyDescent="0.25">
      <c r="A36" s="23" t="s">
        <v>557</v>
      </c>
      <c r="B36" s="23" t="s">
        <v>559</v>
      </c>
      <c r="C36" s="23" t="s">
        <v>560</v>
      </c>
      <c r="D36" s="23">
        <v>100</v>
      </c>
      <c r="E36" s="23">
        <v>167</v>
      </c>
      <c r="F36" s="23">
        <v>18.7</v>
      </c>
      <c r="G36" s="23">
        <f>Tabla2[[#This Row],[Calorías x porción]]/Tabla2[[#This Row],[g por porción]]</f>
        <v>1.67</v>
      </c>
      <c r="H36" s="23">
        <f>Tabla2[[#This Row],[Proteína x porción]]/Tabla2[[#This Row],[g por porción]]</f>
        <v>0.187</v>
      </c>
      <c r="J36" s="27" t="s">
        <v>545</v>
      </c>
      <c r="K36" s="107">
        <f>SUM(M31:M35)</f>
        <v>0</v>
      </c>
      <c r="L36" s="108"/>
      <c r="M36" s="108"/>
      <c r="N36" s="109"/>
      <c r="O36" s="107">
        <f>SUM(Q31:Q35)</f>
        <v>0</v>
      </c>
      <c r="P36" s="108"/>
      <c r="Q36" s="108"/>
      <c r="R36" s="109"/>
      <c r="S36" s="107">
        <f>SUM(U31:U35)</f>
        <v>0</v>
      </c>
      <c r="T36" s="108"/>
      <c r="U36" s="108"/>
      <c r="V36" s="109"/>
      <c r="W36" s="107">
        <f>SUM(Y31:Y35)</f>
        <v>0</v>
      </c>
      <c r="X36" s="108"/>
      <c r="Y36" s="108"/>
      <c r="Z36" s="109"/>
      <c r="AA36" s="107">
        <f>SUM(AC31:AC35)</f>
        <v>0</v>
      </c>
      <c r="AB36" s="108"/>
      <c r="AC36" s="108"/>
      <c r="AD36" s="109"/>
      <c r="AE36" s="42">
        <f>SUM(K36:AD36)</f>
        <v>0</v>
      </c>
      <c r="AF36" s="110"/>
    </row>
    <row r="37" spans="1:32" x14ac:dyDescent="0.25">
      <c r="A37" s="23" t="s">
        <v>585</v>
      </c>
      <c r="B37" s="23" t="s">
        <v>554</v>
      </c>
      <c r="C37" s="23" t="s">
        <v>555</v>
      </c>
      <c r="D37" s="23">
        <v>100</v>
      </c>
      <c r="E37" s="23">
        <v>567</v>
      </c>
      <c r="F37" s="23">
        <v>18.399999999999999</v>
      </c>
      <c r="G37" s="23">
        <f>Tabla2[[#This Row],[Calorías x porción]]/Tabla2[[#This Row],[g por porción]]</f>
        <v>5.67</v>
      </c>
      <c r="H37" s="23">
        <f>Tabla2[[#This Row],[Proteína x porción]]/Tabla2[[#This Row],[g por porción]]</f>
        <v>0.184</v>
      </c>
      <c r="J37" s="27" t="s">
        <v>559</v>
      </c>
      <c r="K37" s="107">
        <f>SUM(N31:N35)</f>
        <v>0</v>
      </c>
      <c r="L37" s="108"/>
      <c r="M37" s="108"/>
      <c r="N37" s="109"/>
      <c r="O37" s="107">
        <f>SUM(R31:R35)</f>
        <v>0</v>
      </c>
      <c r="P37" s="108"/>
      <c r="Q37" s="108"/>
      <c r="R37" s="109"/>
      <c r="S37" s="107">
        <f>SUM(V31:V35)</f>
        <v>0</v>
      </c>
      <c r="T37" s="108"/>
      <c r="U37" s="108"/>
      <c r="V37" s="109"/>
      <c r="W37" s="107">
        <f>SUM(Z31:Z35)</f>
        <v>0</v>
      </c>
      <c r="X37" s="108"/>
      <c r="Y37" s="108"/>
      <c r="Z37" s="109"/>
      <c r="AA37" s="107">
        <f>SUM(AD31:AD35)</f>
        <v>0</v>
      </c>
      <c r="AB37" s="108"/>
      <c r="AC37" s="108"/>
      <c r="AD37" s="109"/>
      <c r="AE37" s="42">
        <f>SUM(K37:AD37)</f>
        <v>0</v>
      </c>
      <c r="AF37" s="110"/>
    </row>
    <row r="38" spans="1:32" x14ac:dyDescent="0.25">
      <c r="A38" s="23" t="s">
        <v>586</v>
      </c>
      <c r="B38" s="23" t="s">
        <v>554</v>
      </c>
      <c r="C38" s="23" t="s">
        <v>580</v>
      </c>
      <c r="D38" s="23">
        <v>100</v>
      </c>
      <c r="E38" s="23">
        <v>553</v>
      </c>
      <c r="F38" s="23">
        <v>18.2</v>
      </c>
      <c r="G38" s="23">
        <f>Tabla2[[#This Row],[Calorías x porción]]/Tabla2[[#This Row],[g por porción]]</f>
        <v>5.53</v>
      </c>
      <c r="H38" s="23">
        <f>Tabla2[[#This Row],[Proteína x porción]]/Tabla2[[#This Row],[g por porción]]</f>
        <v>0.182</v>
      </c>
      <c r="J38" s="27" t="s">
        <v>546</v>
      </c>
      <c r="K38" s="40" t="s">
        <v>556</v>
      </c>
      <c r="L38" s="40">
        <v>200</v>
      </c>
      <c r="M38" s="41"/>
      <c r="N38" s="41"/>
      <c r="O38" s="40"/>
      <c r="P38" s="40"/>
      <c r="Q38" s="41"/>
      <c r="R38" s="41"/>
      <c r="S38" s="40" t="s">
        <v>557</v>
      </c>
      <c r="T38" s="40">
        <v>150</v>
      </c>
      <c r="U38" s="41"/>
      <c r="V38" s="41"/>
      <c r="W38" s="40" t="s">
        <v>557</v>
      </c>
      <c r="X38" s="40">
        <v>150</v>
      </c>
      <c r="Y38" s="41"/>
      <c r="Z38" s="41"/>
      <c r="AA38" s="40"/>
      <c r="AB38" s="40"/>
      <c r="AC38" s="41"/>
      <c r="AD38" s="41"/>
      <c r="AE38" s="110" t="s">
        <v>551</v>
      </c>
      <c r="AF38" s="110">
        <v>3</v>
      </c>
    </row>
    <row r="39" spans="1:32" x14ac:dyDescent="0.25">
      <c r="A39" s="23" t="s">
        <v>587</v>
      </c>
      <c r="B39" s="23" t="s">
        <v>554</v>
      </c>
      <c r="C39" s="23" t="s">
        <v>570</v>
      </c>
      <c r="D39" s="23">
        <v>100</v>
      </c>
      <c r="E39" s="23">
        <v>375</v>
      </c>
      <c r="F39" s="23">
        <v>17.5</v>
      </c>
      <c r="G39" s="23">
        <f>Tabla2[[#This Row],[Calorías x porción]]/Tabla2[[#This Row],[g por porción]]</f>
        <v>3.75</v>
      </c>
      <c r="H39" s="23">
        <f>Tabla2[[#This Row],[Proteína x porción]]/Tabla2[[#This Row],[g por porción]]</f>
        <v>0.17499999999999999</v>
      </c>
      <c r="J39" s="27" t="s">
        <v>561</v>
      </c>
      <c r="K39" s="40" t="s">
        <v>562</v>
      </c>
      <c r="L39" s="40">
        <v>120</v>
      </c>
      <c r="M39" s="41"/>
      <c r="N39" s="41"/>
      <c r="O39" s="40"/>
      <c r="P39" s="40"/>
      <c r="Q39" s="41"/>
      <c r="R39" s="41"/>
      <c r="S39" s="40" t="s">
        <v>562</v>
      </c>
      <c r="T39" s="40">
        <v>60</v>
      </c>
      <c r="U39" s="41"/>
      <c r="V39" s="41"/>
      <c r="W39" s="40" t="s">
        <v>562</v>
      </c>
      <c r="X39" s="40">
        <v>60</v>
      </c>
      <c r="Y39" s="41"/>
      <c r="Z39" s="41"/>
      <c r="AA39" s="40"/>
      <c r="AB39" s="40"/>
      <c r="AC39" s="41"/>
      <c r="AD39" s="41"/>
      <c r="AE39" s="110"/>
      <c r="AF39" s="110"/>
    </row>
    <row r="40" spans="1:32" x14ac:dyDescent="0.25">
      <c r="A40" s="23" t="s">
        <v>588</v>
      </c>
      <c r="B40" s="23" t="s">
        <v>559</v>
      </c>
      <c r="C40" s="23" t="s">
        <v>560</v>
      </c>
      <c r="D40" s="23">
        <v>100</v>
      </c>
      <c r="E40" s="23">
        <v>69</v>
      </c>
      <c r="F40" s="23">
        <v>16.3</v>
      </c>
      <c r="G40" s="23">
        <f>Tabla2[[#This Row],[Calorías x porción]]/Tabla2[[#This Row],[g por porción]]</f>
        <v>0.69</v>
      </c>
      <c r="H40" s="23">
        <f>Tabla2[[#This Row],[Proteína x porción]]/Tabla2[[#This Row],[g por porción]]</f>
        <v>0.16300000000000001</v>
      </c>
      <c r="J40" s="27" t="s">
        <v>566</v>
      </c>
      <c r="K40" s="40" t="s">
        <v>567</v>
      </c>
      <c r="L40" s="40">
        <v>90</v>
      </c>
      <c r="M40" s="41"/>
      <c r="N40" s="41"/>
      <c r="O40" s="40"/>
      <c r="P40" s="40"/>
      <c r="Q40" s="41"/>
      <c r="R40" s="41"/>
      <c r="S40" s="40" t="s">
        <v>568</v>
      </c>
      <c r="T40" s="40">
        <v>90</v>
      </c>
      <c r="U40" s="41"/>
      <c r="V40" s="41"/>
      <c r="W40" s="40" t="s">
        <v>568</v>
      </c>
      <c r="X40" s="40">
        <v>90</v>
      </c>
      <c r="Y40" s="41"/>
      <c r="Z40" s="41"/>
      <c r="AA40" s="40"/>
      <c r="AB40" s="40"/>
      <c r="AC40" s="41"/>
      <c r="AD40" s="41"/>
      <c r="AE40" s="110"/>
      <c r="AF40" s="110"/>
    </row>
    <row r="41" spans="1:32" x14ac:dyDescent="0.25">
      <c r="A41" s="23" t="s">
        <v>589</v>
      </c>
      <c r="B41" s="23" t="s">
        <v>564</v>
      </c>
      <c r="C41" s="23" t="s">
        <v>590</v>
      </c>
      <c r="D41" s="23">
        <v>100</v>
      </c>
      <c r="E41" s="23">
        <v>370</v>
      </c>
      <c r="F41" s="23">
        <v>15.1</v>
      </c>
      <c r="G41" s="23">
        <f>Tabla2[[#This Row],[Calorías x porción]]/Tabla2[[#This Row],[g por porción]]</f>
        <v>3.7</v>
      </c>
      <c r="H41" s="23">
        <f>Tabla2[[#This Row],[Proteína x porción]]/Tabla2[[#This Row],[g por porción]]</f>
        <v>0.151</v>
      </c>
      <c r="J41" s="27" t="s">
        <v>571</v>
      </c>
      <c r="K41" s="40" t="s">
        <v>572</v>
      </c>
      <c r="L41" s="40">
        <v>10</v>
      </c>
      <c r="M41" s="41"/>
      <c r="N41" s="41"/>
      <c r="O41" s="40"/>
      <c r="P41" s="40"/>
      <c r="Q41" s="41"/>
      <c r="R41" s="41"/>
      <c r="S41" s="40" t="s">
        <v>569</v>
      </c>
      <c r="T41" s="40">
        <v>50</v>
      </c>
      <c r="U41" s="41"/>
      <c r="V41" s="41"/>
      <c r="W41" s="40" t="s">
        <v>569</v>
      </c>
      <c r="X41" s="40">
        <v>50</v>
      </c>
      <c r="Y41" s="41"/>
      <c r="Z41" s="41"/>
      <c r="AA41" s="40"/>
      <c r="AB41" s="40"/>
      <c r="AC41" s="41"/>
      <c r="AD41" s="41"/>
      <c r="AE41" s="110"/>
      <c r="AF41" s="110"/>
    </row>
    <row r="42" spans="1:32" x14ac:dyDescent="0.25">
      <c r="A42" s="23" t="s">
        <v>591</v>
      </c>
      <c r="B42" s="23" t="s">
        <v>554</v>
      </c>
      <c r="C42" s="23" t="s">
        <v>580</v>
      </c>
      <c r="D42" s="23">
        <v>100</v>
      </c>
      <c r="E42" s="23">
        <v>628</v>
      </c>
      <c r="F42" s="23">
        <v>15</v>
      </c>
      <c r="G42" s="23">
        <f>Tabla2[[#This Row],[Calorías x porción]]/Tabla2[[#This Row],[g por porción]]</f>
        <v>6.28</v>
      </c>
      <c r="H42" s="23">
        <f>Tabla2[[#This Row],[Proteína x porción]]/Tabla2[[#This Row],[g por porción]]</f>
        <v>0.15</v>
      </c>
      <c r="J42" s="27" t="s">
        <v>574</v>
      </c>
      <c r="K42" s="40"/>
      <c r="L42" s="40"/>
      <c r="M42" s="41"/>
      <c r="N42" s="41"/>
      <c r="O42" s="40"/>
      <c r="P42" s="40"/>
      <c r="Q42" s="41"/>
      <c r="R42" s="41"/>
      <c r="S42" s="40" t="s">
        <v>575</v>
      </c>
      <c r="T42" s="40">
        <v>10</v>
      </c>
      <c r="U42" s="41"/>
      <c r="V42" s="41"/>
      <c r="W42" s="40" t="s">
        <v>575</v>
      </c>
      <c r="X42" s="40">
        <v>10</v>
      </c>
      <c r="Y42" s="41"/>
      <c r="Z42" s="41"/>
      <c r="AA42" s="40"/>
      <c r="AB42" s="40"/>
      <c r="AC42" s="41"/>
      <c r="AD42" s="41"/>
      <c r="AE42" s="110"/>
      <c r="AF42" s="110"/>
    </row>
    <row r="43" spans="1:32" x14ac:dyDescent="0.25">
      <c r="A43" s="23" t="s">
        <v>592</v>
      </c>
      <c r="B43" s="23" t="s">
        <v>554</v>
      </c>
      <c r="C43" s="23" t="s">
        <v>580</v>
      </c>
      <c r="D43" s="23">
        <v>100</v>
      </c>
      <c r="E43" s="23">
        <v>667</v>
      </c>
      <c r="F43" s="23">
        <v>13.3</v>
      </c>
      <c r="G43" s="23">
        <f>Tabla2[[#This Row],[Calorías x porción]]/Tabla2[[#This Row],[g por porción]]</f>
        <v>6.67</v>
      </c>
      <c r="H43" s="23">
        <f>Tabla2[[#This Row],[Proteína x porción]]/Tabla2[[#This Row],[g por porción]]</f>
        <v>0.13300000000000001</v>
      </c>
      <c r="J43" s="27" t="s">
        <v>545</v>
      </c>
      <c r="K43" s="107">
        <f>SUM(M38:M42)</f>
        <v>0</v>
      </c>
      <c r="L43" s="108"/>
      <c r="M43" s="108"/>
      <c r="N43" s="109"/>
      <c r="O43" s="107">
        <f>SUM(Q38:Q42)</f>
        <v>0</v>
      </c>
      <c r="P43" s="108"/>
      <c r="Q43" s="108"/>
      <c r="R43" s="109"/>
      <c r="S43" s="107">
        <f>SUM(U38:U42)</f>
        <v>0</v>
      </c>
      <c r="T43" s="108"/>
      <c r="U43" s="108"/>
      <c r="V43" s="109"/>
      <c r="W43" s="107">
        <f>SUM(Y38:Y42)</f>
        <v>0</v>
      </c>
      <c r="X43" s="108"/>
      <c r="Y43" s="108"/>
      <c r="Z43" s="109"/>
      <c r="AA43" s="107">
        <f>SUM(AC38:AC42)</f>
        <v>0</v>
      </c>
      <c r="AB43" s="108"/>
      <c r="AC43" s="108"/>
      <c r="AD43" s="109"/>
      <c r="AE43" s="42">
        <f>SUM(K43:AD43)</f>
        <v>0</v>
      </c>
      <c r="AF43" s="110"/>
    </row>
    <row r="44" spans="1:32" x14ac:dyDescent="0.25">
      <c r="A44" s="23" t="s">
        <v>593</v>
      </c>
      <c r="B44" s="23" t="s">
        <v>564</v>
      </c>
      <c r="C44" s="23" t="s">
        <v>590</v>
      </c>
      <c r="D44" s="23">
        <v>100</v>
      </c>
      <c r="E44" s="23">
        <v>343</v>
      </c>
      <c r="F44" s="23">
        <v>13.2</v>
      </c>
      <c r="G44" s="23">
        <f>Tabla2[[#This Row],[Calorías x porción]]/Tabla2[[#This Row],[g por porción]]</f>
        <v>3.43</v>
      </c>
      <c r="H44" s="23">
        <f>Tabla2[[#This Row],[Proteína x porción]]/Tabla2[[#This Row],[g por porción]]</f>
        <v>0.13200000000000001</v>
      </c>
      <c r="J44" s="27" t="s">
        <v>559</v>
      </c>
      <c r="K44" s="107">
        <f>SUM(N38:N42)</f>
        <v>0</v>
      </c>
      <c r="L44" s="108"/>
      <c r="M44" s="108"/>
      <c r="N44" s="109"/>
      <c r="O44" s="107">
        <f>SUM(R38:R42)</f>
        <v>0</v>
      </c>
      <c r="P44" s="108"/>
      <c r="Q44" s="108"/>
      <c r="R44" s="109"/>
      <c r="S44" s="107">
        <f>SUM(V38:V42)</f>
        <v>0</v>
      </c>
      <c r="T44" s="108"/>
      <c r="U44" s="108"/>
      <c r="V44" s="109"/>
      <c r="W44" s="107">
        <f>SUM(Z38:Z42)</f>
        <v>0</v>
      </c>
      <c r="X44" s="108"/>
      <c r="Y44" s="108"/>
      <c r="Z44" s="109"/>
      <c r="AA44" s="107">
        <f>SUM(AD38:AD42)</f>
        <v>0</v>
      </c>
      <c r="AB44" s="108"/>
      <c r="AC44" s="108"/>
      <c r="AD44" s="109"/>
      <c r="AE44" s="42">
        <f>SUM(K44:AD44)</f>
        <v>0</v>
      </c>
      <c r="AF44" s="110"/>
    </row>
    <row r="45" spans="1:32" x14ac:dyDescent="0.25">
      <c r="A45" s="23" t="s">
        <v>594</v>
      </c>
      <c r="B45" s="23" t="s">
        <v>564</v>
      </c>
      <c r="C45" s="23" t="s">
        <v>565</v>
      </c>
      <c r="D45" s="23">
        <v>100</v>
      </c>
      <c r="E45" s="23">
        <v>147</v>
      </c>
      <c r="F45" s="23">
        <v>13</v>
      </c>
      <c r="G45" s="23">
        <f>Tabla2[[#This Row],[Calorías x porción]]/Tabla2[[#This Row],[g por porción]]</f>
        <v>1.47</v>
      </c>
      <c r="H45" s="23">
        <f>Tabla2[[#This Row],[Proteína x porción]]/Tabla2[[#This Row],[g por porción]]</f>
        <v>0.13</v>
      </c>
      <c r="J45" s="27" t="s">
        <v>546</v>
      </c>
      <c r="K45" s="40" t="s">
        <v>556</v>
      </c>
      <c r="L45" s="40">
        <v>200</v>
      </c>
      <c r="M45" s="41"/>
      <c r="N45" s="41"/>
      <c r="O45" s="40"/>
      <c r="P45" s="40"/>
      <c r="Q45" s="41"/>
      <c r="R45" s="41"/>
      <c r="S45" s="40"/>
      <c r="T45" s="40"/>
      <c r="U45" s="41"/>
      <c r="V45" s="41"/>
      <c r="W45" s="40" t="s">
        <v>557</v>
      </c>
      <c r="X45" s="40">
        <v>150</v>
      </c>
      <c r="Y45" s="41"/>
      <c r="Z45" s="41"/>
      <c r="AA45" s="40"/>
      <c r="AB45" s="40"/>
      <c r="AC45" s="41"/>
      <c r="AD45" s="41"/>
      <c r="AE45" s="110" t="s">
        <v>551</v>
      </c>
      <c r="AF45" s="110">
        <v>4</v>
      </c>
    </row>
    <row r="46" spans="1:32" x14ac:dyDescent="0.25">
      <c r="A46" s="23" t="s">
        <v>562</v>
      </c>
      <c r="B46" s="23" t="s">
        <v>564</v>
      </c>
      <c r="C46" s="23" t="s">
        <v>595</v>
      </c>
      <c r="D46" s="23">
        <v>100</v>
      </c>
      <c r="E46" s="23">
        <v>371</v>
      </c>
      <c r="F46" s="23">
        <v>13</v>
      </c>
      <c r="G46" s="23">
        <f>Tabla2[[#This Row],[Calorías x porción]]/Tabla2[[#This Row],[g por porción]]</f>
        <v>3.71</v>
      </c>
      <c r="H46" s="23">
        <f>Tabla2[[#This Row],[Proteína x porción]]/Tabla2[[#This Row],[g por porción]]</f>
        <v>0.13</v>
      </c>
      <c r="J46" s="27" t="s">
        <v>561</v>
      </c>
      <c r="K46" s="40" t="s">
        <v>562</v>
      </c>
      <c r="L46" s="40">
        <v>120</v>
      </c>
      <c r="M46" s="41"/>
      <c r="N46" s="41"/>
      <c r="O46" s="40"/>
      <c r="P46" s="40"/>
      <c r="Q46" s="41"/>
      <c r="R46" s="41"/>
      <c r="S46" s="40"/>
      <c r="T46" s="40"/>
      <c r="U46" s="41"/>
      <c r="V46" s="41"/>
      <c r="W46" s="40" t="s">
        <v>562</v>
      </c>
      <c r="X46" s="40">
        <v>60</v>
      </c>
      <c r="Y46" s="41"/>
      <c r="Z46" s="41"/>
      <c r="AA46" s="40"/>
      <c r="AB46" s="40"/>
      <c r="AC46" s="41"/>
      <c r="AD46" s="41"/>
      <c r="AE46" s="110"/>
      <c r="AF46" s="110"/>
    </row>
    <row r="47" spans="1:32" x14ac:dyDescent="0.25">
      <c r="A47" s="23" t="s">
        <v>596</v>
      </c>
      <c r="B47" s="23" t="s">
        <v>597</v>
      </c>
      <c r="C47" s="23" t="s">
        <v>598</v>
      </c>
      <c r="D47" s="23">
        <v>100</v>
      </c>
      <c r="E47" s="23">
        <v>118</v>
      </c>
      <c r="F47" s="23">
        <v>12.9</v>
      </c>
      <c r="G47" s="23">
        <f>Tabla2[[#This Row],[Calorías x porción]]/Tabla2[[#This Row],[g por porción]]</f>
        <v>1.18</v>
      </c>
      <c r="H47" s="23">
        <f>Tabla2[[#This Row],[Proteína x porción]]/Tabla2[[#This Row],[g por porción]]</f>
        <v>0.129</v>
      </c>
      <c r="J47" s="27" t="s">
        <v>566</v>
      </c>
      <c r="K47" s="40" t="s">
        <v>567</v>
      </c>
      <c r="L47" s="40">
        <v>90</v>
      </c>
      <c r="M47" s="41"/>
      <c r="N47" s="41"/>
      <c r="O47" s="40"/>
      <c r="P47" s="40"/>
      <c r="Q47" s="41"/>
      <c r="R47" s="41"/>
      <c r="S47" s="40"/>
      <c r="T47" s="40"/>
      <c r="U47" s="41"/>
      <c r="V47" s="41"/>
      <c r="W47" s="40" t="s">
        <v>568</v>
      </c>
      <c r="X47" s="40">
        <v>90</v>
      </c>
      <c r="Y47" s="41"/>
      <c r="Z47" s="41"/>
      <c r="AA47" s="40"/>
      <c r="AB47" s="40"/>
      <c r="AC47" s="41"/>
      <c r="AD47" s="41"/>
      <c r="AE47" s="110"/>
      <c r="AF47" s="110"/>
    </row>
    <row r="48" spans="1:32" x14ac:dyDescent="0.25">
      <c r="A48" s="23" t="s">
        <v>599</v>
      </c>
      <c r="B48" s="23" t="s">
        <v>559</v>
      </c>
      <c r="C48" s="23" t="s">
        <v>600</v>
      </c>
      <c r="D48" s="23">
        <v>100</v>
      </c>
      <c r="E48" s="23">
        <v>143</v>
      </c>
      <c r="F48" s="23">
        <v>12.4</v>
      </c>
      <c r="G48" s="23">
        <f>Tabla2[[#This Row],[Calorías x porción]]/Tabla2[[#This Row],[g por porción]]</f>
        <v>1.43</v>
      </c>
      <c r="H48" s="23">
        <f>Tabla2[[#This Row],[Proteína x porción]]/Tabla2[[#This Row],[g por porción]]</f>
        <v>0.124</v>
      </c>
      <c r="J48" s="27" t="s">
        <v>571</v>
      </c>
      <c r="K48" s="40" t="s">
        <v>572</v>
      </c>
      <c r="L48" s="40">
        <v>10</v>
      </c>
      <c r="M48" s="41"/>
      <c r="N48" s="41"/>
      <c r="O48" s="40"/>
      <c r="P48" s="40"/>
      <c r="Q48" s="41"/>
      <c r="R48" s="41"/>
      <c r="S48" s="40"/>
      <c r="T48" s="40"/>
      <c r="U48" s="41"/>
      <c r="V48" s="41"/>
      <c r="W48" s="40" t="s">
        <v>569</v>
      </c>
      <c r="X48" s="40">
        <v>50</v>
      </c>
      <c r="Y48" s="41"/>
      <c r="Z48" s="41"/>
      <c r="AA48" s="40"/>
      <c r="AB48" s="40"/>
      <c r="AC48" s="41"/>
      <c r="AD48" s="41"/>
      <c r="AE48" s="110"/>
      <c r="AF48" s="110"/>
    </row>
    <row r="49" spans="1:32" x14ac:dyDescent="0.25">
      <c r="A49" s="23" t="s">
        <v>601</v>
      </c>
      <c r="B49" s="23" t="s">
        <v>559</v>
      </c>
      <c r="C49" s="23" t="s">
        <v>570</v>
      </c>
      <c r="D49" s="23">
        <v>100</v>
      </c>
      <c r="E49" s="23">
        <v>82</v>
      </c>
      <c r="F49" s="23">
        <v>11</v>
      </c>
      <c r="G49" s="23">
        <f>Tabla2[[#This Row],[Calorías x porción]]/Tabla2[[#This Row],[g por porción]]</f>
        <v>0.82</v>
      </c>
      <c r="H49" s="23">
        <f>Tabla2[[#This Row],[Proteína x porción]]/Tabla2[[#This Row],[g por porción]]</f>
        <v>0.11</v>
      </c>
      <c r="J49" s="27" t="s">
        <v>574</v>
      </c>
      <c r="K49" s="40"/>
      <c r="L49" s="40"/>
      <c r="M49" s="41"/>
      <c r="N49" s="41"/>
      <c r="O49" s="40"/>
      <c r="P49" s="40"/>
      <c r="Q49" s="41"/>
      <c r="R49" s="41"/>
      <c r="S49" s="40"/>
      <c r="T49" s="40"/>
      <c r="U49" s="41"/>
      <c r="V49" s="41"/>
      <c r="W49" s="40" t="s">
        <v>575</v>
      </c>
      <c r="X49" s="40">
        <v>10</v>
      </c>
      <c r="Y49" s="41"/>
      <c r="Z49" s="41"/>
      <c r="AA49" s="40"/>
      <c r="AB49" s="40"/>
      <c r="AC49" s="41"/>
      <c r="AD49" s="41"/>
      <c r="AE49" s="110"/>
      <c r="AF49" s="110"/>
    </row>
    <row r="50" spans="1:32" x14ac:dyDescent="0.25">
      <c r="A50" s="23" t="s">
        <v>602</v>
      </c>
      <c r="B50" s="23" t="s">
        <v>564</v>
      </c>
      <c r="C50" s="23" t="s">
        <v>595</v>
      </c>
      <c r="D50" s="23">
        <v>100</v>
      </c>
      <c r="E50" s="23">
        <v>274</v>
      </c>
      <c r="F50" s="23">
        <v>10.7</v>
      </c>
      <c r="G50" s="23">
        <f>Tabla2[[#This Row],[Calorías x porción]]/Tabla2[[#This Row],[g por porción]]</f>
        <v>2.74</v>
      </c>
      <c r="H50" s="23">
        <f>Tabla2[[#This Row],[Proteína x porción]]/Tabla2[[#This Row],[g por porción]]</f>
        <v>0.107</v>
      </c>
      <c r="J50" s="27" t="s">
        <v>545</v>
      </c>
      <c r="K50" s="107">
        <f>SUM(M45:M49)</f>
        <v>0</v>
      </c>
      <c r="L50" s="108"/>
      <c r="M50" s="108"/>
      <c r="N50" s="109"/>
      <c r="O50" s="107">
        <f>SUM(Q45:Q49)</f>
        <v>0</v>
      </c>
      <c r="P50" s="108"/>
      <c r="Q50" s="108"/>
      <c r="R50" s="109"/>
      <c r="S50" s="107">
        <f>SUM(U45:U49)</f>
        <v>0</v>
      </c>
      <c r="T50" s="108"/>
      <c r="U50" s="108"/>
      <c r="V50" s="109"/>
      <c r="W50" s="107">
        <f>SUM(Y45:Y49)</f>
        <v>0</v>
      </c>
      <c r="X50" s="108"/>
      <c r="Y50" s="108"/>
      <c r="Z50" s="109"/>
      <c r="AA50" s="107">
        <f>SUM(AC45:AC49)</f>
        <v>0</v>
      </c>
      <c r="AB50" s="108"/>
      <c r="AC50" s="108"/>
      <c r="AD50" s="109"/>
      <c r="AE50" s="42">
        <f>SUM(K50:AD50)</f>
        <v>0</v>
      </c>
      <c r="AF50" s="110"/>
    </row>
    <row r="51" spans="1:32" x14ac:dyDescent="0.25">
      <c r="A51" s="23" t="s">
        <v>603</v>
      </c>
      <c r="B51" s="23" t="s">
        <v>564</v>
      </c>
      <c r="C51" s="23" t="s">
        <v>590</v>
      </c>
      <c r="D51" s="23">
        <v>100</v>
      </c>
      <c r="E51" s="23">
        <v>338</v>
      </c>
      <c r="F51" s="23">
        <v>10.3</v>
      </c>
      <c r="G51" s="23">
        <f>Tabla2[[#This Row],[Calorías x porción]]/Tabla2[[#This Row],[g por porción]]</f>
        <v>3.38</v>
      </c>
      <c r="H51" s="23">
        <f>Tabla2[[#This Row],[Proteína x porción]]/Tabla2[[#This Row],[g por porción]]</f>
        <v>0.10300000000000001</v>
      </c>
      <c r="J51" s="27" t="s">
        <v>559</v>
      </c>
      <c r="K51" s="107">
        <f>SUM(N45:N49)</f>
        <v>0</v>
      </c>
      <c r="L51" s="108"/>
      <c r="M51" s="108"/>
      <c r="N51" s="109"/>
      <c r="O51" s="107">
        <f>SUM(R45:R49)</f>
        <v>0</v>
      </c>
      <c r="P51" s="108"/>
      <c r="Q51" s="108"/>
      <c r="R51" s="109"/>
      <c r="S51" s="107">
        <f>SUM(V45:V49)</f>
        <v>0</v>
      </c>
      <c r="T51" s="108"/>
      <c r="U51" s="108"/>
      <c r="V51" s="109"/>
      <c r="W51" s="107">
        <f>SUM(Z45:Z49)</f>
        <v>0</v>
      </c>
      <c r="X51" s="108"/>
      <c r="Y51" s="108"/>
      <c r="Z51" s="109"/>
      <c r="AA51" s="107">
        <f>SUM(AD45:AD49)</f>
        <v>0</v>
      </c>
      <c r="AB51" s="108"/>
      <c r="AC51" s="108"/>
      <c r="AD51" s="109"/>
      <c r="AE51" s="42">
        <f>SUM(K51:AD51)</f>
        <v>0</v>
      </c>
      <c r="AF51" s="110"/>
    </row>
    <row r="52" spans="1:32" x14ac:dyDescent="0.25">
      <c r="A52" s="23" t="s">
        <v>604</v>
      </c>
      <c r="B52" s="23" t="s">
        <v>559</v>
      </c>
      <c r="C52" s="23" t="s">
        <v>600</v>
      </c>
      <c r="D52" s="23">
        <v>100</v>
      </c>
      <c r="E52" s="23">
        <v>59</v>
      </c>
      <c r="F52" s="23">
        <v>10.3</v>
      </c>
      <c r="G52" s="23">
        <f>Tabla2[[#This Row],[Calorías x porción]]/Tabla2[[#This Row],[g por porción]]</f>
        <v>0.59</v>
      </c>
      <c r="H52" s="23">
        <f>Tabla2[[#This Row],[Proteína x porción]]/Tabla2[[#This Row],[g por porción]]</f>
        <v>0.10300000000000001</v>
      </c>
      <c r="J52" s="27" t="s">
        <v>546</v>
      </c>
      <c r="K52" s="40" t="s">
        <v>556</v>
      </c>
      <c r="L52" s="40">
        <v>200</v>
      </c>
      <c r="M52" s="41"/>
      <c r="N52" s="41"/>
      <c r="O52" s="40"/>
      <c r="P52" s="40"/>
      <c r="Q52" s="41"/>
      <c r="R52" s="41"/>
      <c r="S52" s="40"/>
      <c r="T52" s="40"/>
      <c r="U52" s="41"/>
      <c r="V52" s="41"/>
      <c r="W52" s="40"/>
      <c r="X52" s="40"/>
      <c r="Y52" s="41"/>
      <c r="Z52" s="41"/>
      <c r="AA52" s="40"/>
      <c r="AB52" s="40"/>
      <c r="AC52" s="41"/>
      <c r="AD52" s="41"/>
      <c r="AE52" s="110" t="s">
        <v>551</v>
      </c>
      <c r="AF52" s="110">
        <v>5</v>
      </c>
    </row>
    <row r="53" spans="1:32" x14ac:dyDescent="0.25">
      <c r="A53" s="23" t="s">
        <v>605</v>
      </c>
      <c r="B53" s="23" t="s">
        <v>564</v>
      </c>
      <c r="C53" s="23" t="s">
        <v>590</v>
      </c>
      <c r="D53" s="23">
        <v>100</v>
      </c>
      <c r="E53" s="23">
        <v>352</v>
      </c>
      <c r="F53" s="23">
        <v>9.91</v>
      </c>
      <c r="G53" s="23">
        <f>Tabla2[[#This Row],[Calorías x porción]]/Tabla2[[#This Row],[g por porción]]</f>
        <v>3.52</v>
      </c>
      <c r="H53" s="23">
        <f>Tabla2[[#This Row],[Proteína x porción]]/Tabla2[[#This Row],[g por porción]]</f>
        <v>9.9100000000000008E-2</v>
      </c>
      <c r="J53" s="27" t="s">
        <v>561</v>
      </c>
      <c r="K53" s="40" t="s">
        <v>562</v>
      </c>
      <c r="L53" s="40">
        <v>120</v>
      </c>
      <c r="M53" s="41"/>
      <c r="N53" s="41"/>
      <c r="O53" s="40"/>
      <c r="P53" s="40"/>
      <c r="Q53" s="41"/>
      <c r="R53" s="41"/>
      <c r="S53" s="40"/>
      <c r="T53" s="40"/>
      <c r="U53" s="41"/>
      <c r="V53" s="41"/>
      <c r="W53" s="40"/>
      <c r="X53" s="40"/>
      <c r="Y53" s="41"/>
      <c r="Z53" s="41"/>
      <c r="AA53" s="40"/>
      <c r="AB53" s="40"/>
      <c r="AC53" s="41"/>
      <c r="AD53" s="41"/>
      <c r="AE53" s="110"/>
      <c r="AF53" s="110"/>
    </row>
    <row r="54" spans="1:32" x14ac:dyDescent="0.25">
      <c r="A54" s="23" t="s">
        <v>606</v>
      </c>
      <c r="B54" s="23" t="s">
        <v>564</v>
      </c>
      <c r="C54" s="23" t="s">
        <v>590</v>
      </c>
      <c r="D54" s="23">
        <v>100</v>
      </c>
      <c r="E54" s="23">
        <v>365</v>
      </c>
      <c r="F54" s="23">
        <v>9.42</v>
      </c>
      <c r="G54" s="23">
        <f>Tabla2[[#This Row],[Calorías x porción]]/Tabla2[[#This Row],[g por porción]]</f>
        <v>3.65</v>
      </c>
      <c r="H54" s="23">
        <f>Tabla2[[#This Row],[Proteína x porción]]/Tabla2[[#This Row],[g por porción]]</f>
        <v>9.4200000000000006E-2</v>
      </c>
      <c r="J54" s="27" t="s">
        <v>566</v>
      </c>
      <c r="K54" s="40" t="s">
        <v>567</v>
      </c>
      <c r="L54" s="40">
        <v>90</v>
      </c>
      <c r="M54" s="41"/>
      <c r="N54" s="41"/>
      <c r="O54" s="40"/>
      <c r="P54" s="40"/>
      <c r="Q54" s="41"/>
      <c r="R54" s="41"/>
      <c r="S54" s="40"/>
      <c r="T54" s="40"/>
      <c r="U54" s="41"/>
      <c r="V54" s="41"/>
      <c r="W54" s="40"/>
      <c r="X54" s="40"/>
      <c r="Y54" s="41"/>
      <c r="Z54" s="41"/>
      <c r="AA54" s="40"/>
      <c r="AB54" s="40"/>
      <c r="AC54" s="41"/>
      <c r="AD54" s="41"/>
      <c r="AE54" s="110"/>
      <c r="AF54" s="110"/>
    </row>
    <row r="55" spans="1:32" x14ac:dyDescent="0.25">
      <c r="A55" s="23" t="s">
        <v>607</v>
      </c>
      <c r="B55" s="23" t="s">
        <v>554</v>
      </c>
      <c r="C55" s="23" t="s">
        <v>580</v>
      </c>
      <c r="D55" s="23">
        <v>100</v>
      </c>
      <c r="E55" s="23">
        <v>691</v>
      </c>
      <c r="F55" s="23">
        <v>9.17</v>
      </c>
      <c r="G55" s="23">
        <f>Tabla2[[#This Row],[Calorías x porción]]/Tabla2[[#This Row],[g por porción]]</f>
        <v>6.91</v>
      </c>
      <c r="H55" s="23">
        <f>Tabla2[[#This Row],[Proteína x porción]]/Tabla2[[#This Row],[g por porción]]</f>
        <v>9.1700000000000004E-2</v>
      </c>
      <c r="J55" s="27" t="s">
        <v>571</v>
      </c>
      <c r="K55" s="40" t="s">
        <v>572</v>
      </c>
      <c r="L55" s="40">
        <v>10</v>
      </c>
      <c r="M55" s="41"/>
      <c r="N55" s="41"/>
      <c r="O55" s="40"/>
      <c r="P55" s="40"/>
      <c r="Q55" s="41"/>
      <c r="R55" s="41"/>
      <c r="S55" s="40"/>
      <c r="T55" s="40"/>
      <c r="U55" s="41"/>
      <c r="V55" s="41"/>
      <c r="W55" s="40"/>
      <c r="X55" s="40"/>
      <c r="Y55" s="41"/>
      <c r="Z55" s="41"/>
      <c r="AA55" s="40"/>
      <c r="AB55" s="40"/>
      <c r="AC55" s="41"/>
      <c r="AD55" s="41"/>
      <c r="AE55" s="110"/>
      <c r="AF55" s="110"/>
    </row>
    <row r="56" spans="1:32" x14ac:dyDescent="0.25">
      <c r="A56" s="23" t="s">
        <v>608</v>
      </c>
      <c r="B56" s="23" t="s">
        <v>559</v>
      </c>
      <c r="C56" s="23" t="s">
        <v>609</v>
      </c>
      <c r="D56" s="23">
        <v>100</v>
      </c>
      <c r="E56" s="23">
        <v>82</v>
      </c>
      <c r="F56" s="23">
        <v>8.24</v>
      </c>
      <c r="G56" s="23">
        <f>Tabla2[[#This Row],[Calorías x porción]]/Tabla2[[#This Row],[g por porción]]</f>
        <v>0.82</v>
      </c>
      <c r="H56" s="23">
        <f>Tabla2[[#This Row],[Proteína x porción]]/Tabla2[[#This Row],[g por porción]]</f>
        <v>8.2400000000000001E-2</v>
      </c>
      <c r="J56" s="27" t="s">
        <v>574</v>
      </c>
      <c r="K56" s="40"/>
      <c r="L56" s="40"/>
      <c r="M56" s="41"/>
      <c r="N56" s="41"/>
      <c r="O56" s="40"/>
      <c r="P56" s="40"/>
      <c r="Q56" s="41"/>
      <c r="R56" s="41"/>
      <c r="S56" s="40"/>
      <c r="T56" s="40"/>
      <c r="U56" s="41"/>
      <c r="V56" s="41"/>
      <c r="W56" s="40"/>
      <c r="X56" s="40"/>
      <c r="Y56" s="41"/>
      <c r="Z56" s="41"/>
      <c r="AA56" s="40"/>
      <c r="AB56" s="40"/>
      <c r="AC56" s="41"/>
      <c r="AD56" s="41"/>
      <c r="AE56" s="110"/>
      <c r="AF56" s="110"/>
    </row>
    <row r="57" spans="1:32" x14ac:dyDescent="0.25">
      <c r="A57" s="23" t="s">
        <v>610</v>
      </c>
      <c r="B57" s="23" t="s">
        <v>564</v>
      </c>
      <c r="C57" s="23" t="s">
        <v>590</v>
      </c>
      <c r="D57" s="23">
        <v>100</v>
      </c>
      <c r="E57" s="23">
        <v>365</v>
      </c>
      <c r="F57" s="23">
        <v>8.11</v>
      </c>
      <c r="G57" s="23">
        <f>Tabla2[[#This Row],[Calorías x porción]]/Tabla2[[#This Row],[g por porción]]</f>
        <v>3.65</v>
      </c>
      <c r="H57" s="23">
        <f>Tabla2[[#This Row],[Proteína x porción]]/Tabla2[[#This Row],[g por porción]]</f>
        <v>8.1099999999999992E-2</v>
      </c>
      <c r="J57" s="27" t="s">
        <v>545</v>
      </c>
      <c r="K57" s="107">
        <f>SUM(M52:M56)</f>
        <v>0</v>
      </c>
      <c r="L57" s="108"/>
      <c r="M57" s="108"/>
      <c r="N57" s="109"/>
      <c r="O57" s="107">
        <f>SUM(Q52:Q56)</f>
        <v>0</v>
      </c>
      <c r="P57" s="108"/>
      <c r="Q57" s="108"/>
      <c r="R57" s="109"/>
      <c r="S57" s="107">
        <f>SUM(U52:U56)</f>
        <v>0</v>
      </c>
      <c r="T57" s="108"/>
      <c r="U57" s="108"/>
      <c r="V57" s="109"/>
      <c r="W57" s="107">
        <f>SUM(Y52:Y56)</f>
        <v>0</v>
      </c>
      <c r="X57" s="108"/>
      <c r="Y57" s="108"/>
      <c r="Z57" s="109"/>
      <c r="AA57" s="107">
        <f>SUM(AC52:AC56)</f>
        <v>0</v>
      </c>
      <c r="AB57" s="108"/>
      <c r="AC57" s="108"/>
      <c r="AD57" s="109"/>
      <c r="AE57" s="42">
        <f>SUM(K57:AD57)</f>
        <v>0</v>
      </c>
      <c r="AF57" s="110"/>
    </row>
    <row r="58" spans="1:32" x14ac:dyDescent="0.25">
      <c r="A58" s="23" t="s">
        <v>611</v>
      </c>
      <c r="B58" s="23" t="s">
        <v>564</v>
      </c>
      <c r="C58" s="23" t="s">
        <v>565</v>
      </c>
      <c r="D58" s="23">
        <v>100</v>
      </c>
      <c r="E58" s="23">
        <v>104</v>
      </c>
      <c r="F58" s="23">
        <v>8</v>
      </c>
      <c r="G58" s="23">
        <f>Tabla2[[#This Row],[Calorías x porción]]/Tabla2[[#This Row],[g por porción]]</f>
        <v>1.04</v>
      </c>
      <c r="H58" s="23">
        <f>Tabla2[[#This Row],[Proteína x porción]]/Tabla2[[#This Row],[g por porción]]</f>
        <v>0.08</v>
      </c>
      <c r="J58" s="27" t="s">
        <v>559</v>
      </c>
      <c r="K58" s="107">
        <f>SUM(N52:N56)</f>
        <v>0</v>
      </c>
      <c r="L58" s="108"/>
      <c r="M58" s="108"/>
      <c r="N58" s="109"/>
      <c r="O58" s="107">
        <f>SUM(R52:R56)</f>
        <v>0</v>
      </c>
      <c r="P58" s="108"/>
      <c r="Q58" s="108"/>
      <c r="R58" s="109"/>
      <c r="S58" s="107">
        <f>SUM(V52:V56)</f>
        <v>0</v>
      </c>
      <c r="T58" s="108"/>
      <c r="U58" s="108"/>
      <c r="V58" s="109"/>
      <c r="W58" s="107">
        <f>SUM(Z52:Z56)</f>
        <v>0</v>
      </c>
      <c r="X58" s="108"/>
      <c r="Y58" s="108"/>
      <c r="Z58" s="109"/>
      <c r="AA58" s="107">
        <f>SUM(AD52:AD56)</f>
        <v>0</v>
      </c>
      <c r="AB58" s="108"/>
      <c r="AC58" s="108"/>
      <c r="AD58" s="109"/>
      <c r="AE58" s="42">
        <f>SUM(K58:AD58)</f>
        <v>0</v>
      </c>
      <c r="AF58" s="110"/>
    </row>
    <row r="59" spans="1:32" x14ac:dyDescent="0.25">
      <c r="A59" s="23" t="s">
        <v>612</v>
      </c>
      <c r="B59" s="23" t="s">
        <v>554</v>
      </c>
      <c r="C59" s="23" t="s">
        <v>580</v>
      </c>
      <c r="D59" s="23">
        <v>100</v>
      </c>
      <c r="E59" s="23">
        <v>716</v>
      </c>
      <c r="F59" s="23">
        <v>7.79</v>
      </c>
      <c r="G59" s="23">
        <f>Tabla2[[#This Row],[Calorías x porción]]/Tabla2[[#This Row],[g por porción]]</f>
        <v>7.16</v>
      </c>
      <c r="H59" s="23">
        <f>Tabla2[[#This Row],[Proteína x porción]]/Tabla2[[#This Row],[g por porción]]</f>
        <v>7.7899999999999997E-2</v>
      </c>
      <c r="J59" s="27" t="s">
        <v>546</v>
      </c>
      <c r="K59" s="40" t="s">
        <v>556</v>
      </c>
      <c r="L59" s="40">
        <v>200</v>
      </c>
      <c r="M59" s="41"/>
      <c r="N59" s="41"/>
      <c r="O59" s="40"/>
      <c r="P59" s="40"/>
      <c r="Q59" s="41"/>
      <c r="R59" s="41"/>
      <c r="S59" s="40"/>
      <c r="T59" s="40"/>
      <c r="U59" s="41"/>
      <c r="V59" s="41"/>
      <c r="W59" s="40"/>
      <c r="X59" s="40"/>
      <c r="Y59" s="41"/>
      <c r="Z59" s="41"/>
      <c r="AA59" s="40"/>
      <c r="AB59" s="40"/>
      <c r="AC59" s="41"/>
      <c r="AD59" s="41"/>
      <c r="AE59" s="110" t="s">
        <v>551</v>
      </c>
      <c r="AF59" s="110">
        <v>6</v>
      </c>
    </row>
    <row r="60" spans="1:32" x14ac:dyDescent="0.25">
      <c r="A60" s="23" t="s">
        <v>613</v>
      </c>
      <c r="B60" s="23" t="s">
        <v>564</v>
      </c>
      <c r="C60" s="23" t="s">
        <v>565</v>
      </c>
      <c r="D60" s="23">
        <v>100</v>
      </c>
      <c r="E60" s="23">
        <v>139</v>
      </c>
      <c r="F60" s="23">
        <v>7.05</v>
      </c>
      <c r="G60" s="23">
        <f>Tabla2[[#This Row],[Calorías x porción]]/Tabla2[[#This Row],[g por porción]]</f>
        <v>1.39</v>
      </c>
      <c r="H60" s="23">
        <f>Tabla2[[#This Row],[Proteína x porción]]/Tabla2[[#This Row],[g por porción]]</f>
        <v>7.0499999999999993E-2</v>
      </c>
      <c r="J60" s="27" t="s">
        <v>561</v>
      </c>
      <c r="K60" s="40" t="s">
        <v>562</v>
      </c>
      <c r="L60" s="40">
        <v>120</v>
      </c>
      <c r="M60" s="41"/>
      <c r="N60" s="41"/>
      <c r="O60" s="40"/>
      <c r="P60" s="40"/>
      <c r="Q60" s="41"/>
      <c r="R60" s="41"/>
      <c r="S60" s="40"/>
      <c r="T60" s="40"/>
      <c r="U60" s="41"/>
      <c r="V60" s="41"/>
      <c r="W60" s="40"/>
      <c r="X60" s="40"/>
      <c r="Y60" s="41"/>
      <c r="Z60" s="41"/>
      <c r="AA60" s="40"/>
      <c r="AB60" s="40"/>
      <c r="AC60" s="41"/>
      <c r="AD60" s="41"/>
      <c r="AE60" s="110"/>
      <c r="AF60" s="110"/>
    </row>
    <row r="61" spans="1:32" x14ac:dyDescent="0.25">
      <c r="A61" s="23" t="s">
        <v>581</v>
      </c>
      <c r="B61" s="23" t="s">
        <v>564</v>
      </c>
      <c r="C61" s="23" t="s">
        <v>590</v>
      </c>
      <c r="D61" s="23">
        <v>100</v>
      </c>
      <c r="E61" s="23">
        <v>356</v>
      </c>
      <c r="F61" s="23">
        <v>6.67</v>
      </c>
      <c r="G61" s="23">
        <f>Tabla2[[#This Row],[Calorías x porción]]/Tabla2[[#This Row],[g por porción]]</f>
        <v>3.56</v>
      </c>
      <c r="H61" s="23">
        <f>Tabla2[[#This Row],[Proteína x porción]]/Tabla2[[#This Row],[g por porción]]</f>
        <v>6.6699999999999995E-2</v>
      </c>
      <c r="J61" s="27" t="s">
        <v>566</v>
      </c>
      <c r="K61" s="40" t="s">
        <v>567</v>
      </c>
      <c r="L61" s="40">
        <v>90</v>
      </c>
      <c r="M61" s="41"/>
      <c r="N61" s="41"/>
      <c r="O61" s="40"/>
      <c r="P61" s="40"/>
      <c r="Q61" s="41"/>
      <c r="R61" s="41"/>
      <c r="S61" s="40"/>
      <c r="T61" s="40"/>
      <c r="U61" s="41"/>
      <c r="V61" s="41"/>
      <c r="W61" s="40"/>
      <c r="X61" s="40"/>
      <c r="Y61" s="41"/>
      <c r="Z61" s="41"/>
      <c r="AA61" s="40"/>
      <c r="AB61" s="40"/>
      <c r="AC61" s="41"/>
      <c r="AD61" s="41"/>
      <c r="AE61" s="110"/>
      <c r="AF61" s="110"/>
    </row>
    <row r="62" spans="1:32" x14ac:dyDescent="0.25">
      <c r="A62" s="23" t="s">
        <v>614</v>
      </c>
      <c r="B62" s="23" t="s">
        <v>564</v>
      </c>
      <c r="C62" s="23" t="s">
        <v>565</v>
      </c>
      <c r="D62" s="23">
        <v>100</v>
      </c>
      <c r="E62" s="23">
        <v>81</v>
      </c>
      <c r="F62" s="23">
        <v>5.42</v>
      </c>
      <c r="G62" s="23">
        <f>Tabla2[[#This Row],[Calorías x porción]]/Tabla2[[#This Row],[g por porción]]</f>
        <v>0.81</v>
      </c>
      <c r="H62" s="23">
        <f>Tabla2[[#This Row],[Proteína x porción]]/Tabla2[[#This Row],[g por porción]]</f>
        <v>5.4199999999999998E-2</v>
      </c>
      <c r="J62" s="27" t="s">
        <v>571</v>
      </c>
      <c r="K62" s="40" t="s">
        <v>572</v>
      </c>
      <c r="L62" s="40">
        <v>10</v>
      </c>
      <c r="M62" s="41"/>
      <c r="N62" s="41"/>
      <c r="O62" s="40"/>
      <c r="P62" s="40"/>
      <c r="Q62" s="41"/>
      <c r="R62" s="41"/>
      <c r="S62" s="40"/>
      <c r="T62" s="40"/>
      <c r="U62" s="41"/>
      <c r="V62" s="41"/>
      <c r="W62" s="40"/>
      <c r="X62" s="40"/>
      <c r="Y62" s="41"/>
      <c r="Z62" s="41"/>
      <c r="AA62" s="40"/>
      <c r="AB62" s="40"/>
      <c r="AC62" s="41"/>
      <c r="AD62" s="41"/>
      <c r="AE62" s="110"/>
      <c r="AF62" s="110"/>
    </row>
    <row r="63" spans="1:32" x14ac:dyDescent="0.25">
      <c r="A63" s="23" t="s">
        <v>615</v>
      </c>
      <c r="B63" s="23" t="s">
        <v>564</v>
      </c>
      <c r="C63" s="23" t="s">
        <v>565</v>
      </c>
      <c r="D63" s="23">
        <v>100</v>
      </c>
      <c r="E63" s="23">
        <v>107</v>
      </c>
      <c r="F63" s="23">
        <v>4.58</v>
      </c>
      <c r="G63" s="23">
        <f>Tabla2[[#This Row],[Calorías x porción]]/Tabla2[[#This Row],[g por porción]]</f>
        <v>1.07</v>
      </c>
      <c r="H63" s="23">
        <f>Tabla2[[#This Row],[Proteína x porción]]/Tabla2[[#This Row],[g por porción]]</f>
        <v>4.58E-2</v>
      </c>
      <c r="J63" s="27" t="s">
        <v>574</v>
      </c>
      <c r="K63" s="40"/>
      <c r="L63" s="40"/>
      <c r="M63" s="41"/>
      <c r="N63" s="41"/>
      <c r="O63" s="40"/>
      <c r="P63" s="40"/>
      <c r="Q63" s="41"/>
      <c r="R63" s="41"/>
      <c r="S63" s="40"/>
      <c r="T63" s="40"/>
      <c r="U63" s="41"/>
      <c r="V63" s="41"/>
      <c r="W63" s="40"/>
      <c r="X63" s="40"/>
      <c r="Y63" s="41"/>
      <c r="Z63" s="41"/>
      <c r="AA63" s="40"/>
      <c r="AB63" s="40"/>
      <c r="AC63" s="41"/>
      <c r="AD63" s="41"/>
      <c r="AE63" s="110"/>
      <c r="AF63" s="110"/>
    </row>
    <row r="64" spans="1:32" x14ac:dyDescent="0.25">
      <c r="A64" s="23" t="s">
        <v>616</v>
      </c>
      <c r="B64" s="23" t="s">
        <v>564</v>
      </c>
      <c r="C64" s="23" t="s">
        <v>590</v>
      </c>
      <c r="D64" s="23">
        <v>100</v>
      </c>
      <c r="E64" s="23">
        <v>120</v>
      </c>
      <c r="F64" s="23">
        <v>4.4000000000000004</v>
      </c>
      <c r="G64" s="23">
        <f>Tabla2[[#This Row],[Calorías x porción]]/Tabla2[[#This Row],[g por porción]]</f>
        <v>1.2</v>
      </c>
      <c r="H64" s="23">
        <f>Tabla2[[#This Row],[Proteína x porción]]/Tabla2[[#This Row],[g por porción]]</f>
        <v>4.4000000000000004E-2</v>
      </c>
      <c r="J64" s="27" t="s">
        <v>545</v>
      </c>
      <c r="K64" s="107">
        <f>SUM(M59:M63)</f>
        <v>0</v>
      </c>
      <c r="L64" s="108"/>
      <c r="M64" s="108"/>
      <c r="N64" s="109"/>
      <c r="O64" s="107">
        <f>SUM(Q59:Q63)</f>
        <v>0</v>
      </c>
      <c r="P64" s="108"/>
      <c r="Q64" s="108"/>
      <c r="R64" s="109"/>
      <c r="S64" s="107">
        <f>SUM(U59:U63)</f>
        <v>0</v>
      </c>
      <c r="T64" s="108"/>
      <c r="U64" s="108"/>
      <c r="V64" s="109"/>
      <c r="W64" s="107">
        <f>SUM(Y59:Y63)</f>
        <v>0</v>
      </c>
      <c r="X64" s="108"/>
      <c r="Y64" s="108"/>
      <c r="Z64" s="109"/>
      <c r="AA64" s="107">
        <f>SUM(AC59:AC63)</f>
        <v>0</v>
      </c>
      <c r="AB64" s="108"/>
      <c r="AC64" s="108"/>
      <c r="AD64" s="109"/>
      <c r="AE64" s="42">
        <f>SUM(K64:AD64)</f>
        <v>0</v>
      </c>
      <c r="AF64" s="110"/>
    </row>
    <row r="65" spans="1:32" x14ac:dyDescent="0.25">
      <c r="A65" s="23" t="s">
        <v>617</v>
      </c>
      <c r="B65" s="23" t="s">
        <v>564</v>
      </c>
      <c r="C65" s="23" t="s">
        <v>565</v>
      </c>
      <c r="D65" s="23">
        <v>100</v>
      </c>
      <c r="E65" s="23">
        <v>23</v>
      </c>
      <c r="F65" s="23">
        <v>3.99</v>
      </c>
      <c r="G65" s="23">
        <f>Tabla2[[#This Row],[Calorías x porción]]/Tabla2[[#This Row],[g por porción]]</f>
        <v>0.23</v>
      </c>
      <c r="H65" s="23">
        <f>Tabla2[[#This Row],[Proteína x porción]]/Tabla2[[#This Row],[g por porción]]</f>
        <v>3.9900000000000005E-2</v>
      </c>
      <c r="J65" s="27" t="s">
        <v>559</v>
      </c>
      <c r="K65" s="107">
        <f>SUM(N59:N63)</f>
        <v>0</v>
      </c>
      <c r="L65" s="108"/>
      <c r="M65" s="108"/>
      <c r="N65" s="109"/>
      <c r="O65" s="107">
        <f>SUM(R59:R63)</f>
        <v>0</v>
      </c>
      <c r="P65" s="108"/>
      <c r="Q65" s="108"/>
      <c r="R65" s="109"/>
      <c r="S65" s="107">
        <f>SUM(V59:V63)</f>
        <v>0</v>
      </c>
      <c r="T65" s="108"/>
      <c r="U65" s="108"/>
      <c r="V65" s="109"/>
      <c r="W65" s="107">
        <f>SUM(Z59:Z63)</f>
        <v>0</v>
      </c>
      <c r="X65" s="108"/>
      <c r="Y65" s="108"/>
      <c r="Z65" s="109"/>
      <c r="AA65" s="107">
        <f>SUM(AD59:AD63)</f>
        <v>0</v>
      </c>
      <c r="AB65" s="108"/>
      <c r="AC65" s="108"/>
      <c r="AD65" s="109"/>
      <c r="AE65" s="42">
        <f>SUM(K65:AD65)</f>
        <v>0</v>
      </c>
      <c r="AF65" s="110"/>
    </row>
    <row r="66" spans="1:32" x14ac:dyDescent="0.25">
      <c r="A66" s="23" t="s">
        <v>618</v>
      </c>
      <c r="B66" s="23" t="s">
        <v>564</v>
      </c>
      <c r="C66" s="23" t="s">
        <v>590</v>
      </c>
      <c r="D66" s="23">
        <v>100</v>
      </c>
      <c r="E66" s="23">
        <v>102</v>
      </c>
      <c r="F66" s="23">
        <v>3.8</v>
      </c>
      <c r="G66" s="23">
        <f>Tabla2[[#This Row],[Calorías x porción]]/Tabla2[[#This Row],[g por porción]]</f>
        <v>1.02</v>
      </c>
      <c r="H66" s="23">
        <f>Tabla2[[#This Row],[Proteína x porción]]/Tabla2[[#This Row],[g por porción]]</f>
        <v>3.7999999999999999E-2</v>
      </c>
      <c r="J66" s="27" t="s">
        <v>546</v>
      </c>
      <c r="K66" s="40" t="s">
        <v>556</v>
      </c>
      <c r="L66" s="40">
        <v>200</v>
      </c>
      <c r="M66" s="41"/>
      <c r="N66" s="41"/>
      <c r="O66" s="40"/>
      <c r="P66" s="40"/>
      <c r="Q66" s="41"/>
      <c r="R66" s="41"/>
      <c r="S66" s="40"/>
      <c r="T66" s="40"/>
      <c r="U66" s="41"/>
      <c r="V66" s="41"/>
      <c r="W66" s="40"/>
      <c r="X66" s="40"/>
      <c r="Y66" s="41"/>
      <c r="Z66" s="41"/>
      <c r="AA66" s="40"/>
      <c r="AB66" s="40"/>
      <c r="AC66" s="41"/>
      <c r="AD66" s="41"/>
      <c r="AE66" s="110" t="s">
        <v>551</v>
      </c>
      <c r="AF66" s="110">
        <v>7</v>
      </c>
    </row>
    <row r="67" spans="1:32" x14ac:dyDescent="0.25">
      <c r="A67" s="23" t="s">
        <v>619</v>
      </c>
      <c r="B67" s="23" t="s">
        <v>564</v>
      </c>
      <c r="C67" s="23" t="s">
        <v>609</v>
      </c>
      <c r="D67" s="23">
        <v>100</v>
      </c>
      <c r="E67" s="23">
        <v>38</v>
      </c>
      <c r="F67" s="23">
        <v>3.55</v>
      </c>
      <c r="G67" s="23">
        <f>Tabla2[[#This Row],[Calorías x porción]]/Tabla2[[#This Row],[g por porción]]</f>
        <v>0.38</v>
      </c>
      <c r="H67" s="23">
        <f>Tabla2[[#This Row],[Proteína x porción]]/Tabla2[[#This Row],[g por porción]]</f>
        <v>3.5499999999999997E-2</v>
      </c>
      <c r="J67" s="27" t="s">
        <v>561</v>
      </c>
      <c r="K67" s="40" t="s">
        <v>562</v>
      </c>
      <c r="L67" s="40">
        <v>120</v>
      </c>
      <c r="M67" s="41"/>
      <c r="N67" s="41"/>
      <c r="O67" s="40"/>
      <c r="P67" s="40"/>
      <c r="Q67" s="41"/>
      <c r="R67" s="41"/>
      <c r="S67" s="40"/>
      <c r="T67" s="40"/>
      <c r="U67" s="41"/>
      <c r="V67" s="41"/>
      <c r="W67" s="40"/>
      <c r="X67" s="40"/>
      <c r="Y67" s="41"/>
      <c r="Z67" s="41"/>
      <c r="AA67" s="40"/>
      <c r="AB67" s="40"/>
      <c r="AC67" s="41"/>
      <c r="AD67" s="41"/>
      <c r="AE67" s="110"/>
      <c r="AF67" s="110"/>
    </row>
    <row r="68" spans="1:32" x14ac:dyDescent="0.25">
      <c r="A68" s="23" t="s">
        <v>620</v>
      </c>
      <c r="B68" s="23" t="s">
        <v>597</v>
      </c>
      <c r="C68" s="23" t="s">
        <v>598</v>
      </c>
      <c r="D68" s="23">
        <v>100</v>
      </c>
      <c r="E68" s="23">
        <v>43</v>
      </c>
      <c r="F68" s="23">
        <v>3.38</v>
      </c>
      <c r="G68" s="23">
        <f>Tabla2[[#This Row],[Calorías x porción]]/Tabla2[[#This Row],[g por porción]]</f>
        <v>0.43</v>
      </c>
      <c r="H68" s="23">
        <f>Tabla2[[#This Row],[Proteína x porción]]/Tabla2[[#This Row],[g por porción]]</f>
        <v>3.3799999999999997E-2</v>
      </c>
      <c r="J68" s="27" t="s">
        <v>566</v>
      </c>
      <c r="K68" s="40" t="s">
        <v>567</v>
      </c>
      <c r="L68" s="40">
        <v>90</v>
      </c>
      <c r="M68" s="41"/>
      <c r="N68" s="41"/>
      <c r="O68" s="40"/>
      <c r="P68" s="40"/>
      <c r="Q68" s="41"/>
      <c r="R68" s="41"/>
      <c r="S68" s="40"/>
      <c r="T68" s="40"/>
      <c r="U68" s="41"/>
      <c r="V68" s="41"/>
      <c r="W68" s="40"/>
      <c r="X68" s="40"/>
      <c r="Y68" s="41"/>
      <c r="Z68" s="41"/>
      <c r="AA68" s="40"/>
      <c r="AB68" s="40"/>
      <c r="AC68" s="41"/>
      <c r="AD68" s="41"/>
      <c r="AE68" s="110"/>
      <c r="AF68" s="110"/>
    </row>
    <row r="69" spans="1:32" x14ac:dyDescent="0.25">
      <c r="A69" s="23" t="s">
        <v>621</v>
      </c>
      <c r="B69" s="23" t="s">
        <v>564</v>
      </c>
      <c r="C69" s="23" t="s">
        <v>570</v>
      </c>
      <c r="D69" s="23">
        <v>100</v>
      </c>
      <c r="E69" s="23">
        <v>60</v>
      </c>
      <c r="F69" s="23">
        <v>3.28</v>
      </c>
      <c r="G69" s="23">
        <f>Tabla2[[#This Row],[Calorías x porción]]/Tabla2[[#This Row],[g por porción]]</f>
        <v>0.6</v>
      </c>
      <c r="H69" s="23">
        <f>Tabla2[[#This Row],[Proteína x porción]]/Tabla2[[#This Row],[g por porción]]</f>
        <v>3.2799999999999996E-2</v>
      </c>
      <c r="J69" s="27" t="s">
        <v>571</v>
      </c>
      <c r="K69" s="40" t="s">
        <v>572</v>
      </c>
      <c r="L69" s="40">
        <v>10</v>
      </c>
      <c r="M69" s="41"/>
      <c r="N69" s="41"/>
      <c r="O69" s="40"/>
      <c r="P69" s="40"/>
      <c r="Q69" s="41"/>
      <c r="R69" s="41"/>
      <c r="S69" s="40"/>
      <c r="T69" s="40"/>
      <c r="U69" s="41"/>
      <c r="V69" s="41"/>
      <c r="W69" s="40"/>
      <c r="X69" s="40"/>
      <c r="Y69" s="41"/>
      <c r="Z69" s="41"/>
      <c r="AA69" s="40"/>
      <c r="AB69" s="40"/>
      <c r="AC69" s="41"/>
      <c r="AD69" s="41"/>
      <c r="AE69" s="110"/>
      <c r="AF69" s="110"/>
    </row>
    <row r="70" spans="1:32" x14ac:dyDescent="0.25">
      <c r="A70" s="23" t="s">
        <v>622</v>
      </c>
      <c r="B70" s="23" t="s">
        <v>597</v>
      </c>
      <c r="C70" s="23" t="s">
        <v>598</v>
      </c>
      <c r="D70" s="23">
        <v>100</v>
      </c>
      <c r="E70" s="23">
        <v>22</v>
      </c>
      <c r="F70" s="23">
        <v>3.09</v>
      </c>
      <c r="G70" s="23">
        <f>Tabla2[[#This Row],[Calorías x porción]]/Tabla2[[#This Row],[g por porción]]</f>
        <v>0.22</v>
      </c>
      <c r="H70" s="23">
        <f>Tabla2[[#This Row],[Proteína x porción]]/Tabla2[[#This Row],[g por porción]]</f>
        <v>3.0899999999999997E-2</v>
      </c>
      <c r="J70" s="27" t="s">
        <v>574</v>
      </c>
      <c r="K70" s="40"/>
      <c r="L70" s="40"/>
      <c r="M70" s="41"/>
      <c r="N70" s="41"/>
      <c r="O70" s="40"/>
      <c r="P70" s="40"/>
      <c r="Q70" s="41"/>
      <c r="R70" s="41"/>
      <c r="S70" s="40"/>
      <c r="T70" s="40"/>
      <c r="U70" s="41"/>
      <c r="V70" s="41"/>
      <c r="W70" s="40"/>
      <c r="X70" s="40"/>
      <c r="Y70" s="41"/>
      <c r="Z70" s="41"/>
      <c r="AA70" s="40"/>
      <c r="AB70" s="40"/>
      <c r="AC70" s="41"/>
      <c r="AD70" s="41"/>
      <c r="AE70" s="110"/>
      <c r="AF70" s="110"/>
    </row>
    <row r="71" spans="1:32" x14ac:dyDescent="0.25">
      <c r="A71" s="23" t="s">
        <v>623</v>
      </c>
      <c r="B71" s="23" t="s">
        <v>597</v>
      </c>
      <c r="C71" s="23" t="s">
        <v>598</v>
      </c>
      <c r="D71" s="23">
        <v>100</v>
      </c>
      <c r="E71" s="23">
        <v>23</v>
      </c>
      <c r="F71" s="23">
        <v>2.86</v>
      </c>
      <c r="G71" s="23">
        <f>Tabla2[[#This Row],[Calorías x porción]]/Tabla2[[#This Row],[g por porción]]</f>
        <v>0.23</v>
      </c>
      <c r="H71" s="23">
        <f>Tabla2[[#This Row],[Proteína x porción]]/Tabla2[[#This Row],[g por porción]]</f>
        <v>2.86E-2</v>
      </c>
      <c r="J71" s="27" t="s">
        <v>545</v>
      </c>
      <c r="K71" s="107">
        <f>SUM(M66:M70)</f>
        <v>0</v>
      </c>
      <c r="L71" s="108"/>
      <c r="M71" s="108"/>
      <c r="N71" s="109"/>
      <c r="O71" s="107">
        <f>SUM(Q66:Q70)</f>
        <v>0</v>
      </c>
      <c r="P71" s="108"/>
      <c r="Q71" s="108"/>
      <c r="R71" s="109"/>
      <c r="S71" s="107">
        <f>SUM(U66:U70)</f>
        <v>0</v>
      </c>
      <c r="T71" s="108"/>
      <c r="U71" s="108"/>
      <c r="V71" s="109"/>
      <c r="W71" s="107">
        <f>SUM(Y66:Y70)</f>
        <v>0</v>
      </c>
      <c r="X71" s="108"/>
      <c r="Y71" s="108"/>
      <c r="Z71" s="109"/>
      <c r="AA71" s="107">
        <f>SUM(AC66:AC70)</f>
        <v>0</v>
      </c>
      <c r="AB71" s="108"/>
      <c r="AC71" s="108"/>
      <c r="AD71" s="109"/>
      <c r="AE71" s="42">
        <f>SUM(K71:AD71)</f>
        <v>0</v>
      </c>
      <c r="AF71" s="110"/>
    </row>
    <row r="72" spans="1:32" x14ac:dyDescent="0.25">
      <c r="A72" s="23" t="s">
        <v>624</v>
      </c>
      <c r="B72" s="23" t="s">
        <v>597</v>
      </c>
      <c r="C72" s="23" t="s">
        <v>598</v>
      </c>
      <c r="D72" s="23">
        <v>100</v>
      </c>
      <c r="E72" s="23">
        <v>34</v>
      </c>
      <c r="F72" s="23">
        <v>2.82</v>
      </c>
      <c r="G72" s="23">
        <f>Tabla2[[#This Row],[Calorías x porción]]/Tabla2[[#This Row],[g por porción]]</f>
        <v>0.34</v>
      </c>
      <c r="H72" s="23">
        <f>Tabla2[[#This Row],[Proteína x porción]]/Tabla2[[#This Row],[g por porción]]</f>
        <v>2.8199999999999999E-2</v>
      </c>
      <c r="J72" s="27" t="s">
        <v>559</v>
      </c>
      <c r="K72" s="107">
        <f>SUM(N66:N70)</f>
        <v>0</v>
      </c>
      <c r="L72" s="108"/>
      <c r="M72" s="108"/>
      <c r="N72" s="109"/>
      <c r="O72" s="107">
        <f>SUM(R66:R70)</f>
        <v>0</v>
      </c>
      <c r="P72" s="108"/>
      <c r="Q72" s="108"/>
      <c r="R72" s="109"/>
      <c r="S72" s="107">
        <f>SUM(V66:V70)</f>
        <v>0</v>
      </c>
      <c r="T72" s="108"/>
      <c r="U72" s="108"/>
      <c r="V72" s="109"/>
      <c r="W72" s="107">
        <f>SUM(Z66:Z70)</f>
        <v>0</v>
      </c>
      <c r="X72" s="108"/>
      <c r="Y72" s="108"/>
      <c r="Z72" s="109"/>
      <c r="AA72" s="107">
        <f>SUM(AD66:AD70)</f>
        <v>0</v>
      </c>
      <c r="AB72" s="108"/>
      <c r="AC72" s="108"/>
      <c r="AD72" s="109"/>
      <c r="AE72" s="42">
        <f>SUM(K72:AD72)</f>
        <v>0</v>
      </c>
      <c r="AF72" s="110"/>
    </row>
    <row r="73" spans="1:32" x14ac:dyDescent="0.25">
      <c r="A73" s="23" t="s">
        <v>625</v>
      </c>
      <c r="B73" s="23" t="s">
        <v>564</v>
      </c>
      <c r="C73" s="23" t="s">
        <v>626</v>
      </c>
      <c r="D73" s="23">
        <v>100</v>
      </c>
      <c r="E73" s="23">
        <v>58</v>
      </c>
      <c r="F73" s="23">
        <v>2.57</v>
      </c>
      <c r="G73" s="23">
        <f>Tabla2[[#This Row],[Calorías x porción]]/Tabla2[[#This Row],[g por porción]]</f>
        <v>0.57999999999999996</v>
      </c>
      <c r="H73" s="23">
        <f>Tabla2[[#This Row],[Proteína x porción]]/Tabla2[[#This Row],[g por porción]]</f>
        <v>2.5699999999999997E-2</v>
      </c>
      <c r="J73" s="27" t="s">
        <v>546</v>
      </c>
      <c r="K73" s="40" t="s">
        <v>556</v>
      </c>
      <c r="L73" s="40">
        <v>200</v>
      </c>
      <c r="M73" s="41"/>
      <c r="N73" s="41"/>
      <c r="O73" s="40"/>
      <c r="P73" s="40"/>
      <c r="Q73" s="41"/>
      <c r="R73" s="41"/>
      <c r="S73" s="40"/>
      <c r="T73" s="40"/>
      <c r="U73" s="41"/>
      <c r="V73" s="41"/>
      <c r="W73" s="40"/>
      <c r="X73" s="40"/>
      <c r="Y73" s="41"/>
      <c r="Z73" s="41"/>
      <c r="AA73" s="40"/>
      <c r="AB73" s="40"/>
      <c r="AC73" s="41"/>
      <c r="AD73" s="41"/>
      <c r="AE73" s="110" t="s">
        <v>551</v>
      </c>
      <c r="AF73" s="110">
        <v>8</v>
      </c>
    </row>
    <row r="74" spans="1:32" x14ac:dyDescent="0.25">
      <c r="A74" s="23" t="s">
        <v>567</v>
      </c>
      <c r="B74" s="23" t="s">
        <v>597</v>
      </c>
      <c r="C74" s="23" t="s">
        <v>627</v>
      </c>
      <c r="D74" s="23">
        <v>100</v>
      </c>
      <c r="E74" s="23">
        <v>68</v>
      </c>
      <c r="F74" s="23">
        <v>2.5499999999999998</v>
      </c>
      <c r="G74" s="23">
        <f>Tabla2[[#This Row],[Calorías x porción]]/Tabla2[[#This Row],[g por porción]]</f>
        <v>0.68</v>
      </c>
      <c r="H74" s="23">
        <f>Tabla2[[#This Row],[Proteína x porción]]/Tabla2[[#This Row],[g por porción]]</f>
        <v>2.5499999999999998E-2</v>
      </c>
      <c r="J74" s="27" t="s">
        <v>561</v>
      </c>
      <c r="K74" s="40" t="s">
        <v>562</v>
      </c>
      <c r="L74" s="40">
        <v>120</v>
      </c>
      <c r="M74" s="41"/>
      <c r="N74" s="41"/>
      <c r="O74" s="40"/>
      <c r="P74" s="40"/>
      <c r="Q74" s="41"/>
      <c r="R74" s="41"/>
      <c r="S74" s="40"/>
      <c r="T74" s="40"/>
      <c r="U74" s="41"/>
      <c r="V74" s="41"/>
      <c r="W74" s="40"/>
      <c r="X74" s="40"/>
      <c r="Y74" s="41"/>
      <c r="Z74" s="41"/>
      <c r="AA74" s="40"/>
      <c r="AB74" s="40"/>
      <c r="AC74" s="41"/>
      <c r="AD74" s="41"/>
      <c r="AE74" s="110"/>
      <c r="AF74" s="110"/>
    </row>
    <row r="75" spans="1:32" x14ac:dyDescent="0.25">
      <c r="A75" s="23" t="s">
        <v>628</v>
      </c>
      <c r="B75" s="23" t="s">
        <v>597</v>
      </c>
      <c r="C75" s="23" t="s">
        <v>598</v>
      </c>
      <c r="D75" s="23">
        <v>100</v>
      </c>
      <c r="E75" s="23">
        <v>20</v>
      </c>
      <c r="F75" s="23">
        <v>2.2000000000000002</v>
      </c>
      <c r="G75" s="23">
        <f>Tabla2[[#This Row],[Calorías x porción]]/Tabla2[[#This Row],[g por porción]]</f>
        <v>0.2</v>
      </c>
      <c r="H75" s="23">
        <f>Tabla2[[#This Row],[Proteína x porción]]/Tabla2[[#This Row],[g por porción]]</f>
        <v>2.2000000000000002E-2</v>
      </c>
      <c r="J75" s="27" t="s">
        <v>566</v>
      </c>
      <c r="K75" s="40" t="s">
        <v>567</v>
      </c>
      <c r="L75" s="40">
        <v>90</v>
      </c>
      <c r="M75" s="41"/>
      <c r="N75" s="41"/>
      <c r="O75" s="40"/>
      <c r="P75" s="40"/>
      <c r="Q75" s="41"/>
      <c r="R75" s="41"/>
      <c r="S75" s="40"/>
      <c r="T75" s="40"/>
      <c r="U75" s="41"/>
      <c r="V75" s="41"/>
      <c r="W75" s="40"/>
      <c r="X75" s="40"/>
      <c r="Y75" s="41"/>
      <c r="Z75" s="41"/>
      <c r="AA75" s="40"/>
      <c r="AB75" s="40"/>
      <c r="AC75" s="41"/>
      <c r="AD75" s="41"/>
      <c r="AE75" s="110"/>
      <c r="AF75" s="110"/>
    </row>
    <row r="76" spans="1:32" x14ac:dyDescent="0.25">
      <c r="A76" s="23" t="s">
        <v>629</v>
      </c>
      <c r="B76" s="23" t="s">
        <v>597</v>
      </c>
      <c r="C76" s="23" t="s">
        <v>598</v>
      </c>
      <c r="D76" s="23">
        <v>100</v>
      </c>
      <c r="E76" s="23">
        <v>160</v>
      </c>
      <c r="F76" s="23">
        <v>2</v>
      </c>
      <c r="G76" s="23">
        <f>Tabla2[[#This Row],[Calorías x porción]]/Tabla2[[#This Row],[g por porción]]</f>
        <v>1.6</v>
      </c>
      <c r="H76" s="23">
        <f>Tabla2[[#This Row],[Proteína x porción]]/Tabla2[[#This Row],[g por porción]]</f>
        <v>0.02</v>
      </c>
      <c r="J76" s="27" t="s">
        <v>571</v>
      </c>
      <c r="K76" s="40" t="s">
        <v>572</v>
      </c>
      <c r="L76" s="40">
        <v>10</v>
      </c>
      <c r="M76" s="41"/>
      <c r="N76" s="41"/>
      <c r="O76" s="40"/>
      <c r="P76" s="40"/>
      <c r="Q76" s="41"/>
      <c r="R76" s="41"/>
      <c r="S76" s="40"/>
      <c r="T76" s="40"/>
      <c r="U76" s="41"/>
      <c r="V76" s="41"/>
      <c r="W76" s="40"/>
      <c r="X76" s="40"/>
      <c r="Y76" s="41"/>
      <c r="Z76" s="41"/>
      <c r="AA76" s="40"/>
      <c r="AB76" s="40"/>
      <c r="AC76" s="41"/>
      <c r="AD76" s="41"/>
      <c r="AE76" s="110"/>
      <c r="AF76" s="110"/>
    </row>
    <row r="77" spans="1:32" x14ac:dyDescent="0.25">
      <c r="A77" s="23" t="s">
        <v>630</v>
      </c>
      <c r="B77" s="23" t="s">
        <v>597</v>
      </c>
      <c r="C77" s="23" t="s">
        <v>598</v>
      </c>
      <c r="D77" s="23">
        <v>100</v>
      </c>
      <c r="E77" s="23">
        <v>25</v>
      </c>
      <c r="F77" s="23">
        <v>1.92</v>
      </c>
      <c r="G77" s="23">
        <f>Tabla2[[#This Row],[Calorías x porción]]/Tabla2[[#This Row],[g por porción]]</f>
        <v>0.25</v>
      </c>
      <c r="H77" s="23">
        <f>Tabla2[[#This Row],[Proteína x porción]]/Tabla2[[#This Row],[g por porción]]</f>
        <v>1.9199999999999998E-2</v>
      </c>
      <c r="J77" s="27" t="s">
        <v>574</v>
      </c>
      <c r="K77" s="40"/>
      <c r="L77" s="40"/>
      <c r="M77" s="41"/>
      <c r="N77" s="41"/>
      <c r="O77" s="40"/>
      <c r="P77" s="40"/>
      <c r="Q77" s="41"/>
      <c r="R77" s="41"/>
      <c r="S77" s="40"/>
      <c r="T77" s="40"/>
      <c r="U77" s="41"/>
      <c r="V77" s="41"/>
      <c r="W77" s="40"/>
      <c r="X77" s="40"/>
      <c r="Y77" s="41"/>
      <c r="Z77" s="41"/>
      <c r="AA77" s="40"/>
      <c r="AB77" s="40"/>
      <c r="AC77" s="41"/>
      <c r="AD77" s="41"/>
      <c r="AE77" s="110"/>
      <c r="AF77" s="110"/>
    </row>
    <row r="78" spans="1:32" x14ac:dyDescent="0.25">
      <c r="A78" s="23" t="s">
        <v>631</v>
      </c>
      <c r="B78" s="23" t="s">
        <v>597</v>
      </c>
      <c r="C78" s="23" t="s">
        <v>627</v>
      </c>
      <c r="D78" s="23">
        <v>100</v>
      </c>
      <c r="E78" s="23">
        <v>53</v>
      </c>
      <c r="F78" s="23">
        <v>1.9</v>
      </c>
      <c r="G78" s="23">
        <f>Tabla2[[#This Row],[Calorías x porción]]/Tabla2[[#This Row],[g por porción]]</f>
        <v>0.53</v>
      </c>
      <c r="H78" s="23">
        <f>Tabla2[[#This Row],[Proteína x porción]]/Tabla2[[#This Row],[g por porción]]</f>
        <v>1.9E-2</v>
      </c>
      <c r="J78" s="27" t="s">
        <v>545</v>
      </c>
      <c r="K78" s="107">
        <f>SUM(M73:M77)</f>
        <v>0</v>
      </c>
      <c r="L78" s="108"/>
      <c r="M78" s="108"/>
      <c r="N78" s="109"/>
      <c r="O78" s="107">
        <f>SUM(Q73:Q77)</f>
        <v>0</v>
      </c>
      <c r="P78" s="108"/>
      <c r="Q78" s="108"/>
      <c r="R78" s="109"/>
      <c r="S78" s="107">
        <f>SUM(U73:U77)</f>
        <v>0</v>
      </c>
      <c r="T78" s="108"/>
      <c r="U78" s="108"/>
      <c r="V78" s="109"/>
      <c r="W78" s="107">
        <f>SUM(Y73:Y77)</f>
        <v>0</v>
      </c>
      <c r="X78" s="108"/>
      <c r="Y78" s="108"/>
      <c r="Z78" s="109"/>
      <c r="AA78" s="107">
        <f>SUM(AC73:AC77)</f>
        <v>0</v>
      </c>
      <c r="AB78" s="108"/>
      <c r="AC78" s="108"/>
      <c r="AD78" s="109"/>
      <c r="AE78" s="42">
        <f>SUM(K78:AD78)</f>
        <v>0</v>
      </c>
      <c r="AF78" s="110"/>
    </row>
    <row r="79" spans="1:32" x14ac:dyDescent="0.25">
      <c r="A79" s="23" t="s">
        <v>632</v>
      </c>
      <c r="B79" s="23" t="s">
        <v>564</v>
      </c>
      <c r="C79" s="23" t="s">
        <v>565</v>
      </c>
      <c r="D79" s="23">
        <v>100</v>
      </c>
      <c r="E79" s="23">
        <v>31</v>
      </c>
      <c r="F79" s="23">
        <v>1.83</v>
      </c>
      <c r="G79" s="23">
        <f>Tabla2[[#This Row],[Calorías x porción]]/Tabla2[[#This Row],[g por porción]]</f>
        <v>0.31</v>
      </c>
      <c r="H79" s="23">
        <f>Tabla2[[#This Row],[Proteína x porción]]/Tabla2[[#This Row],[g por porción]]</f>
        <v>1.83E-2</v>
      </c>
      <c r="J79" s="27" t="s">
        <v>559</v>
      </c>
      <c r="K79" s="107">
        <f>SUM(N73:N77)</f>
        <v>0</v>
      </c>
      <c r="L79" s="108"/>
      <c r="M79" s="108"/>
      <c r="N79" s="109"/>
      <c r="O79" s="107">
        <f>SUM(R73:R77)</f>
        <v>0</v>
      </c>
      <c r="P79" s="108"/>
      <c r="Q79" s="108"/>
      <c r="R79" s="109"/>
      <c r="S79" s="107">
        <f>SUM(V73:V77)</f>
        <v>0</v>
      </c>
      <c r="T79" s="108"/>
      <c r="U79" s="108"/>
      <c r="V79" s="109"/>
      <c r="W79" s="107">
        <f>SUM(Z73:Z77)</f>
        <v>0</v>
      </c>
      <c r="X79" s="108"/>
      <c r="Y79" s="108"/>
      <c r="Z79" s="109"/>
      <c r="AA79" s="107">
        <f>SUM(AD73:AD77)</f>
        <v>0</v>
      </c>
      <c r="AB79" s="108"/>
      <c r="AC79" s="108"/>
      <c r="AD79" s="109"/>
      <c r="AE79" s="42">
        <f>SUM(K79:AD79)</f>
        <v>0</v>
      </c>
      <c r="AF79" s="110"/>
    </row>
    <row r="80" spans="1:32" x14ac:dyDescent="0.25">
      <c r="A80" s="23" t="s">
        <v>633</v>
      </c>
      <c r="B80" s="23" t="s">
        <v>597</v>
      </c>
      <c r="C80" s="23" t="s">
        <v>598</v>
      </c>
      <c r="D80" s="23">
        <v>100</v>
      </c>
      <c r="E80" s="23">
        <v>19</v>
      </c>
      <c r="F80" s="23">
        <v>1.8</v>
      </c>
      <c r="G80" s="23">
        <f>Tabla2[[#This Row],[Calorías x porción]]/Tabla2[[#This Row],[g por porción]]</f>
        <v>0.19</v>
      </c>
      <c r="H80" s="23">
        <f>Tabla2[[#This Row],[Proteína x porción]]/Tabla2[[#This Row],[g por porción]]</f>
        <v>1.8000000000000002E-2</v>
      </c>
      <c r="J80" s="27" t="s">
        <v>546</v>
      </c>
      <c r="K80" s="40" t="s">
        <v>556</v>
      </c>
      <c r="L80" s="40">
        <v>200</v>
      </c>
      <c r="M80" s="41"/>
      <c r="N80" s="41"/>
      <c r="O80" s="40"/>
      <c r="P80" s="40"/>
      <c r="Q80" s="41"/>
      <c r="R80" s="41"/>
      <c r="S80" s="40"/>
      <c r="T80" s="40"/>
      <c r="U80" s="41"/>
      <c r="V80" s="41"/>
      <c r="W80" s="40"/>
      <c r="X80" s="40"/>
      <c r="Y80" s="41"/>
      <c r="Z80" s="41"/>
      <c r="AA80" s="40"/>
      <c r="AB80" s="40"/>
      <c r="AC80" s="41"/>
      <c r="AD80" s="41"/>
      <c r="AE80" s="110" t="s">
        <v>551</v>
      </c>
      <c r="AF80" s="110">
        <v>9</v>
      </c>
    </row>
    <row r="81" spans="1:32" x14ac:dyDescent="0.25">
      <c r="A81" s="23" t="s">
        <v>634</v>
      </c>
      <c r="B81" s="23" t="s">
        <v>564</v>
      </c>
      <c r="C81" s="23" t="s">
        <v>635</v>
      </c>
      <c r="D81" s="23">
        <v>100</v>
      </c>
      <c r="E81" s="23">
        <v>43</v>
      </c>
      <c r="F81" s="23">
        <v>1.61</v>
      </c>
      <c r="G81" s="23">
        <f>Tabla2[[#This Row],[Calorías x porción]]/Tabla2[[#This Row],[g por porción]]</f>
        <v>0.43</v>
      </c>
      <c r="H81" s="23">
        <f>Tabla2[[#This Row],[Proteína x porción]]/Tabla2[[#This Row],[g por porción]]</f>
        <v>1.61E-2</v>
      </c>
      <c r="J81" s="27" t="s">
        <v>561</v>
      </c>
      <c r="K81" s="40" t="s">
        <v>562</v>
      </c>
      <c r="L81" s="40">
        <v>120</v>
      </c>
      <c r="M81" s="41"/>
      <c r="N81" s="41"/>
      <c r="O81" s="40"/>
      <c r="P81" s="40"/>
      <c r="Q81" s="41"/>
      <c r="R81" s="41"/>
      <c r="S81" s="40"/>
      <c r="T81" s="40"/>
      <c r="U81" s="41"/>
      <c r="V81" s="41"/>
      <c r="W81" s="40"/>
      <c r="X81" s="40"/>
      <c r="Y81" s="41"/>
      <c r="Z81" s="41"/>
      <c r="AA81" s="40"/>
      <c r="AB81" s="40"/>
      <c r="AC81" s="41"/>
      <c r="AD81" s="41"/>
      <c r="AE81" s="110"/>
      <c r="AF81" s="110"/>
    </row>
    <row r="82" spans="1:32" x14ac:dyDescent="0.25">
      <c r="A82" s="23" t="s">
        <v>636</v>
      </c>
      <c r="B82" s="23" t="s">
        <v>564</v>
      </c>
      <c r="C82" s="23" t="s">
        <v>626</v>
      </c>
      <c r="D82" s="23">
        <v>100</v>
      </c>
      <c r="E82" s="23">
        <v>85</v>
      </c>
      <c r="F82" s="23">
        <v>1.54</v>
      </c>
      <c r="G82" s="23">
        <f>Tabla2[[#This Row],[Calorías x porción]]/Tabla2[[#This Row],[g por porción]]</f>
        <v>0.85</v>
      </c>
      <c r="H82" s="23">
        <f>Tabla2[[#This Row],[Proteína x porción]]/Tabla2[[#This Row],[g por porción]]</f>
        <v>1.54E-2</v>
      </c>
      <c r="J82" s="27" t="s">
        <v>566</v>
      </c>
      <c r="K82" s="40" t="s">
        <v>567</v>
      </c>
      <c r="L82" s="40">
        <v>90</v>
      </c>
      <c r="M82" s="41"/>
      <c r="N82" s="41"/>
      <c r="O82" s="40"/>
      <c r="P82" s="40"/>
      <c r="Q82" s="41"/>
      <c r="R82" s="41"/>
      <c r="S82" s="40"/>
      <c r="T82" s="40"/>
      <c r="U82" s="41"/>
      <c r="V82" s="41"/>
      <c r="W82" s="40"/>
      <c r="X82" s="40"/>
      <c r="Y82" s="41"/>
      <c r="Z82" s="41"/>
      <c r="AA82" s="40"/>
      <c r="AB82" s="40"/>
      <c r="AC82" s="41"/>
      <c r="AD82" s="41"/>
      <c r="AE82" s="110"/>
      <c r="AF82" s="110"/>
    </row>
    <row r="83" spans="1:32" x14ac:dyDescent="0.25">
      <c r="A83" s="23" t="s">
        <v>637</v>
      </c>
      <c r="B83" s="23" t="s">
        <v>564</v>
      </c>
      <c r="C83" s="23" t="s">
        <v>626</v>
      </c>
      <c r="D83" s="23">
        <v>100</v>
      </c>
      <c r="E83" s="23">
        <v>118</v>
      </c>
      <c r="F83" s="23">
        <v>1.53</v>
      </c>
      <c r="G83" s="23">
        <f>Tabla2[[#This Row],[Calorías x porción]]/Tabla2[[#This Row],[g por porción]]</f>
        <v>1.18</v>
      </c>
      <c r="H83" s="23">
        <f>Tabla2[[#This Row],[Proteína x porción]]/Tabla2[[#This Row],[g por porción]]</f>
        <v>1.5300000000000001E-2</v>
      </c>
      <c r="J83" s="27" t="s">
        <v>571</v>
      </c>
      <c r="K83" s="40" t="s">
        <v>572</v>
      </c>
      <c r="L83" s="40">
        <v>10</v>
      </c>
      <c r="M83" s="41"/>
      <c r="N83" s="41"/>
      <c r="O83" s="40"/>
      <c r="P83" s="40"/>
      <c r="Q83" s="41"/>
      <c r="R83" s="41"/>
      <c r="S83" s="40"/>
      <c r="T83" s="40"/>
      <c r="U83" s="41"/>
      <c r="V83" s="41"/>
      <c r="W83" s="40"/>
      <c r="X83" s="40"/>
      <c r="Y83" s="41"/>
      <c r="Z83" s="41"/>
      <c r="AA83" s="40"/>
      <c r="AB83" s="40"/>
      <c r="AC83" s="41"/>
      <c r="AD83" s="41"/>
      <c r="AE83" s="110"/>
      <c r="AF83" s="110"/>
    </row>
    <row r="84" spans="1:32" x14ac:dyDescent="0.25">
      <c r="A84" s="23" t="s">
        <v>638</v>
      </c>
      <c r="B84" s="23" t="s">
        <v>564</v>
      </c>
      <c r="C84" s="23" t="s">
        <v>626</v>
      </c>
      <c r="D84" s="23">
        <v>100</v>
      </c>
      <c r="E84" s="23">
        <v>112</v>
      </c>
      <c r="F84" s="23">
        <v>1.5</v>
      </c>
      <c r="G84" s="23">
        <f>Tabla2[[#This Row],[Calorías x porción]]/Tabla2[[#This Row],[g por porción]]</f>
        <v>1.1200000000000001</v>
      </c>
      <c r="H84" s="23">
        <f>Tabla2[[#This Row],[Proteína x porción]]/Tabla2[[#This Row],[g por porción]]</f>
        <v>1.4999999999999999E-2</v>
      </c>
      <c r="J84" s="27" t="s">
        <v>574</v>
      </c>
      <c r="K84" s="40"/>
      <c r="L84" s="40"/>
      <c r="M84" s="41"/>
      <c r="N84" s="41"/>
      <c r="O84" s="40"/>
      <c r="P84" s="40"/>
      <c r="Q84" s="41"/>
      <c r="R84" s="41"/>
      <c r="S84" s="40"/>
      <c r="T84" s="40"/>
      <c r="U84" s="41"/>
      <c r="V84" s="41"/>
      <c r="W84" s="40"/>
      <c r="X84" s="40"/>
      <c r="Y84" s="41"/>
      <c r="Z84" s="41"/>
      <c r="AA84" s="40"/>
      <c r="AB84" s="40"/>
      <c r="AC84" s="41"/>
      <c r="AD84" s="41"/>
      <c r="AE84" s="110"/>
      <c r="AF84" s="110"/>
    </row>
    <row r="85" spans="1:32" x14ac:dyDescent="0.25">
      <c r="A85" s="23" t="s">
        <v>639</v>
      </c>
      <c r="B85" s="23" t="s">
        <v>597</v>
      </c>
      <c r="C85" s="23" t="s">
        <v>627</v>
      </c>
      <c r="D85" s="23">
        <v>100</v>
      </c>
      <c r="E85" s="23">
        <v>43</v>
      </c>
      <c r="F85" s="23">
        <v>1.39</v>
      </c>
      <c r="G85" s="23">
        <f>Tabla2[[#This Row],[Calorías x porción]]/Tabla2[[#This Row],[g por porción]]</f>
        <v>0.43</v>
      </c>
      <c r="H85" s="23">
        <f>Tabla2[[#This Row],[Proteína x porción]]/Tabla2[[#This Row],[g por porción]]</f>
        <v>1.3899999999999999E-2</v>
      </c>
      <c r="J85" s="27" t="s">
        <v>545</v>
      </c>
      <c r="K85" s="107">
        <f>SUM(M80:M84)</f>
        <v>0</v>
      </c>
      <c r="L85" s="108"/>
      <c r="M85" s="108"/>
      <c r="N85" s="109"/>
      <c r="O85" s="107">
        <f>SUM(Q80:Q84)</f>
        <v>0</v>
      </c>
      <c r="P85" s="108"/>
      <c r="Q85" s="108"/>
      <c r="R85" s="109"/>
      <c r="S85" s="107">
        <f>SUM(U80:U84)</f>
        <v>0</v>
      </c>
      <c r="T85" s="108"/>
      <c r="U85" s="108"/>
      <c r="V85" s="109"/>
      <c r="W85" s="107">
        <f>SUM(Y80:Y84)</f>
        <v>0</v>
      </c>
      <c r="X85" s="108"/>
      <c r="Y85" s="108"/>
      <c r="Z85" s="109"/>
      <c r="AA85" s="107">
        <f>SUM(AC80:AC84)</f>
        <v>0</v>
      </c>
      <c r="AB85" s="108"/>
      <c r="AC85" s="108"/>
      <c r="AD85" s="109"/>
      <c r="AE85" s="42">
        <f>SUM(K85:AD85)</f>
        <v>0</v>
      </c>
      <c r="AF85" s="110"/>
    </row>
    <row r="86" spans="1:32" x14ac:dyDescent="0.25">
      <c r="A86" s="23" t="s">
        <v>640</v>
      </c>
      <c r="B86" s="23" t="s">
        <v>564</v>
      </c>
      <c r="C86" s="23" t="s">
        <v>626</v>
      </c>
      <c r="D86" s="23">
        <v>100</v>
      </c>
      <c r="E86" s="23">
        <v>160</v>
      </c>
      <c r="F86" s="23">
        <v>1.36</v>
      </c>
      <c r="G86" s="23">
        <f>Tabla2[[#This Row],[Calorías x porción]]/Tabla2[[#This Row],[g por porción]]</f>
        <v>1.6</v>
      </c>
      <c r="H86" s="23">
        <f>Tabla2[[#This Row],[Proteína x porción]]/Tabla2[[#This Row],[g por porción]]</f>
        <v>1.3600000000000001E-2</v>
      </c>
      <c r="J86" s="27" t="s">
        <v>559</v>
      </c>
      <c r="K86" s="107">
        <f>SUM(N80:N84)</f>
        <v>0</v>
      </c>
      <c r="L86" s="108"/>
      <c r="M86" s="108"/>
      <c r="N86" s="109"/>
      <c r="O86" s="107">
        <f>SUM(R80:R84)</f>
        <v>0</v>
      </c>
      <c r="P86" s="108"/>
      <c r="Q86" s="108"/>
      <c r="R86" s="109"/>
      <c r="S86" s="107">
        <f>SUM(V80:V84)</f>
        <v>0</v>
      </c>
      <c r="T86" s="108"/>
      <c r="U86" s="108"/>
      <c r="V86" s="109"/>
      <c r="W86" s="107">
        <f>SUM(Z80:Z84)</f>
        <v>0</v>
      </c>
      <c r="X86" s="108"/>
      <c r="Y86" s="108"/>
      <c r="Z86" s="109"/>
      <c r="AA86" s="107">
        <f>SUM(AD80:AD84)</f>
        <v>0</v>
      </c>
      <c r="AB86" s="108"/>
      <c r="AC86" s="108"/>
      <c r="AD86" s="109"/>
      <c r="AE86" s="42">
        <f>SUM(K86:AD86)</f>
        <v>0</v>
      </c>
      <c r="AF86" s="110"/>
    </row>
    <row r="87" spans="1:32" x14ac:dyDescent="0.25">
      <c r="A87" s="23" t="s">
        <v>641</v>
      </c>
      <c r="B87" s="23" t="s">
        <v>597</v>
      </c>
      <c r="C87" s="23" t="s">
        <v>598</v>
      </c>
      <c r="D87" s="23">
        <v>100</v>
      </c>
      <c r="E87" s="23">
        <v>25</v>
      </c>
      <c r="F87" s="23">
        <v>1.28</v>
      </c>
      <c r="G87" s="23">
        <f>Tabla2[[#This Row],[Calorías x porción]]/Tabla2[[#This Row],[g por porción]]</f>
        <v>0.25</v>
      </c>
      <c r="H87" s="23">
        <f>Tabla2[[#This Row],[Proteína x porción]]/Tabla2[[#This Row],[g por porción]]</f>
        <v>1.2800000000000001E-2</v>
      </c>
      <c r="J87" s="27" t="s">
        <v>546</v>
      </c>
      <c r="K87" s="40" t="s">
        <v>556</v>
      </c>
      <c r="L87" s="40">
        <v>200</v>
      </c>
      <c r="M87" s="41"/>
      <c r="N87" s="41"/>
      <c r="O87" s="40"/>
      <c r="P87" s="40"/>
      <c r="Q87" s="41"/>
      <c r="R87" s="41"/>
      <c r="S87" s="40"/>
      <c r="T87" s="40"/>
      <c r="U87" s="41"/>
      <c r="V87" s="41"/>
      <c r="W87" s="40"/>
      <c r="X87" s="40"/>
      <c r="Y87" s="41"/>
      <c r="Z87" s="41"/>
      <c r="AA87" s="40"/>
      <c r="AB87" s="40"/>
      <c r="AC87" s="41"/>
      <c r="AD87" s="41"/>
      <c r="AE87" s="110" t="s">
        <v>551</v>
      </c>
      <c r="AF87" s="110">
        <v>10</v>
      </c>
    </row>
    <row r="88" spans="1:32" x14ac:dyDescent="0.25">
      <c r="A88" s="23" t="s">
        <v>642</v>
      </c>
      <c r="B88" s="23" t="s">
        <v>564</v>
      </c>
      <c r="C88" s="23" t="s">
        <v>626</v>
      </c>
      <c r="D88" s="23">
        <v>100</v>
      </c>
      <c r="E88" s="23">
        <v>75</v>
      </c>
      <c r="F88" s="23">
        <v>1.2</v>
      </c>
      <c r="G88" s="23">
        <f>Tabla2[[#This Row],[Calorías x porción]]/Tabla2[[#This Row],[g por porción]]</f>
        <v>0.75</v>
      </c>
      <c r="H88" s="23">
        <f>Tabla2[[#This Row],[Proteína x porción]]/Tabla2[[#This Row],[g por porción]]</f>
        <v>1.2E-2</v>
      </c>
      <c r="J88" s="27" t="s">
        <v>561</v>
      </c>
      <c r="K88" s="40" t="s">
        <v>562</v>
      </c>
      <c r="L88" s="40">
        <v>120</v>
      </c>
      <c r="M88" s="41"/>
      <c r="N88" s="41"/>
      <c r="O88" s="40"/>
      <c r="P88" s="40"/>
      <c r="Q88" s="41"/>
      <c r="R88" s="41"/>
      <c r="S88" s="40"/>
      <c r="T88" s="40"/>
      <c r="U88" s="41"/>
      <c r="V88" s="41"/>
      <c r="W88" s="40"/>
      <c r="X88" s="40"/>
      <c r="Y88" s="41"/>
      <c r="Z88" s="41"/>
      <c r="AA88" s="40"/>
      <c r="AB88" s="40"/>
      <c r="AC88" s="41"/>
      <c r="AD88" s="41"/>
      <c r="AE88" s="110"/>
      <c r="AF88" s="110"/>
    </row>
    <row r="89" spans="1:32" x14ac:dyDescent="0.25">
      <c r="A89" s="23" t="s">
        <v>643</v>
      </c>
      <c r="B89" s="23" t="s">
        <v>597</v>
      </c>
      <c r="C89" s="23" t="s">
        <v>627</v>
      </c>
      <c r="D89" s="23">
        <v>100</v>
      </c>
      <c r="E89" s="23">
        <v>52</v>
      </c>
      <c r="F89" s="23">
        <v>1.2</v>
      </c>
      <c r="G89" s="23">
        <f>Tabla2[[#This Row],[Calorías x porción]]/Tabla2[[#This Row],[g por porción]]</f>
        <v>0.52</v>
      </c>
      <c r="H89" s="23">
        <f>Tabla2[[#This Row],[Proteína x porción]]/Tabla2[[#This Row],[g por porción]]</f>
        <v>1.2E-2</v>
      </c>
      <c r="J89" s="27" t="s">
        <v>566</v>
      </c>
      <c r="K89" s="40" t="s">
        <v>567</v>
      </c>
      <c r="L89" s="40">
        <v>90</v>
      </c>
      <c r="M89" s="41"/>
      <c r="N89" s="41"/>
      <c r="O89" s="40"/>
      <c r="P89" s="40"/>
      <c r="Q89" s="41"/>
      <c r="R89" s="41"/>
      <c r="S89" s="40"/>
      <c r="T89" s="40"/>
      <c r="U89" s="41"/>
      <c r="V89" s="41"/>
      <c r="W89" s="40"/>
      <c r="X89" s="40"/>
      <c r="Y89" s="41"/>
      <c r="Z89" s="41"/>
      <c r="AA89" s="40"/>
      <c r="AB89" s="40"/>
      <c r="AC89" s="41"/>
      <c r="AD89" s="41"/>
      <c r="AE89" s="110"/>
      <c r="AF89" s="110"/>
    </row>
    <row r="90" spans="1:32" x14ac:dyDescent="0.25">
      <c r="A90" s="23" t="s">
        <v>644</v>
      </c>
      <c r="B90" s="23" t="s">
        <v>597</v>
      </c>
      <c r="C90" s="23" t="s">
        <v>598</v>
      </c>
      <c r="D90" s="23">
        <v>100</v>
      </c>
      <c r="E90" s="23">
        <v>40</v>
      </c>
      <c r="F90" s="23">
        <v>1.1000000000000001</v>
      </c>
      <c r="G90" s="23">
        <f>Tabla2[[#This Row],[Calorías x porción]]/Tabla2[[#This Row],[g por porción]]</f>
        <v>0.4</v>
      </c>
      <c r="H90" s="23">
        <f>Tabla2[[#This Row],[Proteína x porción]]/Tabla2[[#This Row],[g por porción]]</f>
        <v>1.1000000000000001E-2</v>
      </c>
      <c r="J90" s="27" t="s">
        <v>571</v>
      </c>
      <c r="K90" s="40" t="s">
        <v>572</v>
      </c>
      <c r="L90" s="40">
        <v>10</v>
      </c>
      <c r="M90" s="41"/>
      <c r="N90" s="41"/>
      <c r="O90" s="40"/>
      <c r="P90" s="40"/>
      <c r="Q90" s="41"/>
      <c r="R90" s="41"/>
      <c r="S90" s="40"/>
      <c r="T90" s="40"/>
      <c r="U90" s="41"/>
      <c r="V90" s="41"/>
      <c r="W90" s="40"/>
      <c r="X90" s="40"/>
      <c r="Y90" s="41"/>
      <c r="Z90" s="41"/>
      <c r="AA90" s="40"/>
      <c r="AB90" s="40"/>
      <c r="AC90" s="41"/>
      <c r="AD90" s="41"/>
      <c r="AE90" s="110"/>
      <c r="AF90" s="110"/>
    </row>
    <row r="91" spans="1:32" x14ac:dyDescent="0.25">
      <c r="A91" s="23" t="s">
        <v>645</v>
      </c>
      <c r="B91" s="23" t="s">
        <v>597</v>
      </c>
      <c r="C91" s="23" t="s">
        <v>627</v>
      </c>
      <c r="D91" s="23">
        <v>100</v>
      </c>
      <c r="E91" s="23">
        <v>29</v>
      </c>
      <c r="F91" s="23">
        <v>1.1000000000000001</v>
      </c>
      <c r="G91" s="23">
        <f>Tabla2[[#This Row],[Calorías x porción]]/Tabla2[[#This Row],[g por porción]]</f>
        <v>0.28999999999999998</v>
      </c>
      <c r="H91" s="23">
        <f>Tabla2[[#This Row],[Proteína x porción]]/Tabla2[[#This Row],[g por porción]]</f>
        <v>1.1000000000000001E-2</v>
      </c>
      <c r="J91" s="27" t="s">
        <v>574</v>
      </c>
      <c r="K91" s="40"/>
      <c r="L91" s="40"/>
      <c r="M91" s="41"/>
      <c r="N91" s="41"/>
      <c r="O91" s="40"/>
      <c r="P91" s="40"/>
      <c r="Q91" s="41"/>
      <c r="R91" s="41"/>
      <c r="S91" s="40"/>
      <c r="T91" s="40"/>
      <c r="U91" s="41"/>
      <c r="V91" s="41"/>
      <c r="W91" s="40"/>
      <c r="X91" s="40"/>
      <c r="Y91" s="41"/>
      <c r="Z91" s="41"/>
      <c r="AA91" s="40"/>
      <c r="AB91" s="40"/>
      <c r="AC91" s="41"/>
      <c r="AD91" s="41"/>
      <c r="AE91" s="110"/>
      <c r="AF91" s="110"/>
    </row>
    <row r="92" spans="1:32" x14ac:dyDescent="0.25">
      <c r="A92" s="23" t="s">
        <v>646</v>
      </c>
      <c r="B92" s="23" t="s">
        <v>597</v>
      </c>
      <c r="C92" s="23" t="s">
        <v>627</v>
      </c>
      <c r="D92" s="23">
        <v>100</v>
      </c>
      <c r="E92" s="23">
        <v>63</v>
      </c>
      <c r="F92" s="23">
        <v>1.06</v>
      </c>
      <c r="G92" s="23">
        <f>Tabla2[[#This Row],[Calorías x porción]]/Tabla2[[#This Row],[g por porción]]</f>
        <v>0.63</v>
      </c>
      <c r="H92" s="23">
        <f>Tabla2[[#This Row],[Proteína x porción]]/Tabla2[[#This Row],[g por porción]]</f>
        <v>1.06E-2</v>
      </c>
      <c r="J92" s="27" t="s">
        <v>545</v>
      </c>
      <c r="K92" s="107">
        <f>SUM(M87:M91)</f>
        <v>0</v>
      </c>
      <c r="L92" s="108"/>
      <c r="M92" s="108"/>
      <c r="N92" s="109"/>
      <c r="O92" s="107">
        <f>SUM(Q87:Q91)</f>
        <v>0</v>
      </c>
      <c r="P92" s="108"/>
      <c r="Q92" s="108"/>
      <c r="R92" s="109"/>
      <c r="S92" s="107">
        <f>SUM(U87:U91)</f>
        <v>0</v>
      </c>
      <c r="T92" s="108"/>
      <c r="U92" s="108"/>
      <c r="V92" s="109"/>
      <c r="W92" s="107">
        <f>SUM(Y87:Y91)</f>
        <v>0</v>
      </c>
      <c r="X92" s="108"/>
      <c r="Y92" s="108"/>
      <c r="Z92" s="109"/>
      <c r="AA92" s="107">
        <f>SUM(AC87:AC91)</f>
        <v>0</v>
      </c>
      <c r="AB92" s="108"/>
      <c r="AC92" s="108"/>
      <c r="AD92" s="109"/>
      <c r="AE92" s="42">
        <f>SUM(K92:AD92)</f>
        <v>0</v>
      </c>
      <c r="AF92" s="110"/>
    </row>
    <row r="93" spans="1:32" x14ac:dyDescent="0.25">
      <c r="A93" s="23" t="s">
        <v>647</v>
      </c>
      <c r="B93" s="23" t="s">
        <v>597</v>
      </c>
      <c r="C93" s="23" t="s">
        <v>627</v>
      </c>
      <c r="D93" s="23">
        <v>100</v>
      </c>
      <c r="E93" s="23">
        <v>58</v>
      </c>
      <c r="F93" s="23">
        <v>1.06</v>
      </c>
      <c r="G93" s="23">
        <f>Tabla2[[#This Row],[Calorías x porción]]/Tabla2[[#This Row],[g por porción]]</f>
        <v>0.57999999999999996</v>
      </c>
      <c r="H93" s="23">
        <f>Tabla2[[#This Row],[Proteína x porción]]/Tabla2[[#This Row],[g por porción]]</f>
        <v>1.06E-2</v>
      </c>
      <c r="J93" s="27" t="s">
        <v>559</v>
      </c>
      <c r="K93" s="107">
        <f>SUM(N87:N91)</f>
        <v>0</v>
      </c>
      <c r="L93" s="108"/>
      <c r="M93" s="108"/>
      <c r="N93" s="109"/>
      <c r="O93" s="107">
        <f>SUM(R87:R91)</f>
        <v>0</v>
      </c>
      <c r="P93" s="108"/>
      <c r="Q93" s="108"/>
      <c r="R93" s="109"/>
      <c r="S93" s="107">
        <f>SUM(V87:V91)</f>
        <v>0</v>
      </c>
      <c r="T93" s="108"/>
      <c r="U93" s="108"/>
      <c r="V93" s="109"/>
      <c r="W93" s="107">
        <f>SUM(Z87:Z91)</f>
        <v>0</v>
      </c>
      <c r="X93" s="108"/>
      <c r="Y93" s="108"/>
      <c r="Z93" s="109"/>
      <c r="AA93" s="107">
        <f>SUM(AD87:AD91)</f>
        <v>0</v>
      </c>
      <c r="AB93" s="108"/>
      <c r="AC93" s="108"/>
      <c r="AD93" s="109"/>
      <c r="AE93" s="42">
        <f>SUM(K93:AD93)</f>
        <v>0</v>
      </c>
      <c r="AF93" s="110"/>
    </row>
    <row r="94" spans="1:32" x14ac:dyDescent="0.25">
      <c r="A94" s="23" t="s">
        <v>648</v>
      </c>
      <c r="B94" s="23" t="s">
        <v>597</v>
      </c>
      <c r="C94" s="23" t="s">
        <v>627</v>
      </c>
      <c r="D94" s="23">
        <v>100</v>
      </c>
      <c r="E94" s="23">
        <v>109</v>
      </c>
      <c r="F94" s="23">
        <v>1</v>
      </c>
      <c r="G94" s="23">
        <f>Tabla2[[#This Row],[Calorías x porción]]/Tabla2[[#This Row],[g por porción]]</f>
        <v>1.0900000000000001</v>
      </c>
      <c r="H94" s="23">
        <f>Tabla2[[#This Row],[Proteína x porción]]/Tabla2[[#This Row],[g por porción]]</f>
        <v>0.01</v>
      </c>
      <c r="J94" s="27" t="s">
        <v>546</v>
      </c>
      <c r="K94" s="40" t="s">
        <v>556</v>
      </c>
      <c r="L94" s="40">
        <v>200</v>
      </c>
      <c r="M94" s="41"/>
      <c r="N94" s="41"/>
      <c r="O94" s="40"/>
      <c r="P94" s="40"/>
      <c r="Q94" s="41"/>
      <c r="R94" s="41"/>
      <c r="S94" s="40"/>
      <c r="T94" s="40"/>
      <c r="U94" s="41"/>
      <c r="V94" s="41"/>
      <c r="W94" s="40"/>
      <c r="X94" s="40"/>
      <c r="Y94" s="41"/>
      <c r="Z94" s="41"/>
      <c r="AA94" s="40"/>
      <c r="AB94" s="40"/>
      <c r="AC94" s="41"/>
      <c r="AD94" s="41"/>
      <c r="AE94" s="110" t="s">
        <v>551</v>
      </c>
      <c r="AF94" s="110">
        <v>11</v>
      </c>
    </row>
    <row r="95" spans="1:32" x14ac:dyDescent="0.25">
      <c r="A95" s="23" t="s">
        <v>649</v>
      </c>
      <c r="B95" s="23" t="s">
        <v>564</v>
      </c>
      <c r="C95" s="23" t="s">
        <v>627</v>
      </c>
      <c r="D95" s="23">
        <v>100</v>
      </c>
      <c r="E95" s="23">
        <v>39</v>
      </c>
      <c r="F95" s="23">
        <v>0.91</v>
      </c>
      <c r="G95" s="23">
        <f>Tabla2[[#This Row],[Calorías x porción]]/Tabla2[[#This Row],[g por porción]]</f>
        <v>0.39</v>
      </c>
      <c r="H95" s="23">
        <f>Tabla2[[#This Row],[Proteína x porción]]/Tabla2[[#This Row],[g por porción]]</f>
        <v>9.1000000000000004E-3</v>
      </c>
      <c r="J95" s="27" t="s">
        <v>561</v>
      </c>
      <c r="K95" s="40" t="s">
        <v>562</v>
      </c>
      <c r="L95" s="40">
        <v>120</v>
      </c>
      <c r="M95" s="41"/>
      <c r="N95" s="41"/>
      <c r="O95" s="40"/>
      <c r="P95" s="40"/>
      <c r="Q95" s="41"/>
      <c r="R95" s="41"/>
      <c r="S95" s="40"/>
      <c r="T95" s="40"/>
      <c r="U95" s="41"/>
      <c r="V95" s="41"/>
      <c r="W95" s="40"/>
      <c r="X95" s="40"/>
      <c r="Y95" s="41"/>
      <c r="Z95" s="41"/>
      <c r="AA95" s="40"/>
      <c r="AB95" s="40"/>
      <c r="AC95" s="41"/>
      <c r="AD95" s="41"/>
      <c r="AE95" s="110"/>
      <c r="AF95" s="110"/>
    </row>
    <row r="96" spans="1:32" x14ac:dyDescent="0.25">
      <c r="A96" s="23" t="s">
        <v>650</v>
      </c>
      <c r="B96" s="23" t="s">
        <v>564</v>
      </c>
      <c r="C96" s="23" t="s">
        <v>626</v>
      </c>
      <c r="D96" s="23">
        <v>100</v>
      </c>
      <c r="E96" s="23">
        <v>28</v>
      </c>
      <c r="F96" s="23">
        <v>0.9</v>
      </c>
      <c r="G96" s="23">
        <f>Tabla2[[#This Row],[Calorías x porción]]/Tabla2[[#This Row],[g por porción]]</f>
        <v>0.28000000000000003</v>
      </c>
      <c r="H96" s="23">
        <f>Tabla2[[#This Row],[Proteína x porción]]/Tabla2[[#This Row],[g por porción]]</f>
        <v>9.0000000000000011E-3</v>
      </c>
      <c r="J96" s="27" t="s">
        <v>566</v>
      </c>
      <c r="K96" s="40" t="s">
        <v>567</v>
      </c>
      <c r="L96" s="40">
        <v>90</v>
      </c>
      <c r="M96" s="41"/>
      <c r="N96" s="41"/>
      <c r="O96" s="40"/>
      <c r="P96" s="40"/>
      <c r="Q96" s="41"/>
      <c r="R96" s="41"/>
      <c r="S96" s="40"/>
      <c r="T96" s="40"/>
      <c r="U96" s="41"/>
      <c r="V96" s="41"/>
      <c r="W96" s="40"/>
      <c r="X96" s="40"/>
      <c r="Y96" s="41"/>
      <c r="Z96" s="41"/>
      <c r="AA96" s="40"/>
      <c r="AB96" s="40"/>
      <c r="AC96" s="41"/>
      <c r="AD96" s="41"/>
      <c r="AE96" s="110"/>
      <c r="AF96" s="110"/>
    </row>
    <row r="97" spans="1:32" x14ac:dyDescent="0.25">
      <c r="A97" s="23" t="s">
        <v>651</v>
      </c>
      <c r="B97" s="23" t="s">
        <v>597</v>
      </c>
      <c r="C97" s="23" t="s">
        <v>598</v>
      </c>
      <c r="D97" s="23">
        <v>100</v>
      </c>
      <c r="E97" s="23">
        <v>14</v>
      </c>
      <c r="F97" s="23">
        <v>0.9</v>
      </c>
      <c r="G97" s="23">
        <f>Tabla2[[#This Row],[Calorías x porción]]/Tabla2[[#This Row],[g por porción]]</f>
        <v>0.14000000000000001</v>
      </c>
      <c r="H97" s="23">
        <f>Tabla2[[#This Row],[Proteína x porción]]/Tabla2[[#This Row],[g por porción]]</f>
        <v>9.0000000000000011E-3</v>
      </c>
      <c r="J97" s="27" t="s">
        <v>571</v>
      </c>
      <c r="K97" s="40" t="s">
        <v>572</v>
      </c>
      <c r="L97" s="40">
        <v>10</v>
      </c>
      <c r="M97" s="41"/>
      <c r="N97" s="41"/>
      <c r="O97" s="40"/>
      <c r="P97" s="40"/>
      <c r="Q97" s="41"/>
      <c r="R97" s="41"/>
      <c r="S97" s="40"/>
      <c r="T97" s="40"/>
      <c r="U97" s="41"/>
      <c r="V97" s="41"/>
      <c r="W97" s="40"/>
      <c r="X97" s="40"/>
      <c r="Y97" s="41"/>
      <c r="Z97" s="41"/>
      <c r="AA97" s="40"/>
      <c r="AB97" s="40"/>
      <c r="AC97" s="41"/>
      <c r="AD97" s="41"/>
      <c r="AE97" s="110"/>
      <c r="AF97" s="110"/>
    </row>
    <row r="98" spans="1:32" x14ac:dyDescent="0.25">
      <c r="A98" s="23" t="s">
        <v>652</v>
      </c>
      <c r="B98" s="23" t="s">
        <v>597</v>
      </c>
      <c r="C98" s="23" t="s">
        <v>598</v>
      </c>
      <c r="D98" s="23">
        <v>100</v>
      </c>
      <c r="E98" s="23">
        <v>18</v>
      </c>
      <c r="F98" s="23">
        <v>0.88</v>
      </c>
      <c r="G98" s="23">
        <f>Tabla2[[#This Row],[Calorías x porción]]/Tabla2[[#This Row],[g por porción]]</f>
        <v>0.18</v>
      </c>
      <c r="H98" s="23">
        <f>Tabla2[[#This Row],[Proteína x porción]]/Tabla2[[#This Row],[g por porción]]</f>
        <v>8.8000000000000005E-3</v>
      </c>
      <c r="J98" s="27" t="s">
        <v>574</v>
      </c>
      <c r="K98" s="40"/>
      <c r="L98" s="40"/>
      <c r="M98" s="41"/>
      <c r="N98" s="41"/>
      <c r="O98" s="40"/>
      <c r="P98" s="40"/>
      <c r="Q98" s="41"/>
      <c r="R98" s="41"/>
      <c r="S98" s="40"/>
      <c r="T98" s="40"/>
      <c r="U98" s="41"/>
      <c r="V98" s="41"/>
      <c r="W98" s="40"/>
      <c r="X98" s="40"/>
      <c r="Y98" s="41"/>
      <c r="Z98" s="41"/>
      <c r="AA98" s="40"/>
      <c r="AB98" s="40"/>
      <c r="AC98" s="41"/>
      <c r="AD98" s="41"/>
      <c r="AE98" s="110"/>
      <c r="AF98" s="110"/>
    </row>
    <row r="99" spans="1:32" x14ac:dyDescent="0.25">
      <c r="A99" s="23" t="s">
        <v>653</v>
      </c>
      <c r="B99" s="23" t="s">
        <v>597</v>
      </c>
      <c r="C99" s="23" t="s">
        <v>627</v>
      </c>
      <c r="D99" s="23">
        <v>100</v>
      </c>
      <c r="E99" s="23">
        <v>37</v>
      </c>
      <c r="F99" s="23">
        <v>0.88</v>
      </c>
      <c r="G99" s="23">
        <f>Tabla2[[#This Row],[Calorías x porción]]/Tabla2[[#This Row],[g por porción]]</f>
        <v>0.37</v>
      </c>
      <c r="H99" s="23">
        <f>Tabla2[[#This Row],[Proteína x porción]]/Tabla2[[#This Row],[g por porción]]</f>
        <v>8.8000000000000005E-3</v>
      </c>
      <c r="J99" s="27" t="s">
        <v>545</v>
      </c>
      <c r="K99" s="107">
        <f>SUM(M94:M98)</f>
        <v>0</v>
      </c>
      <c r="L99" s="108"/>
      <c r="M99" s="108"/>
      <c r="N99" s="109"/>
      <c r="O99" s="107">
        <f>SUM(Q94:Q98)</f>
        <v>0</v>
      </c>
      <c r="P99" s="108"/>
      <c r="Q99" s="108"/>
      <c r="R99" s="109"/>
      <c r="S99" s="107">
        <f>SUM(U94:U98)</f>
        <v>0</v>
      </c>
      <c r="T99" s="108"/>
      <c r="U99" s="108"/>
      <c r="V99" s="109"/>
      <c r="W99" s="107">
        <f>SUM(Y94:Y98)</f>
        <v>0</v>
      </c>
      <c r="X99" s="108"/>
      <c r="Y99" s="108"/>
      <c r="Z99" s="109"/>
      <c r="AA99" s="107">
        <f>SUM(AC94:AC98)</f>
        <v>0</v>
      </c>
      <c r="AB99" s="108"/>
      <c r="AC99" s="108"/>
      <c r="AD99" s="109"/>
      <c r="AE99" s="42">
        <f>SUM(K99:AD99)</f>
        <v>0</v>
      </c>
      <c r="AF99" s="110"/>
    </row>
    <row r="100" spans="1:32" x14ac:dyDescent="0.25">
      <c r="A100" s="23" t="s">
        <v>654</v>
      </c>
      <c r="B100" s="23" t="s">
        <v>554</v>
      </c>
      <c r="C100" s="23" t="s">
        <v>600</v>
      </c>
      <c r="D100" s="23">
        <v>100</v>
      </c>
      <c r="E100" s="23">
        <v>717</v>
      </c>
      <c r="F100" s="23">
        <v>0.85</v>
      </c>
      <c r="G100" s="23">
        <f>Tabla2[[#This Row],[Calorías x porción]]/Tabla2[[#This Row],[g por porción]]</f>
        <v>7.17</v>
      </c>
      <c r="H100" s="23">
        <f>Tabla2[[#This Row],[Proteína x porción]]/Tabla2[[#This Row],[g por porción]]</f>
        <v>8.5000000000000006E-3</v>
      </c>
      <c r="J100" s="27" t="s">
        <v>559</v>
      </c>
      <c r="K100" s="107">
        <f>SUM(N94:N98)</f>
        <v>0</v>
      </c>
      <c r="L100" s="108"/>
      <c r="M100" s="108"/>
      <c r="N100" s="109"/>
      <c r="O100" s="107">
        <f>SUM(R94:R98)</f>
        <v>0</v>
      </c>
      <c r="P100" s="108"/>
      <c r="Q100" s="108"/>
      <c r="R100" s="109"/>
      <c r="S100" s="107">
        <f>SUM(V94:V98)</f>
        <v>0</v>
      </c>
      <c r="T100" s="108"/>
      <c r="U100" s="108"/>
      <c r="V100" s="109"/>
      <c r="W100" s="107">
        <f>SUM(Z94:Z98)</f>
        <v>0</v>
      </c>
      <c r="X100" s="108"/>
      <c r="Y100" s="108"/>
      <c r="Z100" s="109"/>
      <c r="AA100" s="107">
        <f>SUM(AD94:AD98)</f>
        <v>0</v>
      </c>
      <c r="AB100" s="108"/>
      <c r="AC100" s="108"/>
      <c r="AD100" s="109"/>
      <c r="AE100" s="42">
        <f>SUM(K100:AD100)</f>
        <v>0</v>
      </c>
      <c r="AF100" s="110"/>
    </row>
    <row r="101" spans="1:32" x14ac:dyDescent="0.25">
      <c r="A101" s="23" t="s">
        <v>655</v>
      </c>
      <c r="B101" s="23" t="s">
        <v>597</v>
      </c>
      <c r="C101" s="23" t="s">
        <v>627</v>
      </c>
      <c r="D101" s="23">
        <v>100</v>
      </c>
      <c r="E101" s="23">
        <v>34</v>
      </c>
      <c r="F101" s="23">
        <v>0.84</v>
      </c>
      <c r="G101" s="23">
        <f>Tabla2[[#This Row],[Calorías x porción]]/Tabla2[[#This Row],[g por porción]]</f>
        <v>0.34</v>
      </c>
      <c r="H101" s="23">
        <f>Tabla2[[#This Row],[Proteína x porción]]/Tabla2[[#This Row],[g por porción]]</f>
        <v>8.3999999999999995E-3</v>
      </c>
      <c r="J101" s="27" t="s">
        <v>546</v>
      </c>
      <c r="K101" s="40" t="s">
        <v>556</v>
      </c>
      <c r="L101" s="40">
        <v>200</v>
      </c>
      <c r="M101" s="41"/>
      <c r="N101" s="41"/>
      <c r="O101" s="40"/>
      <c r="P101" s="40"/>
      <c r="Q101" s="41"/>
      <c r="R101" s="41"/>
      <c r="S101" s="40"/>
      <c r="T101" s="40"/>
      <c r="U101" s="41"/>
      <c r="V101" s="41"/>
      <c r="W101" s="40"/>
      <c r="X101" s="40"/>
      <c r="Y101" s="41"/>
      <c r="Z101" s="41"/>
      <c r="AA101" s="40"/>
      <c r="AB101" s="40"/>
      <c r="AC101" s="41"/>
      <c r="AD101" s="41"/>
      <c r="AE101" s="110" t="s">
        <v>551</v>
      </c>
      <c r="AF101" s="110">
        <v>12</v>
      </c>
    </row>
    <row r="102" spans="1:32" x14ac:dyDescent="0.25">
      <c r="A102" s="23" t="s">
        <v>656</v>
      </c>
      <c r="B102" s="23" t="s">
        <v>597</v>
      </c>
      <c r="C102" s="23" t="s">
        <v>627</v>
      </c>
      <c r="D102" s="23">
        <v>100</v>
      </c>
      <c r="E102" s="23">
        <v>53</v>
      </c>
      <c r="F102" s="23">
        <v>0.81</v>
      </c>
      <c r="G102" s="23">
        <f>Tabla2[[#This Row],[Calorías x porción]]/Tabla2[[#This Row],[g por porción]]</f>
        <v>0.53</v>
      </c>
      <c r="H102" s="23">
        <f>Tabla2[[#This Row],[Proteína x porción]]/Tabla2[[#This Row],[g por porción]]</f>
        <v>8.1000000000000013E-3</v>
      </c>
      <c r="J102" s="27" t="s">
        <v>561</v>
      </c>
      <c r="K102" s="40" t="s">
        <v>562</v>
      </c>
      <c r="L102" s="40">
        <v>120</v>
      </c>
      <c r="M102" s="41"/>
      <c r="N102" s="41"/>
      <c r="O102" s="40"/>
      <c r="P102" s="40"/>
      <c r="Q102" s="41"/>
      <c r="R102" s="41"/>
      <c r="S102" s="40"/>
      <c r="T102" s="40"/>
      <c r="U102" s="41"/>
      <c r="V102" s="41"/>
      <c r="W102" s="40"/>
      <c r="X102" s="40"/>
      <c r="Y102" s="41"/>
      <c r="Z102" s="41"/>
      <c r="AA102" s="40"/>
      <c r="AB102" s="40"/>
      <c r="AC102" s="41"/>
      <c r="AD102" s="41"/>
      <c r="AE102" s="110"/>
      <c r="AF102" s="110"/>
    </row>
    <row r="103" spans="1:32" x14ac:dyDescent="0.25">
      <c r="A103" s="23" t="s">
        <v>657</v>
      </c>
      <c r="B103" s="23" t="s">
        <v>597</v>
      </c>
      <c r="C103" s="23" t="s">
        <v>627</v>
      </c>
      <c r="D103" s="23">
        <v>100</v>
      </c>
      <c r="E103" s="23">
        <v>74</v>
      </c>
      <c r="F103" s="23">
        <v>0.75</v>
      </c>
      <c r="G103" s="23">
        <f>Tabla2[[#This Row],[Calorías x porción]]/Tabla2[[#This Row],[g por porción]]</f>
        <v>0.74</v>
      </c>
      <c r="H103" s="23">
        <f>Tabla2[[#This Row],[Proteína x porción]]/Tabla2[[#This Row],[g por porción]]</f>
        <v>7.4999999999999997E-3</v>
      </c>
      <c r="J103" s="27" t="s">
        <v>566</v>
      </c>
      <c r="K103" s="40" t="s">
        <v>567</v>
      </c>
      <c r="L103" s="40">
        <v>90</v>
      </c>
      <c r="M103" s="41"/>
      <c r="N103" s="41"/>
      <c r="O103" s="40"/>
      <c r="P103" s="40"/>
      <c r="Q103" s="41"/>
      <c r="R103" s="41"/>
      <c r="S103" s="40"/>
      <c r="T103" s="40"/>
      <c r="U103" s="41"/>
      <c r="V103" s="41"/>
      <c r="W103" s="40"/>
      <c r="X103" s="40"/>
      <c r="Y103" s="41"/>
      <c r="Z103" s="41"/>
      <c r="AA103" s="40"/>
      <c r="AB103" s="40"/>
      <c r="AC103" s="41"/>
      <c r="AD103" s="41"/>
      <c r="AE103" s="110"/>
      <c r="AF103" s="110"/>
    </row>
    <row r="104" spans="1:32" x14ac:dyDescent="0.25">
      <c r="A104" s="23" t="s">
        <v>658</v>
      </c>
      <c r="B104" s="23" t="s">
        <v>597</v>
      </c>
      <c r="C104" s="23" t="s">
        <v>627</v>
      </c>
      <c r="D104" s="23">
        <v>100</v>
      </c>
      <c r="E104" s="23">
        <v>57</v>
      </c>
      <c r="F104" s="23">
        <v>0.74</v>
      </c>
      <c r="G104" s="23">
        <f>Tabla2[[#This Row],[Calorías x porción]]/Tabla2[[#This Row],[g por porción]]</f>
        <v>0.56999999999999995</v>
      </c>
      <c r="H104" s="23">
        <f>Tabla2[[#This Row],[Proteína x porción]]/Tabla2[[#This Row],[g por porción]]</f>
        <v>7.4000000000000003E-3</v>
      </c>
      <c r="J104" s="27" t="s">
        <v>571</v>
      </c>
      <c r="K104" s="40" t="s">
        <v>572</v>
      </c>
      <c r="L104" s="40">
        <v>10</v>
      </c>
      <c r="M104" s="41"/>
      <c r="N104" s="41"/>
      <c r="O104" s="40"/>
      <c r="P104" s="40"/>
      <c r="Q104" s="41"/>
      <c r="R104" s="41"/>
      <c r="S104" s="40"/>
      <c r="T104" s="40"/>
      <c r="U104" s="41"/>
      <c r="V104" s="41"/>
      <c r="W104" s="40"/>
      <c r="X104" s="40"/>
      <c r="Y104" s="41"/>
      <c r="Z104" s="41"/>
      <c r="AA104" s="40"/>
      <c r="AB104" s="40"/>
      <c r="AC104" s="41"/>
      <c r="AD104" s="41"/>
      <c r="AE104" s="110"/>
      <c r="AF104" s="110"/>
    </row>
    <row r="105" spans="1:32" x14ac:dyDescent="0.25">
      <c r="A105" s="23" t="s">
        <v>659</v>
      </c>
      <c r="B105" s="23" t="s">
        <v>564</v>
      </c>
      <c r="C105" s="23" t="s">
        <v>626</v>
      </c>
      <c r="D105" s="23">
        <v>100</v>
      </c>
      <c r="E105" s="23">
        <v>38</v>
      </c>
      <c r="F105" s="23">
        <v>0.72</v>
      </c>
      <c r="G105" s="23">
        <f>Tabla2[[#This Row],[Calorías x porción]]/Tabla2[[#This Row],[g por porción]]</f>
        <v>0.38</v>
      </c>
      <c r="H105" s="23">
        <f>Tabla2[[#This Row],[Proteína x porción]]/Tabla2[[#This Row],[g por porción]]</f>
        <v>7.1999999999999998E-3</v>
      </c>
      <c r="J105" s="27" t="s">
        <v>574</v>
      </c>
      <c r="K105" s="40"/>
      <c r="L105" s="40"/>
      <c r="M105" s="41"/>
      <c r="N105" s="41"/>
      <c r="O105" s="40"/>
      <c r="P105" s="40"/>
      <c r="Q105" s="41"/>
      <c r="R105" s="41"/>
      <c r="S105" s="40"/>
      <c r="T105" s="40"/>
      <c r="U105" s="41"/>
      <c r="V105" s="41"/>
      <c r="W105" s="40"/>
      <c r="X105" s="40"/>
      <c r="Y105" s="41"/>
      <c r="Z105" s="41"/>
      <c r="AA105" s="40"/>
      <c r="AB105" s="40"/>
      <c r="AC105" s="41"/>
      <c r="AD105" s="41"/>
      <c r="AE105" s="110"/>
      <c r="AF105" s="110"/>
    </row>
    <row r="106" spans="1:32" x14ac:dyDescent="0.25">
      <c r="A106" s="23" t="s">
        <v>660</v>
      </c>
      <c r="B106" s="23" t="s">
        <v>597</v>
      </c>
      <c r="C106" s="23" t="s">
        <v>627</v>
      </c>
      <c r="D106" s="23">
        <v>100</v>
      </c>
      <c r="E106" s="23">
        <v>61</v>
      </c>
      <c r="F106" s="23">
        <v>0.71</v>
      </c>
      <c r="G106" s="23">
        <f>Tabla2[[#This Row],[Calorías x porción]]/Tabla2[[#This Row],[g por porción]]</f>
        <v>0.61</v>
      </c>
      <c r="H106" s="23">
        <f>Tabla2[[#This Row],[Proteína x porción]]/Tabla2[[#This Row],[g por porción]]</f>
        <v>7.0999999999999995E-3</v>
      </c>
      <c r="J106" s="27" t="s">
        <v>545</v>
      </c>
      <c r="K106" s="107">
        <f>SUM(M101:M105)</f>
        <v>0</v>
      </c>
      <c r="L106" s="108"/>
      <c r="M106" s="108"/>
      <c r="N106" s="109"/>
      <c r="O106" s="107">
        <f>SUM(Q101:Q105)</f>
        <v>0</v>
      </c>
      <c r="P106" s="108"/>
      <c r="Q106" s="108"/>
      <c r="R106" s="109"/>
      <c r="S106" s="107">
        <f>SUM(U101:U105)</f>
        <v>0</v>
      </c>
      <c r="T106" s="108"/>
      <c r="U106" s="108"/>
      <c r="V106" s="109"/>
      <c r="W106" s="107">
        <f>SUM(Y101:Y105)</f>
        <v>0</v>
      </c>
      <c r="X106" s="108"/>
      <c r="Y106" s="108"/>
      <c r="Z106" s="109"/>
      <c r="AA106" s="107">
        <f>SUM(AC101:AC105)</f>
        <v>0</v>
      </c>
      <c r="AB106" s="108"/>
      <c r="AC106" s="108"/>
      <c r="AD106" s="109"/>
      <c r="AE106" s="42">
        <f>SUM(K106:AD106)</f>
        <v>0</v>
      </c>
      <c r="AF106" s="110"/>
    </row>
    <row r="107" spans="1:32" x14ac:dyDescent="0.25">
      <c r="A107" s="23" t="s">
        <v>583</v>
      </c>
      <c r="B107" s="23" t="s">
        <v>597</v>
      </c>
      <c r="C107" s="23" t="s">
        <v>627</v>
      </c>
      <c r="D107" s="23">
        <v>100</v>
      </c>
      <c r="E107" s="23">
        <v>46</v>
      </c>
      <c r="F107" s="23">
        <v>0.7</v>
      </c>
      <c r="G107" s="23">
        <f>Tabla2[[#This Row],[Calorías x porción]]/Tabla2[[#This Row],[g por porción]]</f>
        <v>0.46</v>
      </c>
      <c r="H107" s="23">
        <f>Tabla2[[#This Row],[Proteína x porción]]/Tabla2[[#This Row],[g por porción]]</f>
        <v>6.9999999999999993E-3</v>
      </c>
      <c r="J107" s="27" t="s">
        <v>559</v>
      </c>
      <c r="K107" s="107">
        <f>SUM(N101:N105)</f>
        <v>0</v>
      </c>
      <c r="L107" s="108"/>
      <c r="M107" s="108"/>
      <c r="N107" s="109"/>
      <c r="O107" s="107">
        <f>SUM(R101:R105)</f>
        <v>0</v>
      </c>
      <c r="P107" s="108"/>
      <c r="Q107" s="108"/>
      <c r="R107" s="109"/>
      <c r="S107" s="107">
        <f>SUM(V101:V105)</f>
        <v>0</v>
      </c>
      <c r="T107" s="108"/>
      <c r="U107" s="108"/>
      <c r="V107" s="109"/>
      <c r="W107" s="107">
        <f>SUM(Z101:Z105)</f>
        <v>0</v>
      </c>
      <c r="X107" s="108"/>
      <c r="Y107" s="108"/>
      <c r="Z107" s="109"/>
      <c r="AA107" s="107">
        <f>SUM(AD101:AD105)</f>
        <v>0</v>
      </c>
      <c r="AB107" s="108"/>
      <c r="AC107" s="108"/>
      <c r="AD107" s="109"/>
      <c r="AE107" s="42">
        <f>SUM(K107:AD107)</f>
        <v>0</v>
      </c>
      <c r="AF107" s="110"/>
    </row>
    <row r="108" spans="1:32" x14ac:dyDescent="0.25">
      <c r="A108" s="23" t="s">
        <v>661</v>
      </c>
      <c r="B108" s="23" t="s">
        <v>597</v>
      </c>
      <c r="C108" s="23" t="s">
        <v>627</v>
      </c>
      <c r="D108" s="23">
        <v>100</v>
      </c>
      <c r="E108" s="23">
        <v>30</v>
      </c>
      <c r="F108" s="23">
        <v>0.7</v>
      </c>
      <c r="G108" s="23">
        <f>Tabla2[[#This Row],[Calorías x porción]]/Tabla2[[#This Row],[g por porción]]</f>
        <v>0.3</v>
      </c>
      <c r="H108" s="23">
        <f>Tabla2[[#This Row],[Proteína x porción]]/Tabla2[[#This Row],[g por porción]]</f>
        <v>6.9999999999999993E-3</v>
      </c>
      <c r="J108" s="27" t="s">
        <v>546</v>
      </c>
      <c r="K108" s="40" t="s">
        <v>556</v>
      </c>
      <c r="L108" s="40">
        <v>200</v>
      </c>
      <c r="M108" s="41"/>
      <c r="N108" s="41"/>
      <c r="O108" s="40"/>
      <c r="P108" s="40"/>
      <c r="Q108" s="41"/>
      <c r="R108" s="41"/>
      <c r="S108" s="40"/>
      <c r="T108" s="40"/>
      <c r="U108" s="41"/>
      <c r="V108" s="41"/>
      <c r="W108" s="40"/>
      <c r="X108" s="40"/>
      <c r="Y108" s="41"/>
      <c r="Z108" s="41"/>
      <c r="AA108" s="40"/>
      <c r="AB108" s="40"/>
      <c r="AC108" s="41"/>
      <c r="AD108" s="41"/>
      <c r="AE108" s="110" t="s">
        <v>551</v>
      </c>
      <c r="AF108" s="110">
        <v>13</v>
      </c>
    </row>
    <row r="109" spans="1:32" x14ac:dyDescent="0.25">
      <c r="A109" s="23" t="s">
        <v>662</v>
      </c>
      <c r="B109" s="23" t="s">
        <v>564</v>
      </c>
      <c r="C109" s="23" t="s">
        <v>626</v>
      </c>
      <c r="D109" s="23">
        <v>100</v>
      </c>
      <c r="E109" s="23">
        <v>16</v>
      </c>
      <c r="F109" s="23">
        <v>0.68</v>
      </c>
      <c r="G109" s="23">
        <f>Tabla2[[#This Row],[Calorías x porción]]/Tabla2[[#This Row],[g por porción]]</f>
        <v>0.16</v>
      </c>
      <c r="H109" s="23">
        <f>Tabla2[[#This Row],[Proteína x porción]]/Tabla2[[#This Row],[g por porción]]</f>
        <v>6.8000000000000005E-3</v>
      </c>
      <c r="J109" s="27" t="s">
        <v>561</v>
      </c>
      <c r="K109" s="40" t="s">
        <v>562</v>
      </c>
      <c r="L109" s="40">
        <v>120</v>
      </c>
      <c r="M109" s="41"/>
      <c r="N109" s="41"/>
      <c r="O109" s="40"/>
      <c r="P109" s="40"/>
      <c r="Q109" s="41"/>
      <c r="R109" s="41"/>
      <c r="S109" s="40"/>
      <c r="T109" s="40"/>
      <c r="U109" s="41"/>
      <c r="V109" s="41"/>
      <c r="W109" s="40"/>
      <c r="X109" s="40"/>
      <c r="Y109" s="41"/>
      <c r="Z109" s="41"/>
      <c r="AA109" s="40"/>
      <c r="AB109" s="40"/>
      <c r="AC109" s="41"/>
      <c r="AD109" s="41"/>
      <c r="AE109" s="110"/>
      <c r="AF109" s="110"/>
    </row>
    <row r="110" spans="1:32" x14ac:dyDescent="0.25">
      <c r="A110" s="23" t="s">
        <v>663</v>
      </c>
      <c r="B110" s="23" t="s">
        <v>564</v>
      </c>
      <c r="C110" s="23" t="s">
        <v>626</v>
      </c>
      <c r="D110" s="23">
        <v>100</v>
      </c>
      <c r="E110" s="23">
        <v>38</v>
      </c>
      <c r="F110" s="23">
        <v>0.67</v>
      </c>
      <c r="G110" s="23">
        <f>Tabla2[[#This Row],[Calorías x porción]]/Tabla2[[#This Row],[g por porción]]</f>
        <v>0.38</v>
      </c>
      <c r="H110" s="23">
        <f>Tabla2[[#This Row],[Proteína x porción]]/Tabla2[[#This Row],[g por porción]]</f>
        <v>6.7000000000000002E-3</v>
      </c>
      <c r="J110" s="27" t="s">
        <v>566</v>
      </c>
      <c r="K110" s="40" t="s">
        <v>567</v>
      </c>
      <c r="L110" s="40">
        <v>90</v>
      </c>
      <c r="M110" s="41"/>
      <c r="N110" s="41"/>
      <c r="O110" s="40"/>
      <c r="P110" s="40"/>
      <c r="Q110" s="41"/>
      <c r="R110" s="41"/>
      <c r="S110" s="40"/>
      <c r="T110" s="40"/>
      <c r="U110" s="41"/>
      <c r="V110" s="41"/>
      <c r="W110" s="40"/>
      <c r="X110" s="40"/>
      <c r="Y110" s="41"/>
      <c r="Z110" s="41"/>
      <c r="AA110" s="40"/>
      <c r="AB110" s="40"/>
      <c r="AC110" s="41"/>
      <c r="AD110" s="41"/>
      <c r="AE110" s="110"/>
      <c r="AF110" s="110"/>
    </row>
    <row r="111" spans="1:32" x14ac:dyDescent="0.25">
      <c r="A111" s="23" t="s">
        <v>664</v>
      </c>
      <c r="B111" s="23" t="s">
        <v>597</v>
      </c>
      <c r="C111" s="23" t="s">
        <v>627</v>
      </c>
      <c r="D111" s="23">
        <v>100</v>
      </c>
      <c r="E111" s="23">
        <v>32</v>
      </c>
      <c r="F111" s="23">
        <v>0.67</v>
      </c>
      <c r="G111" s="23">
        <f>Tabla2[[#This Row],[Calorías x porción]]/Tabla2[[#This Row],[g por porción]]</f>
        <v>0.32</v>
      </c>
      <c r="H111" s="23">
        <f>Tabla2[[#This Row],[Proteína x porción]]/Tabla2[[#This Row],[g por porción]]</f>
        <v>6.7000000000000002E-3</v>
      </c>
      <c r="J111" s="27" t="s">
        <v>571</v>
      </c>
      <c r="K111" s="40" t="s">
        <v>572</v>
      </c>
      <c r="L111" s="40">
        <v>10</v>
      </c>
      <c r="M111" s="41"/>
      <c r="N111" s="41"/>
      <c r="O111" s="40"/>
      <c r="P111" s="40"/>
      <c r="Q111" s="41"/>
      <c r="R111" s="41"/>
      <c r="S111" s="40"/>
      <c r="T111" s="40"/>
      <c r="U111" s="41"/>
      <c r="V111" s="41"/>
      <c r="W111" s="40"/>
      <c r="X111" s="40"/>
      <c r="Y111" s="41"/>
      <c r="Z111" s="41"/>
      <c r="AA111" s="40"/>
      <c r="AB111" s="40"/>
      <c r="AC111" s="41"/>
      <c r="AD111" s="41"/>
      <c r="AE111" s="110"/>
      <c r="AF111" s="110"/>
    </row>
    <row r="112" spans="1:32" x14ac:dyDescent="0.25">
      <c r="A112" s="23" t="s">
        <v>665</v>
      </c>
      <c r="B112" s="23" t="s">
        <v>597</v>
      </c>
      <c r="C112" s="23" t="s">
        <v>627</v>
      </c>
      <c r="D112" s="23">
        <v>100</v>
      </c>
      <c r="E112" s="23">
        <v>30</v>
      </c>
      <c r="F112" s="23">
        <v>0.61</v>
      </c>
      <c r="G112" s="23">
        <f>Tabla2[[#This Row],[Calorías x porción]]/Tabla2[[#This Row],[g por porción]]</f>
        <v>0.3</v>
      </c>
      <c r="H112" s="23">
        <f>Tabla2[[#This Row],[Proteína x porción]]/Tabla2[[#This Row],[g por porción]]</f>
        <v>6.0999999999999995E-3</v>
      </c>
      <c r="J112" s="27" t="s">
        <v>574</v>
      </c>
      <c r="K112" s="40"/>
      <c r="L112" s="40"/>
      <c r="M112" s="41"/>
      <c r="N112" s="41"/>
      <c r="O112" s="40"/>
      <c r="P112" s="40"/>
      <c r="Q112" s="41"/>
      <c r="R112" s="41"/>
      <c r="S112" s="40"/>
      <c r="T112" s="40"/>
      <c r="U112" s="41"/>
      <c r="V112" s="41"/>
      <c r="W112" s="40"/>
      <c r="X112" s="40"/>
      <c r="Y112" s="41"/>
      <c r="Z112" s="41"/>
      <c r="AA112" s="40"/>
      <c r="AB112" s="40"/>
      <c r="AC112" s="41"/>
      <c r="AD112" s="41"/>
      <c r="AE112" s="110"/>
      <c r="AF112" s="110"/>
    </row>
    <row r="113" spans="1:32" x14ac:dyDescent="0.25">
      <c r="A113" s="23" t="s">
        <v>666</v>
      </c>
      <c r="B113" s="23" t="s">
        <v>564</v>
      </c>
      <c r="C113" s="23" t="s">
        <v>609</v>
      </c>
      <c r="D113" s="23">
        <v>100</v>
      </c>
      <c r="E113" s="23">
        <v>15</v>
      </c>
      <c r="F113" s="23">
        <v>0.55000000000000004</v>
      </c>
      <c r="G113" s="23">
        <f>Tabla2[[#This Row],[Calorías x porción]]/Tabla2[[#This Row],[g por porción]]</f>
        <v>0.15</v>
      </c>
      <c r="H113" s="23">
        <f>Tabla2[[#This Row],[Proteína x porción]]/Tabla2[[#This Row],[g por porción]]</f>
        <v>5.5000000000000005E-3</v>
      </c>
      <c r="J113" s="27" t="s">
        <v>545</v>
      </c>
      <c r="K113" s="107">
        <f>SUM(M108:M112)</f>
        <v>0</v>
      </c>
      <c r="L113" s="108"/>
      <c r="M113" s="108"/>
      <c r="N113" s="109"/>
      <c r="O113" s="107">
        <f>SUM(Q108:Q112)</f>
        <v>0</v>
      </c>
      <c r="P113" s="108"/>
      <c r="Q113" s="108"/>
      <c r="R113" s="109"/>
      <c r="S113" s="107">
        <f>SUM(U108:U112)</f>
        <v>0</v>
      </c>
      <c r="T113" s="108"/>
      <c r="U113" s="108"/>
      <c r="V113" s="109"/>
      <c r="W113" s="107">
        <f>SUM(Y108:Y112)</f>
        <v>0</v>
      </c>
      <c r="X113" s="108"/>
      <c r="Y113" s="108"/>
      <c r="Z113" s="109"/>
      <c r="AA113" s="107">
        <f>SUM(AC108:AC112)</f>
        <v>0</v>
      </c>
      <c r="AB113" s="108"/>
      <c r="AC113" s="108"/>
      <c r="AD113" s="109"/>
      <c r="AE113" s="42">
        <f>SUM(K113:AD113)</f>
        <v>0</v>
      </c>
      <c r="AF113" s="110"/>
    </row>
    <row r="114" spans="1:32" x14ac:dyDescent="0.25">
      <c r="A114" s="23" t="s">
        <v>667</v>
      </c>
      <c r="B114" s="23" t="s">
        <v>597</v>
      </c>
      <c r="C114" s="23" t="s">
        <v>627</v>
      </c>
      <c r="D114" s="23">
        <v>100</v>
      </c>
      <c r="E114" s="23">
        <v>50</v>
      </c>
      <c r="F114" s="23">
        <v>0.54</v>
      </c>
      <c r="G114" s="23">
        <f>Tabla2[[#This Row],[Calorías x porción]]/Tabla2[[#This Row],[g por porción]]</f>
        <v>0.5</v>
      </c>
      <c r="H114" s="23">
        <f>Tabla2[[#This Row],[Proteína x porción]]/Tabla2[[#This Row],[g por porción]]</f>
        <v>5.4000000000000003E-3</v>
      </c>
      <c r="J114" s="27" t="s">
        <v>559</v>
      </c>
      <c r="K114" s="107">
        <f>SUM(N108:N112)</f>
        <v>0</v>
      </c>
      <c r="L114" s="108"/>
      <c r="M114" s="108"/>
      <c r="N114" s="109"/>
      <c r="O114" s="107">
        <f>SUM(R108:R112)</f>
        <v>0</v>
      </c>
      <c r="P114" s="108"/>
      <c r="Q114" s="108"/>
      <c r="R114" s="109"/>
      <c r="S114" s="107">
        <f>SUM(V108:V112)</f>
        <v>0</v>
      </c>
      <c r="T114" s="108"/>
      <c r="U114" s="108"/>
      <c r="V114" s="109"/>
      <c r="W114" s="107">
        <f>SUM(Z108:Z112)</f>
        <v>0</v>
      </c>
      <c r="X114" s="108"/>
      <c r="Y114" s="108"/>
      <c r="Z114" s="109"/>
      <c r="AA114" s="107">
        <f>SUM(AD108:AD112)</f>
        <v>0</v>
      </c>
      <c r="AB114" s="108"/>
      <c r="AC114" s="108"/>
      <c r="AD114" s="109"/>
      <c r="AE114" s="42">
        <f>SUM(K114:AD114)</f>
        <v>0</v>
      </c>
      <c r="AF114" s="110"/>
    </row>
    <row r="115" spans="1:32" x14ac:dyDescent="0.25">
      <c r="A115" s="23" t="s">
        <v>668</v>
      </c>
      <c r="B115" s="23" t="s">
        <v>597</v>
      </c>
      <c r="C115" s="23" t="s">
        <v>627</v>
      </c>
      <c r="D115" s="23">
        <v>100</v>
      </c>
      <c r="E115" s="23">
        <v>46</v>
      </c>
      <c r="F115" s="23">
        <v>0.46</v>
      </c>
      <c r="G115" s="23">
        <f>Tabla2[[#This Row],[Calorías x porción]]/Tabla2[[#This Row],[g por porción]]</f>
        <v>0.46</v>
      </c>
      <c r="H115" s="23">
        <f>Tabla2[[#This Row],[Proteína x porción]]/Tabla2[[#This Row],[g por porción]]</f>
        <v>4.5999999999999999E-3</v>
      </c>
      <c r="J115" s="27" t="s">
        <v>546</v>
      </c>
      <c r="K115" s="40" t="s">
        <v>556</v>
      </c>
      <c r="L115" s="40">
        <v>200</v>
      </c>
      <c r="M115" s="41"/>
      <c r="N115" s="41"/>
      <c r="O115" s="40"/>
      <c r="P115" s="40"/>
      <c r="Q115" s="41"/>
      <c r="R115" s="41"/>
      <c r="S115" s="40"/>
      <c r="T115" s="40"/>
      <c r="U115" s="41"/>
      <c r="V115" s="41"/>
      <c r="W115" s="40"/>
      <c r="X115" s="40"/>
      <c r="Y115" s="41"/>
      <c r="Z115" s="41"/>
      <c r="AA115" s="40"/>
      <c r="AB115" s="40"/>
      <c r="AC115" s="41"/>
      <c r="AD115" s="41"/>
      <c r="AE115" s="110" t="s">
        <v>551</v>
      </c>
      <c r="AF115" s="110">
        <v>14</v>
      </c>
    </row>
    <row r="116" spans="1:32" x14ac:dyDescent="0.25">
      <c r="A116" s="23" t="s">
        <v>568</v>
      </c>
      <c r="B116" s="23" t="s">
        <v>597</v>
      </c>
      <c r="C116" s="23" t="s">
        <v>627</v>
      </c>
      <c r="D116" s="23">
        <v>100</v>
      </c>
      <c r="E116" s="23">
        <v>57</v>
      </c>
      <c r="F116" s="23">
        <v>0.36</v>
      </c>
      <c r="G116" s="23">
        <f>Tabla2[[#This Row],[Calorías x porción]]/Tabla2[[#This Row],[g por porción]]</f>
        <v>0.56999999999999995</v>
      </c>
      <c r="H116" s="23">
        <f>Tabla2[[#This Row],[Proteína x porción]]/Tabla2[[#This Row],[g por porción]]</f>
        <v>3.5999999999999999E-3</v>
      </c>
      <c r="J116" s="27" t="s">
        <v>561</v>
      </c>
      <c r="K116" s="40" t="s">
        <v>562</v>
      </c>
      <c r="L116" s="40">
        <v>120</v>
      </c>
      <c r="M116" s="41"/>
      <c r="N116" s="41"/>
      <c r="O116" s="40"/>
      <c r="P116" s="40"/>
      <c r="Q116" s="41"/>
      <c r="R116" s="41"/>
      <c r="S116" s="40"/>
      <c r="T116" s="40"/>
      <c r="U116" s="41"/>
      <c r="V116" s="41"/>
      <c r="W116" s="40"/>
      <c r="X116" s="40"/>
      <c r="Y116" s="41"/>
      <c r="Z116" s="41"/>
      <c r="AA116" s="40"/>
      <c r="AB116" s="40"/>
      <c r="AC116" s="41"/>
      <c r="AD116" s="41"/>
      <c r="AE116" s="110"/>
      <c r="AF116" s="110"/>
    </row>
    <row r="117" spans="1:32" x14ac:dyDescent="0.25">
      <c r="A117" s="23" t="s">
        <v>669</v>
      </c>
      <c r="B117" s="23" t="s">
        <v>554</v>
      </c>
      <c r="C117" s="23" t="s">
        <v>609</v>
      </c>
      <c r="D117" s="23">
        <v>100</v>
      </c>
      <c r="E117" s="23">
        <v>700</v>
      </c>
      <c r="F117" s="23">
        <v>0.31</v>
      </c>
      <c r="G117" s="23">
        <f>Tabla2[[#This Row],[Calorías x porción]]/Tabla2[[#This Row],[g por porción]]</f>
        <v>7</v>
      </c>
      <c r="H117" s="23">
        <f>Tabla2[[#This Row],[Proteína x porción]]/Tabla2[[#This Row],[g por porción]]</f>
        <v>3.0999999999999999E-3</v>
      </c>
      <c r="J117" s="27" t="s">
        <v>566</v>
      </c>
      <c r="K117" s="40" t="s">
        <v>567</v>
      </c>
      <c r="L117" s="40">
        <v>90</v>
      </c>
      <c r="M117" s="41"/>
      <c r="N117" s="41"/>
      <c r="O117" s="40"/>
      <c r="P117" s="40"/>
      <c r="Q117" s="41"/>
      <c r="R117" s="41"/>
      <c r="S117" s="40"/>
      <c r="T117" s="40"/>
      <c r="U117" s="41"/>
      <c r="V117" s="41"/>
      <c r="W117" s="40"/>
      <c r="X117" s="40"/>
      <c r="Y117" s="41"/>
      <c r="Z117" s="41"/>
      <c r="AA117" s="40"/>
      <c r="AB117" s="40"/>
      <c r="AC117" s="41"/>
      <c r="AD117" s="41"/>
      <c r="AE117" s="110"/>
      <c r="AF117" s="110"/>
    </row>
    <row r="118" spans="1:32" x14ac:dyDescent="0.25">
      <c r="A118" s="23" t="s">
        <v>670</v>
      </c>
      <c r="B118" s="23" t="s">
        <v>564</v>
      </c>
      <c r="C118" s="23" t="s">
        <v>600</v>
      </c>
      <c r="D118" s="23">
        <v>100</v>
      </c>
      <c r="E118" s="23">
        <v>304</v>
      </c>
      <c r="F118" s="23">
        <v>0.3</v>
      </c>
      <c r="G118" s="23">
        <f>Tabla2[[#This Row],[Calorías x porción]]/Tabla2[[#This Row],[g por porción]]</f>
        <v>3.04</v>
      </c>
      <c r="H118" s="23">
        <f>Tabla2[[#This Row],[Proteína x porción]]/Tabla2[[#This Row],[g por porción]]</f>
        <v>3.0000000000000001E-3</v>
      </c>
      <c r="J118" s="27" t="s">
        <v>571</v>
      </c>
      <c r="K118" s="40" t="s">
        <v>572</v>
      </c>
      <c r="L118" s="40">
        <v>10</v>
      </c>
      <c r="M118" s="41"/>
      <c r="N118" s="41"/>
      <c r="O118" s="40"/>
      <c r="P118" s="40"/>
      <c r="Q118" s="41"/>
      <c r="R118" s="41"/>
      <c r="S118" s="40"/>
      <c r="T118" s="40"/>
      <c r="U118" s="41"/>
      <c r="V118" s="41"/>
      <c r="W118" s="40"/>
      <c r="X118" s="40"/>
      <c r="Y118" s="41"/>
      <c r="Z118" s="41"/>
      <c r="AA118" s="40"/>
      <c r="AB118" s="40"/>
      <c r="AC118" s="41"/>
      <c r="AD118" s="41"/>
      <c r="AE118" s="110"/>
      <c r="AF118" s="110"/>
    </row>
    <row r="119" spans="1:32" x14ac:dyDescent="0.25">
      <c r="A119" s="23" t="s">
        <v>671</v>
      </c>
      <c r="B119" s="23" t="s">
        <v>597</v>
      </c>
      <c r="C119" s="23" t="s">
        <v>627</v>
      </c>
      <c r="D119" s="23">
        <v>100</v>
      </c>
      <c r="E119" s="23">
        <v>48</v>
      </c>
      <c r="F119" s="23">
        <v>0.27</v>
      </c>
      <c r="G119" s="23">
        <f>Tabla2[[#This Row],[Calorías x porción]]/Tabla2[[#This Row],[g por porción]]</f>
        <v>0.48</v>
      </c>
      <c r="H119" s="23">
        <f>Tabla2[[#This Row],[Proteína x porción]]/Tabla2[[#This Row],[g por porción]]</f>
        <v>2.7000000000000001E-3</v>
      </c>
      <c r="J119" s="27" t="s">
        <v>574</v>
      </c>
      <c r="K119" s="40"/>
      <c r="L119" s="40"/>
      <c r="M119" s="41"/>
      <c r="N119" s="41"/>
      <c r="O119" s="40"/>
      <c r="P119" s="40"/>
      <c r="Q119" s="41"/>
      <c r="R119" s="41"/>
      <c r="S119" s="40"/>
      <c r="T119" s="40"/>
      <c r="U119" s="41"/>
      <c r="V119" s="41"/>
      <c r="W119" s="40"/>
      <c r="X119" s="40"/>
      <c r="Y119" s="41"/>
      <c r="Z119" s="41"/>
      <c r="AA119" s="40"/>
      <c r="AB119" s="40"/>
      <c r="AC119" s="41"/>
      <c r="AD119" s="41"/>
      <c r="AE119" s="110"/>
      <c r="AF119" s="110"/>
    </row>
    <row r="120" spans="1:32" x14ac:dyDescent="0.25">
      <c r="A120" s="23" t="s">
        <v>672</v>
      </c>
      <c r="B120" s="23" t="s">
        <v>564</v>
      </c>
      <c r="C120" s="23" t="s">
        <v>609</v>
      </c>
      <c r="D120" s="23">
        <v>100</v>
      </c>
      <c r="E120" s="23">
        <v>380</v>
      </c>
      <c r="F120" s="23">
        <v>0.12</v>
      </c>
      <c r="G120" s="23">
        <f>Tabla2[[#This Row],[Calorías x porción]]/Tabla2[[#This Row],[g por porción]]</f>
        <v>3.8</v>
      </c>
      <c r="H120" s="23">
        <f>Tabla2[[#This Row],[Proteína x porción]]/Tabla2[[#This Row],[g por porción]]</f>
        <v>1.1999999999999999E-3</v>
      </c>
      <c r="J120" s="27" t="s">
        <v>545</v>
      </c>
      <c r="K120" s="107">
        <f>SUM(M115:M119)</f>
        <v>0</v>
      </c>
      <c r="L120" s="108"/>
      <c r="M120" s="108"/>
      <c r="N120" s="109"/>
      <c r="O120" s="107">
        <f>SUM(Q115:Q119)</f>
        <v>0</v>
      </c>
      <c r="P120" s="108"/>
      <c r="Q120" s="108"/>
      <c r="R120" s="109"/>
      <c r="S120" s="107">
        <f>SUM(U115:U119)</f>
        <v>0</v>
      </c>
      <c r="T120" s="108"/>
      <c r="U120" s="108"/>
      <c r="V120" s="109"/>
      <c r="W120" s="107">
        <f>SUM(Y115:Y119)</f>
        <v>0</v>
      </c>
      <c r="X120" s="108"/>
      <c r="Y120" s="108"/>
      <c r="Z120" s="109"/>
      <c r="AA120" s="107">
        <f>SUM(AC115:AC119)</f>
        <v>0</v>
      </c>
      <c r="AB120" s="108"/>
      <c r="AC120" s="108"/>
      <c r="AD120" s="109"/>
      <c r="AE120" s="42">
        <f>SUM(K120:AD120)</f>
        <v>0</v>
      </c>
      <c r="AF120" s="110"/>
    </row>
    <row r="121" spans="1:32" x14ac:dyDescent="0.25">
      <c r="A121" s="23" t="s">
        <v>572</v>
      </c>
      <c r="B121" s="23" t="s">
        <v>554</v>
      </c>
      <c r="C121" s="23" t="s">
        <v>609</v>
      </c>
      <c r="D121" s="23">
        <v>100</v>
      </c>
      <c r="E121" s="23">
        <v>884</v>
      </c>
      <c r="F121" s="23">
        <v>0</v>
      </c>
      <c r="G121" s="23">
        <f>Tabla2[[#This Row],[Calorías x porción]]/Tabla2[[#This Row],[g por porción]]</f>
        <v>8.84</v>
      </c>
      <c r="H121" s="23">
        <f>Tabla2[[#This Row],[Proteína x porción]]/Tabla2[[#This Row],[g por porción]]</f>
        <v>0</v>
      </c>
      <c r="J121" s="27" t="s">
        <v>559</v>
      </c>
      <c r="K121" s="107">
        <f>SUM(N115:N119)</f>
        <v>0</v>
      </c>
      <c r="L121" s="108"/>
      <c r="M121" s="108"/>
      <c r="N121" s="109"/>
      <c r="O121" s="107">
        <f>SUM(R115:R119)</f>
        <v>0</v>
      </c>
      <c r="P121" s="108"/>
      <c r="Q121" s="108"/>
      <c r="R121" s="109"/>
      <c r="S121" s="107">
        <f>SUM(V115:V119)</f>
        <v>0</v>
      </c>
      <c r="T121" s="108"/>
      <c r="U121" s="108"/>
      <c r="V121" s="109"/>
      <c r="W121" s="107">
        <f>SUM(Z115:Z119)</f>
        <v>0</v>
      </c>
      <c r="X121" s="108"/>
      <c r="Y121" s="108"/>
      <c r="Z121" s="109"/>
      <c r="AA121" s="107">
        <f>SUM(AD115:AD119)</f>
        <v>0</v>
      </c>
      <c r="AB121" s="108"/>
      <c r="AC121" s="108"/>
      <c r="AD121" s="109"/>
      <c r="AE121" s="42">
        <f>SUM(K121:AD121)</f>
        <v>0</v>
      </c>
      <c r="AF121" s="110"/>
    </row>
    <row r="122" spans="1:32" x14ac:dyDescent="0.25">
      <c r="A122" s="23" t="s">
        <v>673</v>
      </c>
      <c r="B122" s="23" t="s">
        <v>554</v>
      </c>
      <c r="C122" s="23" t="s">
        <v>609</v>
      </c>
      <c r="D122" s="23">
        <v>100</v>
      </c>
      <c r="E122" s="23">
        <v>884</v>
      </c>
      <c r="F122" s="23">
        <v>0</v>
      </c>
      <c r="G122" s="23">
        <f>Tabla2[[#This Row],[Calorías x porción]]/Tabla2[[#This Row],[g por porción]]</f>
        <v>8.84</v>
      </c>
      <c r="H122" s="23">
        <f>Tabla2[[#This Row],[Proteína x porción]]/Tabla2[[#This Row],[g por porción]]</f>
        <v>0</v>
      </c>
      <c r="J122" s="27" t="s">
        <v>546</v>
      </c>
      <c r="K122" s="40" t="s">
        <v>556</v>
      </c>
      <c r="L122" s="40">
        <v>200</v>
      </c>
      <c r="M122" s="41"/>
      <c r="N122" s="41"/>
      <c r="O122" s="40"/>
      <c r="P122" s="40"/>
      <c r="Q122" s="41"/>
      <c r="R122" s="41"/>
      <c r="S122" s="40"/>
      <c r="T122" s="40"/>
      <c r="U122" s="41"/>
      <c r="V122" s="41"/>
      <c r="W122" s="40"/>
      <c r="X122" s="40"/>
      <c r="Y122" s="41"/>
      <c r="Z122" s="41"/>
      <c r="AA122" s="40"/>
      <c r="AB122" s="40"/>
      <c r="AC122" s="41"/>
      <c r="AD122" s="41"/>
      <c r="AE122" s="110" t="s">
        <v>551</v>
      </c>
      <c r="AF122" s="110">
        <v>15</v>
      </c>
    </row>
    <row r="123" spans="1:32" x14ac:dyDescent="0.25">
      <c r="A123" s="23" t="s">
        <v>674</v>
      </c>
      <c r="B123" s="23" t="s">
        <v>554</v>
      </c>
      <c r="C123" s="23" t="s">
        <v>609</v>
      </c>
      <c r="D123" s="23">
        <v>100</v>
      </c>
      <c r="E123" s="23">
        <v>857</v>
      </c>
      <c r="F123" s="23">
        <v>0</v>
      </c>
      <c r="G123" s="23">
        <f>Tabla2[[#This Row],[Calorías x porción]]/Tabla2[[#This Row],[g por porción]]</f>
        <v>8.57</v>
      </c>
      <c r="H123" s="23">
        <f>Tabla2[[#This Row],[Proteína x porción]]/Tabla2[[#This Row],[g por porción]]</f>
        <v>0</v>
      </c>
      <c r="J123" s="27" t="s">
        <v>561</v>
      </c>
      <c r="K123" s="40" t="s">
        <v>562</v>
      </c>
      <c r="L123" s="40">
        <v>120</v>
      </c>
      <c r="M123" s="41"/>
      <c r="N123" s="41"/>
      <c r="O123" s="40"/>
      <c r="P123" s="40"/>
      <c r="Q123" s="41"/>
      <c r="R123" s="41"/>
      <c r="S123" s="40"/>
      <c r="T123" s="40"/>
      <c r="U123" s="41"/>
      <c r="V123" s="41"/>
      <c r="W123" s="40"/>
      <c r="X123" s="40"/>
      <c r="Y123" s="41"/>
      <c r="Z123" s="41"/>
      <c r="AA123" s="40"/>
      <c r="AB123" s="40"/>
      <c r="AC123" s="41"/>
      <c r="AD123" s="41"/>
      <c r="AE123" s="110"/>
      <c r="AF123" s="110"/>
    </row>
    <row r="124" spans="1:32" x14ac:dyDescent="0.25">
      <c r="A124" s="23" t="s">
        <v>575</v>
      </c>
      <c r="B124" s="23" t="s">
        <v>554</v>
      </c>
      <c r="C124" s="23" t="s">
        <v>609</v>
      </c>
      <c r="D124" s="23">
        <v>100</v>
      </c>
      <c r="E124" s="23">
        <v>892</v>
      </c>
      <c r="F124" s="23">
        <v>0</v>
      </c>
      <c r="G124" s="23">
        <f>Tabla2[[#This Row],[Calorías x porción]]/Tabla2[[#This Row],[g por porción]]</f>
        <v>8.92</v>
      </c>
      <c r="H124" s="23">
        <f>Tabla2[[#This Row],[Proteína x porción]]/Tabla2[[#This Row],[g por porción]]</f>
        <v>0</v>
      </c>
      <c r="J124" s="27" t="s">
        <v>566</v>
      </c>
      <c r="K124" s="40" t="s">
        <v>567</v>
      </c>
      <c r="L124" s="40">
        <v>90</v>
      </c>
      <c r="M124" s="41"/>
      <c r="N124" s="41"/>
      <c r="O124" s="40"/>
      <c r="P124" s="40"/>
      <c r="Q124" s="41"/>
      <c r="R124" s="41"/>
      <c r="S124" s="40"/>
      <c r="T124" s="40"/>
      <c r="U124" s="41"/>
      <c r="V124" s="41"/>
      <c r="W124" s="40"/>
      <c r="X124" s="40"/>
      <c r="Y124" s="41"/>
      <c r="Z124" s="41"/>
      <c r="AA124" s="40"/>
      <c r="AB124" s="40"/>
      <c r="AC124" s="41"/>
      <c r="AD124" s="41"/>
      <c r="AE124" s="110"/>
      <c r="AF124" s="110"/>
    </row>
    <row r="125" spans="1:32" x14ac:dyDescent="0.25">
      <c r="A125" s="23" t="s">
        <v>675</v>
      </c>
      <c r="B125" s="23" t="s">
        <v>554</v>
      </c>
      <c r="C125" s="23" t="s">
        <v>609</v>
      </c>
      <c r="D125" s="23">
        <v>100</v>
      </c>
      <c r="E125" s="23">
        <v>884</v>
      </c>
      <c r="F125" s="23">
        <v>0</v>
      </c>
      <c r="G125" s="23">
        <f>Tabla2[[#This Row],[Calorías x porción]]/Tabla2[[#This Row],[g por porción]]</f>
        <v>8.84</v>
      </c>
      <c r="H125" s="23">
        <f>Tabla2[[#This Row],[Proteína x porción]]/Tabla2[[#This Row],[g por porción]]</f>
        <v>0</v>
      </c>
      <c r="J125" s="27" t="s">
        <v>571</v>
      </c>
      <c r="K125" s="40" t="s">
        <v>572</v>
      </c>
      <c r="L125" s="40">
        <v>10</v>
      </c>
      <c r="M125" s="41"/>
      <c r="N125" s="41"/>
      <c r="O125" s="40"/>
      <c r="P125" s="40"/>
      <c r="Q125" s="41"/>
      <c r="R125" s="41"/>
      <c r="S125" s="40"/>
      <c r="T125" s="40"/>
      <c r="U125" s="41"/>
      <c r="V125" s="41"/>
      <c r="W125" s="40"/>
      <c r="X125" s="40"/>
      <c r="Y125" s="41"/>
      <c r="Z125" s="41"/>
      <c r="AA125" s="40"/>
      <c r="AB125" s="40"/>
      <c r="AC125" s="41"/>
      <c r="AD125" s="41"/>
      <c r="AE125" s="110"/>
      <c r="AF125" s="110"/>
    </row>
    <row r="126" spans="1:32" x14ac:dyDescent="0.25">
      <c r="A126" s="23" t="s">
        <v>676</v>
      </c>
      <c r="B126" s="23" t="s">
        <v>554</v>
      </c>
      <c r="C126" s="23" t="s">
        <v>609</v>
      </c>
      <c r="D126" s="23">
        <v>100</v>
      </c>
      <c r="E126" s="23">
        <v>857</v>
      </c>
      <c r="F126" s="23">
        <v>0</v>
      </c>
      <c r="G126" s="23">
        <f>Tabla2[[#This Row],[Calorías x porción]]/Tabla2[[#This Row],[g por porción]]</f>
        <v>8.57</v>
      </c>
      <c r="H126" s="23">
        <f>Tabla2[[#This Row],[Proteína x porción]]/Tabla2[[#This Row],[g por porción]]</f>
        <v>0</v>
      </c>
      <c r="J126" s="27" t="s">
        <v>574</v>
      </c>
      <c r="K126" s="40"/>
      <c r="L126" s="40"/>
      <c r="M126" s="41"/>
      <c r="N126" s="41"/>
      <c r="O126" s="40"/>
      <c r="P126" s="40"/>
      <c r="Q126" s="41"/>
      <c r="R126" s="41"/>
      <c r="S126" s="40"/>
      <c r="T126" s="40"/>
      <c r="U126" s="41"/>
      <c r="V126" s="41"/>
      <c r="W126" s="40"/>
      <c r="X126" s="40"/>
      <c r="Y126" s="41"/>
      <c r="Z126" s="41"/>
      <c r="AA126" s="40"/>
      <c r="AB126" s="40"/>
      <c r="AC126" s="41"/>
      <c r="AD126" s="41"/>
      <c r="AE126" s="110"/>
      <c r="AF126" s="110"/>
    </row>
    <row r="127" spans="1:32" x14ac:dyDescent="0.25">
      <c r="A127" s="23" t="s">
        <v>677</v>
      </c>
      <c r="B127" s="23" t="s">
        <v>554</v>
      </c>
      <c r="C127" s="23" t="s">
        <v>600</v>
      </c>
      <c r="D127" s="23">
        <v>100</v>
      </c>
      <c r="E127" s="23">
        <v>902</v>
      </c>
      <c r="F127" s="23">
        <v>0</v>
      </c>
      <c r="G127" s="23">
        <f>Tabla2[[#This Row],[Calorías x porción]]/Tabla2[[#This Row],[g por porción]]</f>
        <v>9.02</v>
      </c>
      <c r="H127" s="23">
        <f>Tabla2[[#This Row],[Proteína x porción]]/Tabla2[[#This Row],[g por porción]]</f>
        <v>0</v>
      </c>
      <c r="J127" s="27" t="s">
        <v>545</v>
      </c>
      <c r="K127" s="107">
        <f>SUM(M122:M126)</f>
        <v>0</v>
      </c>
      <c r="L127" s="108"/>
      <c r="M127" s="108"/>
      <c r="N127" s="109"/>
      <c r="O127" s="107">
        <f>SUM(Q122:Q126)</f>
        <v>0</v>
      </c>
      <c r="P127" s="108"/>
      <c r="Q127" s="108"/>
      <c r="R127" s="109"/>
      <c r="S127" s="107">
        <f>SUM(U122:U126)</f>
        <v>0</v>
      </c>
      <c r="T127" s="108"/>
      <c r="U127" s="108"/>
      <c r="V127" s="109"/>
      <c r="W127" s="107">
        <f>SUM(Y122:Y126)</f>
        <v>0</v>
      </c>
      <c r="X127" s="108"/>
      <c r="Y127" s="108"/>
      <c r="Z127" s="109"/>
      <c r="AA127" s="107">
        <f>SUM(AC122:AC126)</f>
        <v>0</v>
      </c>
      <c r="AB127" s="108"/>
      <c r="AC127" s="108"/>
      <c r="AD127" s="109"/>
      <c r="AE127" s="42">
        <f>SUM(K127:AD127)</f>
        <v>0</v>
      </c>
      <c r="AF127" s="110"/>
    </row>
    <row r="128" spans="1:32" x14ac:dyDescent="0.25">
      <c r="A128" s="23" t="s">
        <v>678</v>
      </c>
      <c r="B128" s="23" t="s">
        <v>564</v>
      </c>
      <c r="C128" s="23" t="s">
        <v>609</v>
      </c>
      <c r="D128" s="23">
        <v>100</v>
      </c>
      <c r="E128" s="23">
        <v>385</v>
      </c>
      <c r="F128" s="23">
        <v>0</v>
      </c>
      <c r="G128" s="23">
        <f>Tabla2[[#This Row],[Calorías x porción]]/Tabla2[[#This Row],[g por porción]]</f>
        <v>3.85</v>
      </c>
      <c r="H128" s="23">
        <f>Tabla2[[#This Row],[Proteína x porción]]/Tabla2[[#This Row],[g por porción]]</f>
        <v>0</v>
      </c>
      <c r="J128" s="27" t="s">
        <v>559</v>
      </c>
      <c r="K128" s="107">
        <f>SUM(N122:N126)</f>
        <v>0</v>
      </c>
      <c r="L128" s="108"/>
      <c r="M128" s="108"/>
      <c r="N128" s="109"/>
      <c r="O128" s="107">
        <f>SUM(R122:R126)</f>
        <v>0</v>
      </c>
      <c r="P128" s="108"/>
      <c r="Q128" s="108"/>
      <c r="R128" s="109"/>
      <c r="S128" s="107">
        <f>SUM(V122:V126)</f>
        <v>0</v>
      </c>
      <c r="T128" s="108"/>
      <c r="U128" s="108"/>
      <c r="V128" s="109"/>
      <c r="W128" s="107">
        <f>SUM(Z122:Z126)</f>
        <v>0</v>
      </c>
      <c r="X128" s="108"/>
      <c r="Y128" s="108"/>
      <c r="Z128" s="109"/>
      <c r="AA128" s="107">
        <f>SUM(AD122:AD126)</f>
        <v>0</v>
      </c>
      <c r="AB128" s="108"/>
      <c r="AC128" s="108"/>
      <c r="AD128" s="109"/>
      <c r="AE128" s="42">
        <f>SUM(K128:AD128)</f>
        <v>0</v>
      </c>
      <c r="AF128" s="110"/>
    </row>
    <row r="129" spans="32:32" x14ac:dyDescent="0.25">
      <c r="AF129" s="43"/>
    </row>
    <row r="130" spans="32:32" x14ac:dyDescent="0.25">
      <c r="AF130" s="43"/>
    </row>
    <row r="131" spans="32:32" x14ac:dyDescent="0.25">
      <c r="AF131" s="43"/>
    </row>
    <row r="132" spans="32:32" x14ac:dyDescent="0.25">
      <c r="AF132" s="43"/>
    </row>
    <row r="133" spans="32:32" x14ac:dyDescent="0.25">
      <c r="AF133" s="43"/>
    </row>
    <row r="134" spans="32:32" x14ac:dyDescent="0.25">
      <c r="AF134" s="43"/>
    </row>
    <row r="135" spans="32:32" x14ac:dyDescent="0.25">
      <c r="AF135" s="43"/>
    </row>
    <row r="136" spans="32:32" x14ac:dyDescent="0.25">
      <c r="AF136" s="43"/>
    </row>
    <row r="137" spans="32:32" x14ac:dyDescent="0.25">
      <c r="AF137" s="43"/>
    </row>
    <row r="138" spans="32:32" x14ac:dyDescent="0.25">
      <c r="AF138" s="43"/>
    </row>
    <row r="139" spans="32:32" x14ac:dyDescent="0.25">
      <c r="AF139" s="43"/>
    </row>
    <row r="140" spans="32:32" x14ac:dyDescent="0.25">
      <c r="AF140" s="43"/>
    </row>
    <row r="141" spans="32:32" x14ac:dyDescent="0.25">
      <c r="AF141" s="43"/>
    </row>
    <row r="142" spans="32:32" x14ac:dyDescent="0.25">
      <c r="AF142" s="43"/>
    </row>
  </sheetData>
  <mergeCells count="185">
    <mergeCell ref="AF122:AF128"/>
    <mergeCell ref="AE101:AE105"/>
    <mergeCell ref="AE108:AE112"/>
    <mergeCell ref="AE115:AE119"/>
    <mergeCell ref="AE122:AE126"/>
    <mergeCell ref="AF31:AF37"/>
    <mergeCell ref="AF38:AF44"/>
    <mergeCell ref="AF45:AF51"/>
    <mergeCell ref="AF52:AF58"/>
    <mergeCell ref="AF59:AF65"/>
    <mergeCell ref="AF66:AF72"/>
    <mergeCell ref="AF73:AF79"/>
    <mergeCell ref="AF87:AF93"/>
    <mergeCell ref="AF94:AF100"/>
    <mergeCell ref="AF101:AF107"/>
    <mergeCell ref="AF108:AF114"/>
    <mergeCell ref="AF115:AF121"/>
    <mergeCell ref="AE66:AE70"/>
    <mergeCell ref="AE73:AE77"/>
    <mergeCell ref="AE80:AE84"/>
    <mergeCell ref="AE87:AE91"/>
    <mergeCell ref="AE94:AE98"/>
    <mergeCell ref="AE31:AE35"/>
    <mergeCell ref="AE38:AE42"/>
    <mergeCell ref="AE45:AE49"/>
    <mergeCell ref="AE52:AE56"/>
    <mergeCell ref="AE59:AE63"/>
    <mergeCell ref="K128:N128"/>
    <mergeCell ref="O128:R128"/>
    <mergeCell ref="S128:V128"/>
    <mergeCell ref="W128:Z128"/>
    <mergeCell ref="AA128:AD128"/>
    <mergeCell ref="AA121:AD121"/>
    <mergeCell ref="K127:N127"/>
    <mergeCell ref="O127:R127"/>
    <mergeCell ref="S127:V127"/>
    <mergeCell ref="W127:Z127"/>
    <mergeCell ref="AA127:AD127"/>
    <mergeCell ref="AA114:AD114"/>
    <mergeCell ref="K120:N120"/>
    <mergeCell ref="O120:R120"/>
    <mergeCell ref="S120:V120"/>
    <mergeCell ref="W120:Z120"/>
    <mergeCell ref="AA120:AD120"/>
    <mergeCell ref="AA107:AD107"/>
    <mergeCell ref="K113:N113"/>
    <mergeCell ref="O113:R113"/>
    <mergeCell ref="S113:V113"/>
    <mergeCell ref="AA113:AD113"/>
    <mergeCell ref="AA100:AD100"/>
    <mergeCell ref="K106:N106"/>
    <mergeCell ref="O106:R106"/>
    <mergeCell ref="S106:V106"/>
    <mergeCell ref="W106:Z106"/>
    <mergeCell ref="AA106:AD106"/>
    <mergeCell ref="AA92:AD92"/>
    <mergeCell ref="K99:N99"/>
    <mergeCell ref="O99:R99"/>
    <mergeCell ref="S99:V99"/>
    <mergeCell ref="W99:Z99"/>
    <mergeCell ref="AA99:AD99"/>
    <mergeCell ref="K100:N100"/>
    <mergeCell ref="O100:R100"/>
    <mergeCell ref="S100:V100"/>
    <mergeCell ref="W100:Z100"/>
    <mergeCell ref="K93:N93"/>
    <mergeCell ref="O93:R93"/>
    <mergeCell ref="S93:V93"/>
    <mergeCell ref="W93:Z93"/>
    <mergeCell ref="AA93:AD93"/>
    <mergeCell ref="K92:N92"/>
    <mergeCell ref="O92:R92"/>
    <mergeCell ref="AA72:AD72"/>
    <mergeCell ref="K79:N79"/>
    <mergeCell ref="O79:R79"/>
    <mergeCell ref="S79:V79"/>
    <mergeCell ref="W79:Z79"/>
    <mergeCell ref="AA79:AD79"/>
    <mergeCell ref="AA65:AD65"/>
    <mergeCell ref="K71:N71"/>
    <mergeCell ref="O71:R71"/>
    <mergeCell ref="S71:V71"/>
    <mergeCell ref="W71:Z71"/>
    <mergeCell ref="AA71:AD71"/>
    <mergeCell ref="K78:N78"/>
    <mergeCell ref="O78:R78"/>
    <mergeCell ref="S78:V78"/>
    <mergeCell ref="W78:Z78"/>
    <mergeCell ref="AA78:AD78"/>
    <mergeCell ref="K72:N72"/>
    <mergeCell ref="O72:R72"/>
    <mergeCell ref="S72:V72"/>
    <mergeCell ref="W72:Z72"/>
    <mergeCell ref="K65:N65"/>
    <mergeCell ref="O65:R65"/>
    <mergeCell ref="S65:V65"/>
    <mergeCell ref="AA58:AD58"/>
    <mergeCell ref="K64:N64"/>
    <mergeCell ref="O64:R64"/>
    <mergeCell ref="S64:V64"/>
    <mergeCell ref="W64:Z64"/>
    <mergeCell ref="AA64:AD64"/>
    <mergeCell ref="AA51:AD51"/>
    <mergeCell ref="K57:N57"/>
    <mergeCell ref="O57:R57"/>
    <mergeCell ref="S57:V57"/>
    <mergeCell ref="W57:Z57"/>
    <mergeCell ref="AA57:AD57"/>
    <mergeCell ref="AA44:AD44"/>
    <mergeCell ref="K50:N50"/>
    <mergeCell ref="O50:R50"/>
    <mergeCell ref="S50:V50"/>
    <mergeCell ref="W50:Z50"/>
    <mergeCell ref="AA50:AD50"/>
    <mergeCell ref="AA36:AD36"/>
    <mergeCell ref="K43:N43"/>
    <mergeCell ref="O43:R43"/>
    <mergeCell ref="S43:V43"/>
    <mergeCell ref="W43:Z43"/>
    <mergeCell ref="AA43:AD43"/>
    <mergeCell ref="K44:N44"/>
    <mergeCell ref="O44:R44"/>
    <mergeCell ref="S44:V44"/>
    <mergeCell ref="W44:Z44"/>
    <mergeCell ref="K37:N37"/>
    <mergeCell ref="O37:R37"/>
    <mergeCell ref="S37:V37"/>
    <mergeCell ref="W37:Z37"/>
    <mergeCell ref="AA37:AD37"/>
    <mergeCell ref="K36:N36"/>
    <mergeCell ref="O36:R36"/>
    <mergeCell ref="S36:V36"/>
    <mergeCell ref="K121:N121"/>
    <mergeCell ref="O121:R121"/>
    <mergeCell ref="S121:V121"/>
    <mergeCell ref="W121:Z121"/>
    <mergeCell ref="K114:N114"/>
    <mergeCell ref="O114:R114"/>
    <mergeCell ref="S114:V114"/>
    <mergeCell ref="W114:Z114"/>
    <mergeCell ref="K107:N107"/>
    <mergeCell ref="O107:R107"/>
    <mergeCell ref="S107:V107"/>
    <mergeCell ref="W107:Z107"/>
    <mergeCell ref="W113:Z113"/>
    <mergeCell ref="S92:V92"/>
    <mergeCell ref="W92:Z92"/>
    <mergeCell ref="AF80:AF86"/>
    <mergeCell ref="K85:N85"/>
    <mergeCell ref="O85:R85"/>
    <mergeCell ref="S85:V85"/>
    <mergeCell ref="W85:Z85"/>
    <mergeCell ref="AA85:AD85"/>
    <mergeCell ref="K86:N86"/>
    <mergeCell ref="O86:R86"/>
    <mergeCell ref="S86:V86"/>
    <mergeCell ref="W86:Z86"/>
    <mergeCell ref="AA86:AD86"/>
    <mergeCell ref="W65:Z65"/>
    <mergeCell ref="K58:N58"/>
    <mergeCell ref="O58:R58"/>
    <mergeCell ref="S58:V58"/>
    <mergeCell ref="W58:Z58"/>
    <mergeCell ref="K51:N51"/>
    <mergeCell ref="O51:R51"/>
    <mergeCell ref="S51:V51"/>
    <mergeCell ref="W51:Z51"/>
    <mergeCell ref="A2:H3"/>
    <mergeCell ref="J22:AE22"/>
    <mergeCell ref="A5:B5"/>
    <mergeCell ref="A15:B15"/>
    <mergeCell ref="A22:H22"/>
    <mergeCell ref="AE23:AE28"/>
    <mergeCell ref="W36:Z36"/>
    <mergeCell ref="AF24:AF30"/>
    <mergeCell ref="K29:N29"/>
    <mergeCell ref="K30:N30"/>
    <mergeCell ref="O29:R29"/>
    <mergeCell ref="O30:R30"/>
    <mergeCell ref="S29:V29"/>
    <mergeCell ref="S30:V30"/>
    <mergeCell ref="W29:Z29"/>
    <mergeCell ref="W30:Z30"/>
    <mergeCell ref="AA29:AD29"/>
    <mergeCell ref="AA30:AD30"/>
  </mergeCells>
  <phoneticPr fontId="8" type="noConversion"/>
  <conditionalFormatting sqref="B6:B10">
    <cfRule type="containsBlanks" dxfId="236" priority="88">
      <formula>LEN(TRIM(B6))=0</formula>
    </cfRule>
  </conditionalFormatting>
  <conditionalFormatting sqref="B12">
    <cfRule type="containsBlanks" dxfId="235" priority="87">
      <formula>LEN(TRIM(B12))=0</formula>
    </cfRule>
  </conditionalFormatting>
  <conditionalFormatting sqref="K24:L28">
    <cfRule type="containsBlanks" dxfId="234" priority="89">
      <formula>LEN(TRIM(K24))=0</formula>
    </cfRule>
  </conditionalFormatting>
  <conditionalFormatting sqref="O24:P28">
    <cfRule type="containsBlanks" dxfId="233" priority="84">
      <formula>LEN(TRIM(O24))=0</formula>
    </cfRule>
  </conditionalFormatting>
  <conditionalFormatting sqref="W31:X35">
    <cfRule type="containsBlanks" dxfId="232" priority="80">
      <formula>LEN(TRIM(W31))=0</formula>
    </cfRule>
  </conditionalFormatting>
  <conditionalFormatting sqref="K31:L35">
    <cfRule type="containsBlanks" dxfId="231" priority="78">
      <formula>LEN(TRIM(K31))=0</formula>
    </cfRule>
  </conditionalFormatting>
  <conditionalFormatting sqref="AA31:AB35">
    <cfRule type="containsBlanks" dxfId="230" priority="76">
      <formula>LEN(TRIM(AA31))=0</formula>
    </cfRule>
  </conditionalFormatting>
  <conditionalFormatting sqref="K38:L42">
    <cfRule type="containsBlanks" dxfId="229" priority="73">
      <formula>LEN(TRIM(K38))=0</formula>
    </cfRule>
  </conditionalFormatting>
  <conditionalFormatting sqref="O38:P42">
    <cfRule type="containsBlanks" dxfId="228" priority="72">
      <formula>LEN(TRIM(O38))=0</formula>
    </cfRule>
  </conditionalFormatting>
  <conditionalFormatting sqref="K45:L49">
    <cfRule type="containsBlanks" dxfId="227" priority="68">
      <formula>LEN(TRIM(K45))=0</formula>
    </cfRule>
  </conditionalFormatting>
  <conditionalFormatting sqref="O45:P49">
    <cfRule type="containsBlanks" dxfId="226" priority="67">
      <formula>LEN(TRIM(O45))=0</formula>
    </cfRule>
  </conditionalFormatting>
  <conditionalFormatting sqref="AA38:AB42">
    <cfRule type="containsBlanks" dxfId="225" priority="71">
      <formula>LEN(TRIM(AA38))=0</formula>
    </cfRule>
  </conditionalFormatting>
  <conditionalFormatting sqref="S45:T49">
    <cfRule type="containsBlanks" dxfId="224" priority="69">
      <formula>LEN(TRIM(S45))=0</formula>
    </cfRule>
  </conditionalFormatting>
  <conditionalFormatting sqref="K52:L56">
    <cfRule type="containsBlanks" dxfId="223" priority="63">
      <formula>LEN(TRIM(K52))=0</formula>
    </cfRule>
  </conditionalFormatting>
  <conditionalFormatting sqref="AA45:AB49">
    <cfRule type="containsBlanks" dxfId="222" priority="66">
      <formula>LEN(TRIM(AA45))=0</formula>
    </cfRule>
  </conditionalFormatting>
  <conditionalFormatting sqref="O52:P56">
    <cfRule type="containsBlanks" dxfId="221" priority="62">
      <formula>LEN(TRIM(O52))=0</formula>
    </cfRule>
  </conditionalFormatting>
  <conditionalFormatting sqref="S52:T56">
    <cfRule type="containsBlanks" dxfId="220" priority="64">
      <formula>LEN(TRIM(S52))=0</formula>
    </cfRule>
  </conditionalFormatting>
  <conditionalFormatting sqref="W52:X56">
    <cfRule type="containsBlanks" dxfId="219" priority="65">
      <formula>LEN(TRIM(W52))=0</formula>
    </cfRule>
  </conditionalFormatting>
  <conditionalFormatting sqref="AA52:AB56">
    <cfRule type="containsBlanks" dxfId="218" priority="61">
      <formula>LEN(TRIM(AA52))=0</formula>
    </cfRule>
  </conditionalFormatting>
  <conditionalFormatting sqref="K59:L63">
    <cfRule type="containsBlanks" dxfId="217" priority="58">
      <formula>LEN(TRIM(K59))=0</formula>
    </cfRule>
  </conditionalFormatting>
  <conditionalFormatting sqref="O59:P63">
    <cfRule type="containsBlanks" dxfId="216" priority="57">
      <formula>LEN(TRIM(O59))=0</formula>
    </cfRule>
  </conditionalFormatting>
  <conditionalFormatting sqref="S59:T63">
    <cfRule type="containsBlanks" dxfId="215" priority="59">
      <formula>LEN(TRIM(S59))=0</formula>
    </cfRule>
  </conditionalFormatting>
  <conditionalFormatting sqref="W59:X63">
    <cfRule type="containsBlanks" dxfId="214" priority="60">
      <formula>LEN(TRIM(W59))=0</formula>
    </cfRule>
  </conditionalFormatting>
  <conditionalFormatting sqref="AA59:AB63">
    <cfRule type="containsBlanks" dxfId="213" priority="56">
      <formula>LEN(TRIM(AA59))=0</formula>
    </cfRule>
  </conditionalFormatting>
  <conditionalFormatting sqref="K66:L70">
    <cfRule type="containsBlanks" dxfId="212" priority="53">
      <formula>LEN(TRIM(K66))=0</formula>
    </cfRule>
  </conditionalFormatting>
  <conditionalFormatting sqref="O66:P70">
    <cfRule type="containsBlanks" dxfId="211" priority="52">
      <formula>LEN(TRIM(O66))=0</formula>
    </cfRule>
  </conditionalFormatting>
  <conditionalFormatting sqref="S66:T70">
    <cfRule type="containsBlanks" dxfId="210" priority="54">
      <formula>LEN(TRIM(S66))=0</formula>
    </cfRule>
  </conditionalFormatting>
  <conditionalFormatting sqref="W66:X70">
    <cfRule type="containsBlanks" dxfId="209" priority="55">
      <formula>LEN(TRIM(W66))=0</formula>
    </cfRule>
  </conditionalFormatting>
  <conditionalFormatting sqref="AA66:AB70">
    <cfRule type="containsBlanks" dxfId="208" priority="51">
      <formula>LEN(TRIM(AA66))=0</formula>
    </cfRule>
  </conditionalFormatting>
  <conditionalFormatting sqref="K73:L77">
    <cfRule type="containsBlanks" dxfId="207" priority="48">
      <formula>LEN(TRIM(K73))=0</formula>
    </cfRule>
  </conditionalFormatting>
  <conditionalFormatting sqref="O73:P77">
    <cfRule type="containsBlanks" dxfId="206" priority="47">
      <formula>LEN(TRIM(O73))=0</formula>
    </cfRule>
  </conditionalFormatting>
  <conditionalFormatting sqref="S73:T77">
    <cfRule type="containsBlanks" dxfId="205" priority="49">
      <formula>LEN(TRIM(S73))=0</formula>
    </cfRule>
  </conditionalFormatting>
  <conditionalFormatting sqref="W73:X77">
    <cfRule type="containsBlanks" dxfId="204" priority="50">
      <formula>LEN(TRIM(W73))=0</formula>
    </cfRule>
  </conditionalFormatting>
  <conditionalFormatting sqref="AA73:AB77">
    <cfRule type="containsBlanks" dxfId="203" priority="46">
      <formula>LEN(TRIM(AA73))=0</formula>
    </cfRule>
  </conditionalFormatting>
  <conditionalFormatting sqref="K80:L84">
    <cfRule type="containsBlanks" dxfId="202" priority="43">
      <formula>LEN(TRIM(K80))=0</formula>
    </cfRule>
  </conditionalFormatting>
  <conditionalFormatting sqref="O80:P84">
    <cfRule type="containsBlanks" dxfId="201" priority="42">
      <formula>LEN(TRIM(O80))=0</formula>
    </cfRule>
  </conditionalFormatting>
  <conditionalFormatting sqref="S80:T84">
    <cfRule type="containsBlanks" dxfId="200" priority="44">
      <formula>LEN(TRIM(S80))=0</formula>
    </cfRule>
  </conditionalFormatting>
  <conditionalFormatting sqref="W80:X84">
    <cfRule type="containsBlanks" dxfId="199" priority="45">
      <formula>LEN(TRIM(W80))=0</formula>
    </cfRule>
  </conditionalFormatting>
  <conditionalFormatting sqref="AA80:AB84">
    <cfRule type="containsBlanks" dxfId="198" priority="41">
      <formula>LEN(TRIM(AA80))=0</formula>
    </cfRule>
  </conditionalFormatting>
  <conditionalFormatting sqref="K87:L91">
    <cfRule type="containsBlanks" dxfId="197" priority="38">
      <formula>LEN(TRIM(K87))=0</formula>
    </cfRule>
  </conditionalFormatting>
  <conditionalFormatting sqref="O87:P91">
    <cfRule type="containsBlanks" dxfId="196" priority="37">
      <formula>LEN(TRIM(O87))=0</formula>
    </cfRule>
  </conditionalFormatting>
  <conditionalFormatting sqref="S87:T91">
    <cfRule type="containsBlanks" dxfId="195" priority="39">
      <formula>LEN(TRIM(S87))=0</formula>
    </cfRule>
  </conditionalFormatting>
  <conditionalFormatting sqref="W87:X91">
    <cfRule type="containsBlanks" dxfId="194" priority="40">
      <formula>LEN(TRIM(W87))=0</formula>
    </cfRule>
  </conditionalFormatting>
  <conditionalFormatting sqref="AA87:AB91">
    <cfRule type="containsBlanks" dxfId="193" priority="36">
      <formula>LEN(TRIM(AA87))=0</formula>
    </cfRule>
  </conditionalFormatting>
  <conditionalFormatting sqref="K94:L98">
    <cfRule type="containsBlanks" dxfId="192" priority="33">
      <formula>LEN(TRIM(K94))=0</formula>
    </cfRule>
  </conditionalFormatting>
  <conditionalFormatting sqref="O94:P98">
    <cfRule type="containsBlanks" dxfId="191" priority="32">
      <formula>LEN(TRIM(O94))=0</formula>
    </cfRule>
  </conditionalFormatting>
  <conditionalFormatting sqref="S94:T98">
    <cfRule type="containsBlanks" dxfId="190" priority="34">
      <formula>LEN(TRIM(S94))=0</formula>
    </cfRule>
  </conditionalFormatting>
  <conditionalFormatting sqref="W94:X98">
    <cfRule type="containsBlanks" dxfId="189" priority="35">
      <formula>LEN(TRIM(W94))=0</formula>
    </cfRule>
  </conditionalFormatting>
  <conditionalFormatting sqref="AA94:AB98">
    <cfRule type="containsBlanks" dxfId="188" priority="31">
      <formula>LEN(TRIM(AA94))=0</formula>
    </cfRule>
  </conditionalFormatting>
  <conditionalFormatting sqref="K101:L105">
    <cfRule type="containsBlanks" dxfId="187" priority="28">
      <formula>LEN(TRIM(K101))=0</formula>
    </cfRule>
  </conditionalFormatting>
  <conditionalFormatting sqref="O101:P105">
    <cfRule type="containsBlanks" dxfId="186" priority="27">
      <formula>LEN(TRIM(O101))=0</formula>
    </cfRule>
  </conditionalFormatting>
  <conditionalFormatting sqref="S101:T105">
    <cfRule type="containsBlanks" dxfId="185" priority="29">
      <formula>LEN(TRIM(S101))=0</formula>
    </cfRule>
  </conditionalFormatting>
  <conditionalFormatting sqref="W101:X105">
    <cfRule type="containsBlanks" dxfId="184" priority="30">
      <formula>LEN(TRIM(W101))=0</formula>
    </cfRule>
  </conditionalFormatting>
  <conditionalFormatting sqref="AA101:AB105">
    <cfRule type="containsBlanks" dxfId="183" priority="26">
      <formula>LEN(TRIM(AA101))=0</formula>
    </cfRule>
  </conditionalFormatting>
  <conditionalFormatting sqref="K108:L112">
    <cfRule type="containsBlanks" dxfId="182" priority="23">
      <formula>LEN(TRIM(K108))=0</formula>
    </cfRule>
  </conditionalFormatting>
  <conditionalFormatting sqref="O108:P112">
    <cfRule type="containsBlanks" dxfId="181" priority="22">
      <formula>LEN(TRIM(O108))=0</formula>
    </cfRule>
  </conditionalFormatting>
  <conditionalFormatting sqref="S108:T112">
    <cfRule type="containsBlanks" dxfId="180" priority="24">
      <formula>LEN(TRIM(S108))=0</formula>
    </cfRule>
  </conditionalFormatting>
  <conditionalFormatting sqref="W108:X112">
    <cfRule type="containsBlanks" dxfId="179" priority="25">
      <formula>LEN(TRIM(W108))=0</formula>
    </cfRule>
  </conditionalFormatting>
  <conditionalFormatting sqref="AA108:AB112">
    <cfRule type="containsBlanks" dxfId="178" priority="21">
      <formula>LEN(TRIM(AA108))=0</formula>
    </cfRule>
  </conditionalFormatting>
  <conditionalFormatting sqref="K115:L119">
    <cfRule type="containsBlanks" dxfId="177" priority="18">
      <formula>LEN(TRIM(K115))=0</formula>
    </cfRule>
  </conditionalFormatting>
  <conditionalFormatting sqref="O115:P119">
    <cfRule type="containsBlanks" dxfId="176" priority="17">
      <formula>LEN(TRIM(O115))=0</formula>
    </cfRule>
  </conditionalFormatting>
  <conditionalFormatting sqref="S115:T119">
    <cfRule type="containsBlanks" dxfId="175" priority="19">
      <formula>LEN(TRIM(S115))=0</formula>
    </cfRule>
  </conditionalFormatting>
  <conditionalFormatting sqref="W115:X119">
    <cfRule type="containsBlanks" dxfId="174" priority="20">
      <formula>LEN(TRIM(W115))=0</formula>
    </cfRule>
  </conditionalFormatting>
  <conditionalFormatting sqref="AA115:AB119">
    <cfRule type="containsBlanks" dxfId="173" priority="16">
      <formula>LEN(TRIM(AA115))=0</formula>
    </cfRule>
  </conditionalFormatting>
  <conditionalFormatting sqref="K122:L126">
    <cfRule type="containsBlanks" dxfId="172" priority="13">
      <formula>LEN(TRIM(K122))=0</formula>
    </cfRule>
  </conditionalFormatting>
  <conditionalFormatting sqref="O122:P126">
    <cfRule type="containsBlanks" dxfId="171" priority="12">
      <formula>LEN(TRIM(O122))=0</formula>
    </cfRule>
  </conditionalFormatting>
  <conditionalFormatting sqref="S122:T126">
    <cfRule type="containsBlanks" dxfId="170" priority="14">
      <formula>LEN(TRIM(S122))=0</formula>
    </cfRule>
  </conditionalFormatting>
  <conditionalFormatting sqref="W122:X126">
    <cfRule type="containsBlanks" dxfId="169" priority="15">
      <formula>LEN(TRIM(W122))=0</formula>
    </cfRule>
  </conditionalFormatting>
  <conditionalFormatting sqref="AA122:AB126">
    <cfRule type="containsBlanks" dxfId="168" priority="11">
      <formula>LEN(TRIM(AA122))=0</formula>
    </cfRule>
  </conditionalFormatting>
  <conditionalFormatting sqref="AE29 AE36 AE43 AE50 AE57 AE64 AE71 AE78 AE85 AE92 AE99 AE106 AE113 AE120 AE127">
    <cfRule type="cellIs" dxfId="167" priority="9" operator="lessThan">
      <formula>$B$13</formula>
    </cfRule>
    <cfRule type="cellIs" dxfId="166" priority="10" operator="greaterThanOrEqual">
      <formula>$B$13</formula>
    </cfRule>
  </conditionalFormatting>
  <conditionalFormatting sqref="W38:X42">
    <cfRule type="containsBlanks" dxfId="165" priority="8">
      <formula>LEN(TRIM(W38))=0</formula>
    </cfRule>
  </conditionalFormatting>
  <conditionalFormatting sqref="W45:X49">
    <cfRule type="containsBlanks" dxfId="164" priority="7">
      <formula>LEN(TRIM(W45))=0</formula>
    </cfRule>
  </conditionalFormatting>
  <conditionalFormatting sqref="S38:T42">
    <cfRule type="containsBlanks" dxfId="163" priority="6">
      <formula>LEN(TRIM(S38))=0</formula>
    </cfRule>
  </conditionalFormatting>
  <conditionalFormatting sqref="S24:T28">
    <cfRule type="containsBlanks" dxfId="162" priority="5">
      <formula>LEN(TRIM(S24))=0</formula>
    </cfRule>
  </conditionalFormatting>
  <conditionalFormatting sqref="W24:X28">
    <cfRule type="containsBlanks" dxfId="161" priority="4">
      <formula>LEN(TRIM(W24))=0</formula>
    </cfRule>
  </conditionalFormatting>
  <conditionalFormatting sqref="O31:P35">
    <cfRule type="containsBlanks" dxfId="160" priority="3">
      <formula>LEN(TRIM(O31))=0</formula>
    </cfRule>
  </conditionalFormatting>
  <conditionalFormatting sqref="S31:T35">
    <cfRule type="containsBlanks" dxfId="159" priority="2">
      <formula>LEN(TRIM(S31))=0</formula>
    </cfRule>
  </conditionalFormatting>
  <conditionalFormatting sqref="AA24:AB28">
    <cfRule type="containsBlanks" dxfId="158" priority="1">
      <formula>LEN(TRIM(AA24))=0</formula>
    </cfRule>
  </conditionalFormatting>
  <pageMargins left="0.7" right="0.7" top="0.75" bottom="0.75" header="0.3" footer="0.3"/>
  <pageSetup paperSize="9"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7CF3F-0449-4156-873D-7A32F9B31545}">
  <sheetPr codeName="Hoja2"/>
  <dimension ref="A1:I155"/>
  <sheetViews>
    <sheetView zoomScale="85" zoomScaleNormal="85" workbookViewId="0">
      <selection activeCell="J14" sqref="J14"/>
    </sheetView>
  </sheetViews>
  <sheetFormatPr baseColWidth="10" defaultColWidth="10.7109375" defaultRowHeight="15" x14ac:dyDescent="0.25"/>
  <cols>
    <col min="3" max="3" width="18.5703125" customWidth="1"/>
    <col min="4" max="4" width="59.42578125" customWidth="1"/>
    <col min="5" max="5" width="18.7109375" customWidth="1"/>
    <col min="6" max="6" width="58" customWidth="1"/>
    <col min="7" max="7" width="53.28515625" customWidth="1"/>
  </cols>
  <sheetData>
    <row r="1" spans="1:9" ht="15.75" thickBot="1" x14ac:dyDescent="0.3"/>
    <row r="2" spans="1:9" x14ac:dyDescent="0.25">
      <c r="A2" s="95" t="s">
        <v>679</v>
      </c>
      <c r="B2" s="118"/>
      <c r="C2" s="118"/>
      <c r="D2" s="118"/>
      <c r="E2" s="118"/>
      <c r="F2" s="118"/>
      <c r="G2" s="119"/>
      <c r="H2" s="43"/>
      <c r="I2" s="43"/>
    </row>
    <row r="3" spans="1:9" ht="15.75" thickBot="1" x14ac:dyDescent="0.3">
      <c r="A3" s="120"/>
      <c r="B3" s="121"/>
      <c r="C3" s="121"/>
      <c r="D3" s="121"/>
      <c r="E3" s="121"/>
      <c r="F3" s="121"/>
      <c r="G3" s="122"/>
      <c r="H3" s="43"/>
      <c r="I3" s="43"/>
    </row>
    <row r="5" spans="1:9" x14ac:dyDescent="0.25">
      <c r="A5" s="25" t="s">
        <v>680</v>
      </c>
      <c r="B5" s="25" t="s">
        <v>681</v>
      </c>
      <c r="C5" s="25" t="s">
        <v>682</v>
      </c>
      <c r="D5" s="25" t="s">
        <v>683</v>
      </c>
      <c r="E5" s="25" t="s">
        <v>684</v>
      </c>
      <c r="F5" s="25" t="s">
        <v>685</v>
      </c>
      <c r="G5" s="25" t="s">
        <v>686</v>
      </c>
    </row>
    <row r="6" spans="1:9" x14ac:dyDescent="0.25">
      <c r="A6" s="123" t="s">
        <v>7</v>
      </c>
      <c r="B6" s="3"/>
      <c r="C6" s="25"/>
      <c r="D6" s="45"/>
      <c r="E6" s="25"/>
      <c r="F6" s="45"/>
      <c r="G6" s="115"/>
    </row>
    <row r="7" spans="1:9" x14ac:dyDescent="0.25">
      <c r="A7" s="124"/>
      <c r="B7" s="3"/>
      <c r="C7" s="25"/>
      <c r="D7" s="46" t="e">
        <f>(C7-C6)/C6</f>
        <v>#DIV/0!</v>
      </c>
      <c r="E7" s="25"/>
      <c r="F7" s="46" t="e">
        <f>(E7-E6)/E6</f>
        <v>#DIV/0!</v>
      </c>
      <c r="G7" s="116"/>
    </row>
    <row r="8" spans="1:9" x14ac:dyDescent="0.25">
      <c r="A8" s="124"/>
      <c r="B8" s="3"/>
      <c r="C8" s="25"/>
      <c r="D8" s="46" t="e">
        <f t="shared" ref="D8:D71" si="0">(C8-C7)/C7</f>
        <v>#DIV/0!</v>
      </c>
      <c r="E8" s="25"/>
      <c r="F8" s="46" t="e">
        <f t="shared" ref="F8:F71" si="1">(E8-E7)/E7</f>
        <v>#DIV/0!</v>
      </c>
      <c r="G8" s="116"/>
    </row>
    <row r="9" spans="1:9" x14ac:dyDescent="0.25">
      <c r="A9" s="124"/>
      <c r="B9" s="3"/>
      <c r="C9" s="25"/>
      <c r="D9" s="46" t="e">
        <f t="shared" si="0"/>
        <v>#DIV/0!</v>
      </c>
      <c r="E9" s="25"/>
      <c r="F9" s="46" t="e">
        <f t="shared" si="1"/>
        <v>#DIV/0!</v>
      </c>
      <c r="G9" s="116"/>
    </row>
    <row r="10" spans="1:9" x14ac:dyDescent="0.25">
      <c r="A10" s="124"/>
      <c r="B10" s="3"/>
      <c r="C10" s="25"/>
      <c r="D10" s="46" t="e">
        <f t="shared" si="0"/>
        <v>#DIV/0!</v>
      </c>
      <c r="E10" s="25"/>
      <c r="F10" s="46" t="e">
        <f t="shared" si="1"/>
        <v>#DIV/0!</v>
      </c>
      <c r="G10" s="116"/>
    </row>
    <row r="11" spans="1:9" x14ac:dyDescent="0.25">
      <c r="A11" s="125"/>
      <c r="B11" s="3"/>
      <c r="C11" s="25"/>
      <c r="D11" s="46" t="e">
        <f t="shared" si="0"/>
        <v>#DIV/0!</v>
      </c>
      <c r="E11" s="25"/>
      <c r="F11" s="46" t="e">
        <f t="shared" si="1"/>
        <v>#DIV/0!</v>
      </c>
      <c r="G11" s="117"/>
    </row>
    <row r="12" spans="1:9" x14ac:dyDescent="0.25">
      <c r="A12" s="123" t="s">
        <v>8</v>
      </c>
      <c r="B12" s="3"/>
      <c r="C12" s="25"/>
      <c r="D12" s="46" t="e">
        <f t="shared" si="0"/>
        <v>#DIV/0!</v>
      </c>
      <c r="E12" s="25"/>
      <c r="F12" s="46" t="e">
        <f t="shared" si="1"/>
        <v>#DIV/0!</v>
      </c>
      <c r="G12" s="112" t="e">
        <f>(E17-E11)/E11</f>
        <v>#DIV/0!</v>
      </c>
    </row>
    <row r="13" spans="1:9" x14ac:dyDescent="0.25">
      <c r="A13" s="124"/>
      <c r="B13" s="3"/>
      <c r="C13" s="25"/>
      <c r="D13" s="46" t="e">
        <f t="shared" si="0"/>
        <v>#DIV/0!</v>
      </c>
      <c r="E13" s="25"/>
      <c r="F13" s="46" t="e">
        <f t="shared" si="1"/>
        <v>#DIV/0!</v>
      </c>
      <c r="G13" s="113"/>
    </row>
    <row r="14" spans="1:9" x14ac:dyDescent="0.25">
      <c r="A14" s="124"/>
      <c r="B14" s="3"/>
      <c r="C14" s="25"/>
      <c r="D14" s="46" t="e">
        <f t="shared" si="0"/>
        <v>#DIV/0!</v>
      </c>
      <c r="E14" s="25"/>
      <c r="F14" s="46" t="e">
        <f t="shared" si="1"/>
        <v>#DIV/0!</v>
      </c>
      <c r="G14" s="113"/>
    </row>
    <row r="15" spans="1:9" x14ac:dyDescent="0.25">
      <c r="A15" s="124"/>
      <c r="B15" s="3"/>
      <c r="C15" s="25"/>
      <c r="D15" s="46" t="e">
        <f t="shared" si="0"/>
        <v>#DIV/0!</v>
      </c>
      <c r="E15" s="25"/>
      <c r="F15" s="46" t="e">
        <f t="shared" si="1"/>
        <v>#DIV/0!</v>
      </c>
      <c r="G15" s="113"/>
    </row>
    <row r="16" spans="1:9" x14ac:dyDescent="0.25">
      <c r="A16" s="124"/>
      <c r="B16" s="3"/>
      <c r="C16" s="25"/>
      <c r="D16" s="46" t="e">
        <f t="shared" si="0"/>
        <v>#DIV/0!</v>
      </c>
      <c r="E16" s="25"/>
      <c r="F16" s="46" t="e">
        <f t="shared" si="1"/>
        <v>#DIV/0!</v>
      </c>
      <c r="G16" s="113"/>
    </row>
    <row r="17" spans="1:7" x14ac:dyDescent="0.25">
      <c r="A17" s="125"/>
      <c r="B17" s="3"/>
      <c r="C17" s="25"/>
      <c r="D17" s="46" t="e">
        <f t="shared" si="0"/>
        <v>#DIV/0!</v>
      </c>
      <c r="E17" s="25"/>
      <c r="F17" s="46" t="e">
        <f t="shared" si="1"/>
        <v>#DIV/0!</v>
      </c>
      <c r="G17" s="114"/>
    </row>
    <row r="18" spans="1:7" x14ac:dyDescent="0.25">
      <c r="A18" s="123" t="s">
        <v>9</v>
      </c>
      <c r="B18" s="3"/>
      <c r="C18" s="25"/>
      <c r="D18" s="46" t="e">
        <f t="shared" si="0"/>
        <v>#DIV/0!</v>
      </c>
      <c r="E18" s="25"/>
      <c r="F18" s="46" t="e">
        <f t="shared" si="1"/>
        <v>#DIV/0!</v>
      </c>
      <c r="G18" s="112" t="e">
        <f t="shared" ref="G18" si="2">(E23-E17)/E17</f>
        <v>#DIV/0!</v>
      </c>
    </row>
    <row r="19" spans="1:7" x14ac:dyDescent="0.25">
      <c r="A19" s="124"/>
      <c r="B19" s="3"/>
      <c r="C19" s="25"/>
      <c r="D19" s="46" t="e">
        <f t="shared" si="0"/>
        <v>#DIV/0!</v>
      </c>
      <c r="E19" s="25"/>
      <c r="F19" s="46" t="e">
        <f t="shared" si="1"/>
        <v>#DIV/0!</v>
      </c>
      <c r="G19" s="113"/>
    </row>
    <row r="20" spans="1:7" x14ac:dyDescent="0.25">
      <c r="A20" s="124"/>
      <c r="B20" s="3"/>
      <c r="C20" s="25"/>
      <c r="D20" s="46" t="e">
        <f t="shared" si="0"/>
        <v>#DIV/0!</v>
      </c>
      <c r="E20" s="25"/>
      <c r="F20" s="46" t="e">
        <f t="shared" si="1"/>
        <v>#DIV/0!</v>
      </c>
      <c r="G20" s="113"/>
    </row>
    <row r="21" spans="1:7" x14ac:dyDescent="0.25">
      <c r="A21" s="124"/>
      <c r="B21" s="3"/>
      <c r="C21" s="25"/>
      <c r="D21" s="46" t="e">
        <f t="shared" si="0"/>
        <v>#DIV/0!</v>
      </c>
      <c r="E21" s="25"/>
      <c r="F21" s="46" t="e">
        <f t="shared" si="1"/>
        <v>#DIV/0!</v>
      </c>
      <c r="G21" s="113"/>
    </row>
    <row r="22" spans="1:7" x14ac:dyDescent="0.25">
      <c r="A22" s="124"/>
      <c r="B22" s="3"/>
      <c r="C22" s="25"/>
      <c r="D22" s="46" t="e">
        <f t="shared" si="0"/>
        <v>#DIV/0!</v>
      </c>
      <c r="E22" s="25"/>
      <c r="F22" s="46" t="e">
        <f t="shared" si="1"/>
        <v>#DIV/0!</v>
      </c>
      <c r="G22" s="113"/>
    </row>
    <row r="23" spans="1:7" x14ac:dyDescent="0.25">
      <c r="A23" s="125"/>
      <c r="B23" s="3"/>
      <c r="C23" s="25"/>
      <c r="D23" s="46" t="e">
        <f t="shared" si="0"/>
        <v>#DIV/0!</v>
      </c>
      <c r="E23" s="25"/>
      <c r="F23" s="46" t="e">
        <f t="shared" si="1"/>
        <v>#DIV/0!</v>
      </c>
      <c r="G23" s="114"/>
    </row>
    <row r="24" spans="1:7" x14ac:dyDescent="0.25">
      <c r="A24" s="123" t="s">
        <v>10</v>
      </c>
      <c r="B24" s="3"/>
      <c r="C24" s="25"/>
      <c r="D24" s="46" t="e">
        <f t="shared" si="0"/>
        <v>#DIV/0!</v>
      </c>
      <c r="E24" s="25"/>
      <c r="F24" s="46" t="e">
        <f t="shared" si="1"/>
        <v>#DIV/0!</v>
      </c>
      <c r="G24" s="112" t="e">
        <f t="shared" ref="G24" si="3">(E29-E23)/E23</f>
        <v>#DIV/0!</v>
      </c>
    </row>
    <row r="25" spans="1:7" x14ac:dyDescent="0.25">
      <c r="A25" s="124"/>
      <c r="B25" s="3"/>
      <c r="C25" s="25"/>
      <c r="D25" s="46" t="e">
        <f t="shared" si="0"/>
        <v>#DIV/0!</v>
      </c>
      <c r="E25" s="25"/>
      <c r="F25" s="46" t="e">
        <f t="shared" si="1"/>
        <v>#DIV/0!</v>
      </c>
      <c r="G25" s="113"/>
    </row>
    <row r="26" spans="1:7" x14ac:dyDescent="0.25">
      <c r="A26" s="124"/>
      <c r="B26" s="3"/>
      <c r="C26" s="25"/>
      <c r="D26" s="46" t="e">
        <f t="shared" si="0"/>
        <v>#DIV/0!</v>
      </c>
      <c r="E26" s="25"/>
      <c r="F26" s="46" t="e">
        <f t="shared" si="1"/>
        <v>#DIV/0!</v>
      </c>
      <c r="G26" s="113"/>
    </row>
    <row r="27" spans="1:7" x14ac:dyDescent="0.25">
      <c r="A27" s="124"/>
      <c r="B27" s="3"/>
      <c r="C27" s="25"/>
      <c r="D27" s="46" t="e">
        <f t="shared" si="0"/>
        <v>#DIV/0!</v>
      </c>
      <c r="E27" s="25"/>
      <c r="F27" s="46" t="e">
        <f t="shared" si="1"/>
        <v>#DIV/0!</v>
      </c>
      <c r="G27" s="113"/>
    </row>
    <row r="28" spans="1:7" x14ac:dyDescent="0.25">
      <c r="A28" s="124"/>
      <c r="B28" s="3"/>
      <c r="C28" s="25"/>
      <c r="D28" s="46" t="e">
        <f t="shared" si="0"/>
        <v>#DIV/0!</v>
      </c>
      <c r="E28" s="25"/>
      <c r="F28" s="46" t="e">
        <f t="shared" si="1"/>
        <v>#DIV/0!</v>
      </c>
      <c r="G28" s="113"/>
    </row>
    <row r="29" spans="1:7" x14ac:dyDescent="0.25">
      <c r="A29" s="125"/>
      <c r="B29" s="3"/>
      <c r="C29" s="25"/>
      <c r="D29" s="46" t="e">
        <f t="shared" si="0"/>
        <v>#DIV/0!</v>
      </c>
      <c r="E29" s="25"/>
      <c r="F29" s="46" t="e">
        <f t="shared" si="1"/>
        <v>#DIV/0!</v>
      </c>
      <c r="G29" s="114"/>
    </row>
    <row r="30" spans="1:7" x14ac:dyDescent="0.25">
      <c r="A30" s="123" t="s">
        <v>11</v>
      </c>
      <c r="B30" s="3"/>
      <c r="C30" s="25"/>
      <c r="D30" s="46" t="e">
        <f t="shared" si="0"/>
        <v>#DIV/0!</v>
      </c>
      <c r="E30" s="25"/>
      <c r="F30" s="46" t="e">
        <f t="shared" si="1"/>
        <v>#DIV/0!</v>
      </c>
      <c r="G30" s="112" t="e">
        <f t="shared" ref="G30" si="4">(E35-E29)/E29</f>
        <v>#DIV/0!</v>
      </c>
    </row>
    <row r="31" spans="1:7" x14ac:dyDescent="0.25">
      <c r="A31" s="124"/>
      <c r="B31" s="3"/>
      <c r="C31" s="25"/>
      <c r="D31" s="46" t="e">
        <f t="shared" si="0"/>
        <v>#DIV/0!</v>
      </c>
      <c r="E31" s="25"/>
      <c r="F31" s="46" t="e">
        <f t="shared" si="1"/>
        <v>#DIV/0!</v>
      </c>
      <c r="G31" s="113"/>
    </row>
    <row r="32" spans="1:7" x14ac:dyDescent="0.25">
      <c r="A32" s="124"/>
      <c r="B32" s="3"/>
      <c r="C32" s="25"/>
      <c r="D32" s="46" t="e">
        <f t="shared" si="0"/>
        <v>#DIV/0!</v>
      </c>
      <c r="E32" s="25"/>
      <c r="F32" s="46" t="e">
        <f t="shared" si="1"/>
        <v>#DIV/0!</v>
      </c>
      <c r="G32" s="113"/>
    </row>
    <row r="33" spans="1:7" x14ac:dyDescent="0.25">
      <c r="A33" s="124"/>
      <c r="B33" s="3"/>
      <c r="C33" s="25"/>
      <c r="D33" s="46" t="e">
        <f t="shared" si="0"/>
        <v>#DIV/0!</v>
      </c>
      <c r="E33" s="25"/>
      <c r="F33" s="46" t="e">
        <f t="shared" si="1"/>
        <v>#DIV/0!</v>
      </c>
      <c r="G33" s="113"/>
    </row>
    <row r="34" spans="1:7" x14ac:dyDescent="0.25">
      <c r="A34" s="124"/>
      <c r="B34" s="3"/>
      <c r="C34" s="25"/>
      <c r="D34" s="46" t="e">
        <f t="shared" si="0"/>
        <v>#DIV/0!</v>
      </c>
      <c r="E34" s="25"/>
      <c r="F34" s="46" t="e">
        <f t="shared" si="1"/>
        <v>#DIV/0!</v>
      </c>
      <c r="G34" s="113"/>
    </row>
    <row r="35" spans="1:7" x14ac:dyDescent="0.25">
      <c r="A35" s="125"/>
      <c r="B35" s="3"/>
      <c r="C35" s="25"/>
      <c r="D35" s="46" t="e">
        <f t="shared" si="0"/>
        <v>#DIV/0!</v>
      </c>
      <c r="E35" s="25"/>
      <c r="F35" s="46" t="e">
        <f t="shared" si="1"/>
        <v>#DIV/0!</v>
      </c>
      <c r="G35" s="114"/>
    </row>
    <row r="36" spans="1:7" x14ac:dyDescent="0.25">
      <c r="A36" s="123" t="s">
        <v>12</v>
      </c>
      <c r="B36" s="3"/>
      <c r="C36" s="25"/>
      <c r="D36" s="46" t="e">
        <f t="shared" si="0"/>
        <v>#DIV/0!</v>
      </c>
      <c r="E36" s="25"/>
      <c r="F36" s="46" t="e">
        <f t="shared" si="1"/>
        <v>#DIV/0!</v>
      </c>
      <c r="G36" s="112" t="e">
        <f t="shared" ref="G36" si="5">(E41-E35)/E35</f>
        <v>#DIV/0!</v>
      </c>
    </row>
    <row r="37" spans="1:7" x14ac:dyDescent="0.25">
      <c r="A37" s="124"/>
      <c r="B37" s="3"/>
      <c r="C37" s="25"/>
      <c r="D37" s="46" t="e">
        <f t="shared" si="0"/>
        <v>#DIV/0!</v>
      </c>
      <c r="E37" s="25"/>
      <c r="F37" s="46" t="e">
        <f t="shared" si="1"/>
        <v>#DIV/0!</v>
      </c>
      <c r="G37" s="113"/>
    </row>
    <row r="38" spans="1:7" x14ac:dyDescent="0.25">
      <c r="A38" s="124"/>
      <c r="B38" s="3"/>
      <c r="C38" s="25"/>
      <c r="D38" s="46" t="e">
        <f t="shared" si="0"/>
        <v>#DIV/0!</v>
      </c>
      <c r="E38" s="25"/>
      <c r="F38" s="46" t="e">
        <f t="shared" si="1"/>
        <v>#DIV/0!</v>
      </c>
      <c r="G38" s="113"/>
    </row>
    <row r="39" spans="1:7" x14ac:dyDescent="0.25">
      <c r="A39" s="124"/>
      <c r="B39" s="3"/>
      <c r="C39" s="25"/>
      <c r="D39" s="46" t="e">
        <f t="shared" si="0"/>
        <v>#DIV/0!</v>
      </c>
      <c r="E39" s="25"/>
      <c r="F39" s="46" t="e">
        <f t="shared" si="1"/>
        <v>#DIV/0!</v>
      </c>
      <c r="G39" s="113"/>
    </row>
    <row r="40" spans="1:7" x14ac:dyDescent="0.25">
      <c r="A40" s="124"/>
      <c r="B40" s="3"/>
      <c r="C40" s="25"/>
      <c r="D40" s="46" t="e">
        <f t="shared" si="0"/>
        <v>#DIV/0!</v>
      </c>
      <c r="E40" s="25"/>
      <c r="F40" s="46" t="e">
        <f t="shared" si="1"/>
        <v>#DIV/0!</v>
      </c>
      <c r="G40" s="113"/>
    </row>
    <row r="41" spans="1:7" x14ac:dyDescent="0.25">
      <c r="A41" s="125"/>
      <c r="B41" s="3"/>
      <c r="C41" s="25"/>
      <c r="D41" s="46" t="e">
        <f t="shared" si="0"/>
        <v>#DIV/0!</v>
      </c>
      <c r="E41" s="25"/>
      <c r="F41" s="46" t="e">
        <f t="shared" si="1"/>
        <v>#DIV/0!</v>
      </c>
      <c r="G41" s="114"/>
    </row>
    <row r="42" spans="1:7" x14ac:dyDescent="0.25">
      <c r="A42" s="123" t="s">
        <v>13</v>
      </c>
      <c r="B42" s="3"/>
      <c r="C42" s="25"/>
      <c r="D42" s="46" t="e">
        <f t="shared" si="0"/>
        <v>#DIV/0!</v>
      </c>
      <c r="E42" s="25"/>
      <c r="F42" s="46" t="e">
        <f t="shared" si="1"/>
        <v>#DIV/0!</v>
      </c>
      <c r="G42" s="112" t="e">
        <f t="shared" ref="G42" si="6">(E47-E41)/E41</f>
        <v>#DIV/0!</v>
      </c>
    </row>
    <row r="43" spans="1:7" x14ac:dyDescent="0.25">
      <c r="A43" s="124"/>
      <c r="B43" s="3"/>
      <c r="C43" s="25"/>
      <c r="D43" s="46" t="e">
        <f t="shared" si="0"/>
        <v>#DIV/0!</v>
      </c>
      <c r="E43" s="25"/>
      <c r="F43" s="46" t="e">
        <f t="shared" si="1"/>
        <v>#DIV/0!</v>
      </c>
      <c r="G43" s="113"/>
    </row>
    <row r="44" spans="1:7" x14ac:dyDescent="0.25">
      <c r="A44" s="124"/>
      <c r="B44" s="3"/>
      <c r="C44" s="25"/>
      <c r="D44" s="46" t="e">
        <f t="shared" si="0"/>
        <v>#DIV/0!</v>
      </c>
      <c r="E44" s="25"/>
      <c r="F44" s="46" t="e">
        <f t="shared" si="1"/>
        <v>#DIV/0!</v>
      </c>
      <c r="G44" s="113"/>
    </row>
    <row r="45" spans="1:7" x14ac:dyDescent="0.25">
      <c r="A45" s="124"/>
      <c r="B45" s="3"/>
      <c r="C45" s="25"/>
      <c r="D45" s="46" t="e">
        <f t="shared" si="0"/>
        <v>#DIV/0!</v>
      </c>
      <c r="E45" s="25"/>
      <c r="F45" s="46" t="e">
        <f t="shared" si="1"/>
        <v>#DIV/0!</v>
      </c>
      <c r="G45" s="113"/>
    </row>
    <row r="46" spans="1:7" x14ac:dyDescent="0.25">
      <c r="A46" s="124"/>
      <c r="B46" s="3"/>
      <c r="C46" s="25"/>
      <c r="D46" s="46" t="e">
        <f t="shared" si="0"/>
        <v>#DIV/0!</v>
      </c>
      <c r="E46" s="25"/>
      <c r="F46" s="46" t="e">
        <f t="shared" si="1"/>
        <v>#DIV/0!</v>
      </c>
      <c r="G46" s="113"/>
    </row>
    <row r="47" spans="1:7" x14ac:dyDescent="0.25">
      <c r="A47" s="125"/>
      <c r="B47" s="3"/>
      <c r="C47" s="25"/>
      <c r="D47" s="46" t="e">
        <f t="shared" si="0"/>
        <v>#DIV/0!</v>
      </c>
      <c r="E47" s="25"/>
      <c r="F47" s="46" t="e">
        <f t="shared" si="1"/>
        <v>#DIV/0!</v>
      </c>
      <c r="G47" s="114"/>
    </row>
    <row r="48" spans="1:7" x14ac:dyDescent="0.25">
      <c r="A48" s="111" t="s">
        <v>14</v>
      </c>
      <c r="B48" s="3"/>
      <c r="C48" s="25"/>
      <c r="D48" s="46" t="e">
        <f t="shared" si="0"/>
        <v>#DIV/0!</v>
      </c>
      <c r="E48" s="25"/>
      <c r="F48" s="46" t="e">
        <f t="shared" si="1"/>
        <v>#DIV/0!</v>
      </c>
      <c r="G48" s="112" t="e">
        <f t="shared" ref="G48" si="7">(E53-E47)/E47</f>
        <v>#DIV/0!</v>
      </c>
    </row>
    <row r="49" spans="1:7" x14ac:dyDescent="0.25">
      <c r="A49" s="111"/>
      <c r="B49" s="3"/>
      <c r="C49" s="25"/>
      <c r="D49" s="46" t="e">
        <f t="shared" si="0"/>
        <v>#DIV/0!</v>
      </c>
      <c r="E49" s="25"/>
      <c r="F49" s="46" t="e">
        <f t="shared" si="1"/>
        <v>#DIV/0!</v>
      </c>
      <c r="G49" s="113"/>
    </row>
    <row r="50" spans="1:7" x14ac:dyDescent="0.25">
      <c r="A50" s="111"/>
      <c r="B50" s="3"/>
      <c r="C50" s="25"/>
      <c r="D50" s="46" t="e">
        <f t="shared" si="0"/>
        <v>#DIV/0!</v>
      </c>
      <c r="E50" s="25"/>
      <c r="F50" s="46" t="e">
        <f t="shared" si="1"/>
        <v>#DIV/0!</v>
      </c>
      <c r="G50" s="113"/>
    </row>
    <row r="51" spans="1:7" x14ac:dyDescent="0.25">
      <c r="A51" s="111"/>
      <c r="B51" s="3"/>
      <c r="C51" s="25"/>
      <c r="D51" s="46" t="e">
        <f t="shared" si="0"/>
        <v>#DIV/0!</v>
      </c>
      <c r="E51" s="25"/>
      <c r="F51" s="46" t="e">
        <f t="shared" si="1"/>
        <v>#DIV/0!</v>
      </c>
      <c r="G51" s="113"/>
    </row>
    <row r="52" spans="1:7" x14ac:dyDescent="0.25">
      <c r="A52" s="111"/>
      <c r="B52" s="3"/>
      <c r="C52" s="25"/>
      <c r="D52" s="46" t="e">
        <f t="shared" si="0"/>
        <v>#DIV/0!</v>
      </c>
      <c r="E52" s="25"/>
      <c r="F52" s="46" t="e">
        <f t="shared" si="1"/>
        <v>#DIV/0!</v>
      </c>
      <c r="G52" s="113"/>
    </row>
    <row r="53" spans="1:7" x14ac:dyDescent="0.25">
      <c r="A53" s="111"/>
      <c r="B53" s="3"/>
      <c r="C53" s="25"/>
      <c r="D53" s="46" t="e">
        <f t="shared" si="0"/>
        <v>#DIV/0!</v>
      </c>
      <c r="E53" s="25"/>
      <c r="F53" s="46" t="e">
        <f t="shared" si="1"/>
        <v>#DIV/0!</v>
      </c>
      <c r="G53" s="114"/>
    </row>
    <row r="54" spans="1:7" x14ac:dyDescent="0.25">
      <c r="A54" s="111"/>
      <c r="B54" s="3"/>
      <c r="C54" s="25"/>
      <c r="D54" s="46" t="e">
        <f t="shared" si="0"/>
        <v>#DIV/0!</v>
      </c>
      <c r="E54" s="25"/>
      <c r="F54" s="46" t="e">
        <f t="shared" si="1"/>
        <v>#DIV/0!</v>
      </c>
      <c r="G54" s="112" t="e">
        <f t="shared" ref="G54" si="8">(E59-E53)/E53</f>
        <v>#DIV/0!</v>
      </c>
    </row>
    <row r="55" spans="1:7" x14ac:dyDescent="0.25">
      <c r="A55" s="111"/>
      <c r="B55" s="3"/>
      <c r="C55" s="25"/>
      <c r="D55" s="46" t="e">
        <f t="shared" si="0"/>
        <v>#DIV/0!</v>
      </c>
      <c r="E55" s="25"/>
      <c r="F55" s="46" t="e">
        <f t="shared" si="1"/>
        <v>#DIV/0!</v>
      </c>
      <c r="G55" s="113"/>
    </row>
    <row r="56" spans="1:7" x14ac:dyDescent="0.25">
      <c r="A56" s="111"/>
      <c r="B56" s="3"/>
      <c r="C56" s="25"/>
      <c r="D56" s="46" t="e">
        <f t="shared" si="0"/>
        <v>#DIV/0!</v>
      </c>
      <c r="E56" s="25"/>
      <c r="F56" s="46" t="e">
        <f t="shared" si="1"/>
        <v>#DIV/0!</v>
      </c>
      <c r="G56" s="113"/>
    </row>
    <row r="57" spans="1:7" x14ac:dyDescent="0.25">
      <c r="A57" s="111"/>
      <c r="B57" s="3"/>
      <c r="C57" s="25"/>
      <c r="D57" s="46" t="e">
        <f t="shared" si="0"/>
        <v>#DIV/0!</v>
      </c>
      <c r="E57" s="25"/>
      <c r="F57" s="46" t="e">
        <f t="shared" si="1"/>
        <v>#DIV/0!</v>
      </c>
      <c r="G57" s="113"/>
    </row>
    <row r="58" spans="1:7" x14ac:dyDescent="0.25">
      <c r="A58" s="111"/>
      <c r="B58" s="3"/>
      <c r="C58" s="25"/>
      <c r="D58" s="46" t="e">
        <f t="shared" si="0"/>
        <v>#DIV/0!</v>
      </c>
      <c r="E58" s="25"/>
      <c r="F58" s="46" t="e">
        <f t="shared" si="1"/>
        <v>#DIV/0!</v>
      </c>
      <c r="G58" s="113"/>
    </row>
    <row r="59" spans="1:7" x14ac:dyDescent="0.25">
      <c r="A59" s="111"/>
      <c r="B59" s="3"/>
      <c r="C59" s="25"/>
      <c r="D59" s="46" t="e">
        <f t="shared" si="0"/>
        <v>#DIV/0!</v>
      </c>
      <c r="E59" s="25"/>
      <c r="F59" s="46" t="e">
        <f t="shared" si="1"/>
        <v>#DIV/0!</v>
      </c>
      <c r="G59" s="114"/>
    </row>
    <row r="60" spans="1:7" x14ac:dyDescent="0.25">
      <c r="A60" s="111"/>
      <c r="B60" s="3"/>
      <c r="C60" s="25"/>
      <c r="D60" s="46" t="e">
        <f t="shared" si="0"/>
        <v>#DIV/0!</v>
      </c>
      <c r="E60" s="25"/>
      <c r="F60" s="46" t="e">
        <f t="shared" si="1"/>
        <v>#DIV/0!</v>
      </c>
      <c r="G60" s="112" t="e">
        <f t="shared" ref="G60" si="9">(E65-E59)/E59</f>
        <v>#DIV/0!</v>
      </c>
    </row>
    <row r="61" spans="1:7" x14ac:dyDescent="0.25">
      <c r="A61" s="111"/>
      <c r="B61" s="3"/>
      <c r="C61" s="25"/>
      <c r="D61" s="46" t="e">
        <f t="shared" si="0"/>
        <v>#DIV/0!</v>
      </c>
      <c r="E61" s="25"/>
      <c r="F61" s="46" t="e">
        <f t="shared" si="1"/>
        <v>#DIV/0!</v>
      </c>
      <c r="G61" s="113"/>
    </row>
    <row r="62" spans="1:7" x14ac:dyDescent="0.25">
      <c r="A62" s="111"/>
      <c r="B62" s="3"/>
      <c r="C62" s="25"/>
      <c r="D62" s="46" t="e">
        <f t="shared" si="0"/>
        <v>#DIV/0!</v>
      </c>
      <c r="E62" s="25"/>
      <c r="F62" s="46" t="e">
        <f t="shared" si="1"/>
        <v>#DIV/0!</v>
      </c>
      <c r="G62" s="113"/>
    </row>
    <row r="63" spans="1:7" x14ac:dyDescent="0.25">
      <c r="A63" s="111"/>
      <c r="B63" s="3"/>
      <c r="C63" s="25"/>
      <c r="D63" s="46" t="e">
        <f t="shared" si="0"/>
        <v>#DIV/0!</v>
      </c>
      <c r="E63" s="25"/>
      <c r="F63" s="46" t="e">
        <f t="shared" si="1"/>
        <v>#DIV/0!</v>
      </c>
      <c r="G63" s="113"/>
    </row>
    <row r="64" spans="1:7" x14ac:dyDescent="0.25">
      <c r="A64" s="111"/>
      <c r="B64" s="3"/>
      <c r="C64" s="25"/>
      <c r="D64" s="46" t="e">
        <f t="shared" si="0"/>
        <v>#DIV/0!</v>
      </c>
      <c r="E64" s="25"/>
      <c r="F64" s="46" t="e">
        <f t="shared" si="1"/>
        <v>#DIV/0!</v>
      </c>
      <c r="G64" s="113"/>
    </row>
    <row r="65" spans="1:7" x14ac:dyDescent="0.25">
      <c r="A65" s="111"/>
      <c r="B65" s="3"/>
      <c r="C65" s="25"/>
      <c r="D65" s="46" t="e">
        <f t="shared" si="0"/>
        <v>#DIV/0!</v>
      </c>
      <c r="E65" s="25"/>
      <c r="F65" s="46" t="e">
        <f t="shared" si="1"/>
        <v>#DIV/0!</v>
      </c>
      <c r="G65" s="114"/>
    </row>
    <row r="66" spans="1:7" x14ac:dyDescent="0.25">
      <c r="A66" s="111"/>
      <c r="B66" s="3"/>
      <c r="C66" s="25"/>
      <c r="D66" s="46" t="e">
        <f t="shared" si="0"/>
        <v>#DIV/0!</v>
      </c>
      <c r="E66" s="25"/>
      <c r="F66" s="46" t="e">
        <f t="shared" si="1"/>
        <v>#DIV/0!</v>
      </c>
      <c r="G66" s="112" t="e">
        <f t="shared" ref="G66" si="10">(E71-E65)/E65</f>
        <v>#DIV/0!</v>
      </c>
    </row>
    <row r="67" spans="1:7" x14ac:dyDescent="0.25">
      <c r="A67" s="111"/>
      <c r="B67" s="3"/>
      <c r="C67" s="25"/>
      <c r="D67" s="46" t="e">
        <f t="shared" si="0"/>
        <v>#DIV/0!</v>
      </c>
      <c r="E67" s="25"/>
      <c r="F67" s="46" t="e">
        <f t="shared" si="1"/>
        <v>#DIV/0!</v>
      </c>
      <c r="G67" s="113"/>
    </row>
    <row r="68" spans="1:7" x14ac:dyDescent="0.25">
      <c r="A68" s="111"/>
      <c r="B68" s="3"/>
      <c r="C68" s="25"/>
      <c r="D68" s="46" t="e">
        <f t="shared" si="0"/>
        <v>#DIV/0!</v>
      </c>
      <c r="E68" s="25"/>
      <c r="F68" s="46" t="e">
        <f t="shared" si="1"/>
        <v>#DIV/0!</v>
      </c>
      <c r="G68" s="113"/>
    </row>
    <row r="69" spans="1:7" x14ac:dyDescent="0.25">
      <c r="A69" s="111"/>
      <c r="B69" s="3"/>
      <c r="C69" s="25"/>
      <c r="D69" s="46" t="e">
        <f t="shared" si="0"/>
        <v>#DIV/0!</v>
      </c>
      <c r="E69" s="25"/>
      <c r="F69" s="46" t="e">
        <f t="shared" si="1"/>
        <v>#DIV/0!</v>
      </c>
      <c r="G69" s="113"/>
    </row>
    <row r="70" spans="1:7" x14ac:dyDescent="0.25">
      <c r="A70" s="111"/>
      <c r="B70" s="3"/>
      <c r="C70" s="25"/>
      <c r="D70" s="46" t="e">
        <f t="shared" si="0"/>
        <v>#DIV/0!</v>
      </c>
      <c r="E70" s="25"/>
      <c r="F70" s="46" t="e">
        <f t="shared" si="1"/>
        <v>#DIV/0!</v>
      </c>
      <c r="G70" s="113"/>
    </row>
    <row r="71" spans="1:7" x14ac:dyDescent="0.25">
      <c r="A71" s="111"/>
      <c r="B71" s="3"/>
      <c r="C71" s="25"/>
      <c r="D71" s="46" t="e">
        <f t="shared" si="0"/>
        <v>#DIV/0!</v>
      </c>
      <c r="E71" s="25"/>
      <c r="F71" s="46" t="e">
        <f t="shared" si="1"/>
        <v>#DIV/0!</v>
      </c>
      <c r="G71" s="114"/>
    </row>
    <row r="72" spans="1:7" x14ac:dyDescent="0.25">
      <c r="A72" s="111"/>
      <c r="B72" s="3"/>
      <c r="C72" s="25"/>
      <c r="D72" s="46" t="e">
        <f t="shared" ref="D72:D135" si="11">(C72-C71)/C71</f>
        <v>#DIV/0!</v>
      </c>
      <c r="E72" s="25"/>
      <c r="F72" s="46" t="e">
        <f t="shared" ref="F72:F135" si="12">(E72-E71)/E71</f>
        <v>#DIV/0!</v>
      </c>
      <c r="G72" s="112" t="e">
        <f t="shared" ref="G72" si="13">(E77-E71)/E71</f>
        <v>#DIV/0!</v>
      </c>
    </row>
    <row r="73" spans="1:7" x14ac:dyDescent="0.25">
      <c r="A73" s="111"/>
      <c r="B73" s="3"/>
      <c r="C73" s="25"/>
      <c r="D73" s="46" t="e">
        <f t="shared" si="11"/>
        <v>#DIV/0!</v>
      </c>
      <c r="E73" s="25"/>
      <c r="F73" s="46" t="e">
        <f t="shared" si="12"/>
        <v>#DIV/0!</v>
      </c>
      <c r="G73" s="113"/>
    </row>
    <row r="74" spans="1:7" x14ac:dyDescent="0.25">
      <c r="A74" s="111"/>
      <c r="B74" s="3"/>
      <c r="C74" s="25"/>
      <c r="D74" s="46" t="e">
        <f t="shared" si="11"/>
        <v>#DIV/0!</v>
      </c>
      <c r="E74" s="25"/>
      <c r="F74" s="46" t="e">
        <f t="shared" si="12"/>
        <v>#DIV/0!</v>
      </c>
      <c r="G74" s="113"/>
    </row>
    <row r="75" spans="1:7" x14ac:dyDescent="0.25">
      <c r="A75" s="111"/>
      <c r="B75" s="3"/>
      <c r="C75" s="25"/>
      <c r="D75" s="46" t="e">
        <f t="shared" si="11"/>
        <v>#DIV/0!</v>
      </c>
      <c r="E75" s="25"/>
      <c r="F75" s="46" t="e">
        <f t="shared" si="12"/>
        <v>#DIV/0!</v>
      </c>
      <c r="G75" s="113"/>
    </row>
    <row r="76" spans="1:7" x14ac:dyDescent="0.25">
      <c r="A76" s="111"/>
      <c r="B76" s="3"/>
      <c r="C76" s="25"/>
      <c r="D76" s="46" t="e">
        <f t="shared" si="11"/>
        <v>#DIV/0!</v>
      </c>
      <c r="E76" s="25"/>
      <c r="F76" s="46" t="e">
        <f t="shared" si="12"/>
        <v>#DIV/0!</v>
      </c>
      <c r="G76" s="113"/>
    </row>
    <row r="77" spans="1:7" x14ac:dyDescent="0.25">
      <c r="A77" s="111"/>
      <c r="B77" s="3"/>
      <c r="C77" s="25"/>
      <c r="D77" s="46" t="e">
        <f t="shared" si="11"/>
        <v>#DIV/0!</v>
      </c>
      <c r="E77" s="25"/>
      <c r="F77" s="46" t="e">
        <f t="shared" si="12"/>
        <v>#DIV/0!</v>
      </c>
      <c r="G77" s="114"/>
    </row>
    <row r="78" spans="1:7" x14ac:dyDescent="0.25">
      <c r="A78" s="111"/>
      <c r="B78" s="3"/>
      <c r="C78" s="25"/>
      <c r="D78" s="46" t="e">
        <f t="shared" si="11"/>
        <v>#DIV/0!</v>
      </c>
      <c r="E78" s="25"/>
      <c r="F78" s="46" t="e">
        <f t="shared" si="12"/>
        <v>#DIV/0!</v>
      </c>
      <c r="G78" s="112" t="e">
        <f t="shared" ref="G78" si="14">(E83-E77)/E77</f>
        <v>#DIV/0!</v>
      </c>
    </row>
    <row r="79" spans="1:7" x14ac:dyDescent="0.25">
      <c r="A79" s="111"/>
      <c r="B79" s="3"/>
      <c r="C79" s="25"/>
      <c r="D79" s="46" t="e">
        <f t="shared" si="11"/>
        <v>#DIV/0!</v>
      </c>
      <c r="E79" s="25"/>
      <c r="F79" s="46" t="e">
        <f t="shared" si="12"/>
        <v>#DIV/0!</v>
      </c>
      <c r="G79" s="113"/>
    </row>
    <row r="80" spans="1:7" x14ac:dyDescent="0.25">
      <c r="A80" s="111"/>
      <c r="B80" s="3"/>
      <c r="C80" s="25"/>
      <c r="D80" s="46" t="e">
        <f t="shared" si="11"/>
        <v>#DIV/0!</v>
      </c>
      <c r="E80" s="25"/>
      <c r="F80" s="46" t="e">
        <f t="shared" si="12"/>
        <v>#DIV/0!</v>
      </c>
      <c r="G80" s="113"/>
    </row>
    <row r="81" spans="1:7" x14ac:dyDescent="0.25">
      <c r="A81" s="111"/>
      <c r="B81" s="3"/>
      <c r="C81" s="25"/>
      <c r="D81" s="46" t="e">
        <f t="shared" si="11"/>
        <v>#DIV/0!</v>
      </c>
      <c r="E81" s="25"/>
      <c r="F81" s="46" t="e">
        <f t="shared" si="12"/>
        <v>#DIV/0!</v>
      </c>
      <c r="G81" s="113"/>
    </row>
    <row r="82" spans="1:7" x14ac:dyDescent="0.25">
      <c r="A82" s="111"/>
      <c r="B82" s="3"/>
      <c r="C82" s="25"/>
      <c r="D82" s="46" t="e">
        <f t="shared" si="11"/>
        <v>#DIV/0!</v>
      </c>
      <c r="E82" s="25"/>
      <c r="F82" s="46" t="e">
        <f t="shared" si="12"/>
        <v>#DIV/0!</v>
      </c>
      <c r="G82" s="113"/>
    </row>
    <row r="83" spans="1:7" x14ac:dyDescent="0.25">
      <c r="A83" s="111"/>
      <c r="B83" s="3"/>
      <c r="C83" s="25"/>
      <c r="D83" s="46" t="e">
        <f t="shared" si="11"/>
        <v>#DIV/0!</v>
      </c>
      <c r="E83" s="25"/>
      <c r="F83" s="46" t="e">
        <f t="shared" si="12"/>
        <v>#DIV/0!</v>
      </c>
      <c r="G83" s="114"/>
    </row>
    <row r="84" spans="1:7" x14ac:dyDescent="0.25">
      <c r="A84" s="111"/>
      <c r="B84" s="3"/>
      <c r="C84" s="25"/>
      <c r="D84" s="46" t="e">
        <f t="shared" si="11"/>
        <v>#DIV/0!</v>
      </c>
      <c r="E84" s="25"/>
      <c r="F84" s="46" t="e">
        <f t="shared" si="12"/>
        <v>#DIV/0!</v>
      </c>
      <c r="G84" s="112" t="e">
        <f t="shared" ref="G84" si="15">(E89-E83)/E83</f>
        <v>#DIV/0!</v>
      </c>
    </row>
    <row r="85" spans="1:7" x14ac:dyDescent="0.25">
      <c r="A85" s="111"/>
      <c r="B85" s="3"/>
      <c r="C85" s="25"/>
      <c r="D85" s="46" t="e">
        <f t="shared" si="11"/>
        <v>#DIV/0!</v>
      </c>
      <c r="E85" s="25"/>
      <c r="F85" s="46" t="e">
        <f t="shared" si="12"/>
        <v>#DIV/0!</v>
      </c>
      <c r="G85" s="113"/>
    </row>
    <row r="86" spans="1:7" x14ac:dyDescent="0.25">
      <c r="A86" s="111"/>
      <c r="B86" s="3"/>
      <c r="C86" s="25"/>
      <c r="D86" s="46" t="e">
        <f t="shared" si="11"/>
        <v>#DIV/0!</v>
      </c>
      <c r="E86" s="25"/>
      <c r="F86" s="46" t="e">
        <f t="shared" si="12"/>
        <v>#DIV/0!</v>
      </c>
      <c r="G86" s="113"/>
    </row>
    <row r="87" spans="1:7" x14ac:dyDescent="0.25">
      <c r="A87" s="111"/>
      <c r="B87" s="3"/>
      <c r="C87" s="25"/>
      <c r="D87" s="46" t="e">
        <f t="shared" si="11"/>
        <v>#DIV/0!</v>
      </c>
      <c r="E87" s="25"/>
      <c r="F87" s="46" t="e">
        <f t="shared" si="12"/>
        <v>#DIV/0!</v>
      </c>
      <c r="G87" s="113"/>
    </row>
    <row r="88" spans="1:7" x14ac:dyDescent="0.25">
      <c r="A88" s="111"/>
      <c r="B88" s="3"/>
      <c r="C88" s="25"/>
      <c r="D88" s="46" t="e">
        <f t="shared" si="11"/>
        <v>#DIV/0!</v>
      </c>
      <c r="E88" s="25"/>
      <c r="F88" s="46" t="e">
        <f t="shared" si="12"/>
        <v>#DIV/0!</v>
      </c>
      <c r="G88" s="113"/>
    </row>
    <row r="89" spans="1:7" x14ac:dyDescent="0.25">
      <c r="A89" s="111"/>
      <c r="B89" s="3"/>
      <c r="C89" s="25"/>
      <c r="D89" s="46" t="e">
        <f t="shared" si="11"/>
        <v>#DIV/0!</v>
      </c>
      <c r="E89" s="25"/>
      <c r="F89" s="46" t="e">
        <f t="shared" si="12"/>
        <v>#DIV/0!</v>
      </c>
      <c r="G89" s="114"/>
    </row>
    <row r="90" spans="1:7" x14ac:dyDescent="0.25">
      <c r="A90" s="111"/>
      <c r="B90" s="3"/>
      <c r="C90" s="25"/>
      <c r="D90" s="46" t="e">
        <f t="shared" si="11"/>
        <v>#DIV/0!</v>
      </c>
      <c r="E90" s="25"/>
      <c r="F90" s="46" t="e">
        <f t="shared" si="12"/>
        <v>#DIV/0!</v>
      </c>
      <c r="G90" s="112" t="e">
        <f t="shared" ref="G90" si="16">(E95-E89)/E89</f>
        <v>#DIV/0!</v>
      </c>
    </row>
    <row r="91" spans="1:7" x14ac:dyDescent="0.25">
      <c r="A91" s="111"/>
      <c r="B91" s="3"/>
      <c r="C91" s="25"/>
      <c r="D91" s="46" t="e">
        <f t="shared" si="11"/>
        <v>#DIV/0!</v>
      </c>
      <c r="E91" s="25"/>
      <c r="F91" s="46" t="e">
        <f t="shared" si="12"/>
        <v>#DIV/0!</v>
      </c>
      <c r="G91" s="113"/>
    </row>
    <row r="92" spans="1:7" x14ac:dyDescent="0.25">
      <c r="A92" s="111"/>
      <c r="B92" s="3"/>
      <c r="C92" s="25"/>
      <c r="D92" s="46" t="e">
        <f t="shared" si="11"/>
        <v>#DIV/0!</v>
      </c>
      <c r="E92" s="25"/>
      <c r="F92" s="46" t="e">
        <f t="shared" si="12"/>
        <v>#DIV/0!</v>
      </c>
      <c r="G92" s="113"/>
    </row>
    <row r="93" spans="1:7" x14ac:dyDescent="0.25">
      <c r="A93" s="111"/>
      <c r="B93" s="3"/>
      <c r="C93" s="25"/>
      <c r="D93" s="46" t="e">
        <f t="shared" si="11"/>
        <v>#DIV/0!</v>
      </c>
      <c r="E93" s="25"/>
      <c r="F93" s="46" t="e">
        <f t="shared" si="12"/>
        <v>#DIV/0!</v>
      </c>
      <c r="G93" s="113"/>
    </row>
    <row r="94" spans="1:7" x14ac:dyDescent="0.25">
      <c r="A94" s="111"/>
      <c r="B94" s="3"/>
      <c r="C94" s="25"/>
      <c r="D94" s="46" t="e">
        <f t="shared" si="11"/>
        <v>#DIV/0!</v>
      </c>
      <c r="E94" s="25"/>
      <c r="F94" s="46" t="e">
        <f t="shared" si="12"/>
        <v>#DIV/0!</v>
      </c>
      <c r="G94" s="113"/>
    </row>
    <row r="95" spans="1:7" x14ac:dyDescent="0.25">
      <c r="A95" s="111"/>
      <c r="B95" s="3"/>
      <c r="C95" s="25"/>
      <c r="D95" s="46" t="e">
        <f t="shared" si="11"/>
        <v>#DIV/0!</v>
      </c>
      <c r="E95" s="25"/>
      <c r="F95" s="46" t="e">
        <f t="shared" si="12"/>
        <v>#DIV/0!</v>
      </c>
      <c r="G95" s="114"/>
    </row>
    <row r="96" spans="1:7" x14ac:dyDescent="0.25">
      <c r="A96" s="111"/>
      <c r="B96" s="3"/>
      <c r="C96" s="25"/>
      <c r="D96" s="46" t="e">
        <f t="shared" si="11"/>
        <v>#DIV/0!</v>
      </c>
      <c r="E96" s="25"/>
      <c r="F96" s="46" t="e">
        <f t="shared" si="12"/>
        <v>#DIV/0!</v>
      </c>
      <c r="G96" s="112" t="e">
        <f t="shared" ref="G96" si="17">(E101-E95)/E95</f>
        <v>#DIV/0!</v>
      </c>
    </row>
    <row r="97" spans="1:7" x14ac:dyDescent="0.25">
      <c r="A97" s="111"/>
      <c r="B97" s="3"/>
      <c r="C97" s="25"/>
      <c r="D97" s="46" t="e">
        <f t="shared" si="11"/>
        <v>#DIV/0!</v>
      </c>
      <c r="E97" s="25"/>
      <c r="F97" s="46" t="e">
        <f t="shared" si="12"/>
        <v>#DIV/0!</v>
      </c>
      <c r="G97" s="113"/>
    </row>
    <row r="98" spans="1:7" x14ac:dyDescent="0.25">
      <c r="A98" s="111"/>
      <c r="B98" s="3"/>
      <c r="C98" s="25"/>
      <c r="D98" s="46" t="e">
        <f t="shared" si="11"/>
        <v>#DIV/0!</v>
      </c>
      <c r="E98" s="25"/>
      <c r="F98" s="46" t="e">
        <f t="shared" si="12"/>
        <v>#DIV/0!</v>
      </c>
      <c r="G98" s="113"/>
    </row>
    <row r="99" spans="1:7" x14ac:dyDescent="0.25">
      <c r="A99" s="111"/>
      <c r="B99" s="3"/>
      <c r="C99" s="25"/>
      <c r="D99" s="46" t="e">
        <f t="shared" si="11"/>
        <v>#DIV/0!</v>
      </c>
      <c r="E99" s="25"/>
      <c r="F99" s="46" t="e">
        <f t="shared" si="12"/>
        <v>#DIV/0!</v>
      </c>
      <c r="G99" s="113"/>
    </row>
    <row r="100" spans="1:7" x14ac:dyDescent="0.25">
      <c r="A100" s="111"/>
      <c r="B100" s="3"/>
      <c r="C100" s="25"/>
      <c r="D100" s="46" t="e">
        <f t="shared" si="11"/>
        <v>#DIV/0!</v>
      </c>
      <c r="E100" s="25"/>
      <c r="F100" s="46" t="e">
        <f t="shared" si="12"/>
        <v>#DIV/0!</v>
      </c>
      <c r="G100" s="113"/>
    </row>
    <row r="101" spans="1:7" x14ac:dyDescent="0.25">
      <c r="A101" s="111"/>
      <c r="B101" s="3"/>
      <c r="C101" s="25"/>
      <c r="D101" s="46" t="e">
        <f t="shared" si="11"/>
        <v>#DIV/0!</v>
      </c>
      <c r="E101" s="25"/>
      <c r="F101" s="46" t="e">
        <f t="shared" si="12"/>
        <v>#DIV/0!</v>
      </c>
      <c r="G101" s="114"/>
    </row>
    <row r="102" spans="1:7" x14ac:dyDescent="0.25">
      <c r="A102" s="111"/>
      <c r="B102" s="3"/>
      <c r="C102" s="25"/>
      <c r="D102" s="46" t="e">
        <f t="shared" si="11"/>
        <v>#DIV/0!</v>
      </c>
      <c r="E102" s="25"/>
      <c r="F102" s="46" t="e">
        <f t="shared" si="12"/>
        <v>#DIV/0!</v>
      </c>
      <c r="G102" s="112" t="e">
        <f t="shared" ref="G102" si="18">(E107-E101)/E101</f>
        <v>#DIV/0!</v>
      </c>
    </row>
    <row r="103" spans="1:7" x14ac:dyDescent="0.25">
      <c r="A103" s="111"/>
      <c r="B103" s="3"/>
      <c r="C103" s="25"/>
      <c r="D103" s="46" t="e">
        <f t="shared" si="11"/>
        <v>#DIV/0!</v>
      </c>
      <c r="E103" s="25"/>
      <c r="F103" s="46" t="e">
        <f t="shared" si="12"/>
        <v>#DIV/0!</v>
      </c>
      <c r="G103" s="113"/>
    </row>
    <row r="104" spans="1:7" x14ac:dyDescent="0.25">
      <c r="A104" s="111"/>
      <c r="B104" s="3"/>
      <c r="C104" s="25"/>
      <c r="D104" s="46" t="e">
        <f t="shared" si="11"/>
        <v>#DIV/0!</v>
      </c>
      <c r="E104" s="25"/>
      <c r="F104" s="46" t="e">
        <f t="shared" si="12"/>
        <v>#DIV/0!</v>
      </c>
      <c r="G104" s="113"/>
    </row>
    <row r="105" spans="1:7" x14ac:dyDescent="0.25">
      <c r="A105" s="111"/>
      <c r="B105" s="3"/>
      <c r="C105" s="25"/>
      <c r="D105" s="46" t="e">
        <f t="shared" si="11"/>
        <v>#DIV/0!</v>
      </c>
      <c r="E105" s="25"/>
      <c r="F105" s="46" t="e">
        <f t="shared" si="12"/>
        <v>#DIV/0!</v>
      </c>
      <c r="G105" s="113"/>
    </row>
    <row r="106" spans="1:7" x14ac:dyDescent="0.25">
      <c r="A106" s="111"/>
      <c r="B106" s="3"/>
      <c r="C106" s="25"/>
      <c r="D106" s="46" t="e">
        <f t="shared" si="11"/>
        <v>#DIV/0!</v>
      </c>
      <c r="E106" s="25"/>
      <c r="F106" s="46" t="e">
        <f t="shared" si="12"/>
        <v>#DIV/0!</v>
      </c>
      <c r="G106" s="113"/>
    </row>
    <row r="107" spans="1:7" x14ac:dyDescent="0.25">
      <c r="A107" s="111"/>
      <c r="B107" s="3"/>
      <c r="C107" s="25"/>
      <c r="D107" s="46" t="e">
        <f t="shared" si="11"/>
        <v>#DIV/0!</v>
      </c>
      <c r="E107" s="25"/>
      <c r="F107" s="46" t="e">
        <f t="shared" si="12"/>
        <v>#DIV/0!</v>
      </c>
      <c r="G107" s="114"/>
    </row>
    <row r="108" spans="1:7" x14ac:dyDescent="0.25">
      <c r="A108" s="111"/>
      <c r="B108" s="3"/>
      <c r="C108" s="25"/>
      <c r="D108" s="46" t="e">
        <f t="shared" si="11"/>
        <v>#DIV/0!</v>
      </c>
      <c r="E108" s="25"/>
      <c r="F108" s="46" t="e">
        <f t="shared" si="12"/>
        <v>#DIV/0!</v>
      </c>
      <c r="G108" s="112" t="e">
        <f t="shared" ref="G108" si="19">(E113-E107)/E107</f>
        <v>#DIV/0!</v>
      </c>
    </row>
    <row r="109" spans="1:7" x14ac:dyDescent="0.25">
      <c r="A109" s="111"/>
      <c r="B109" s="3"/>
      <c r="C109" s="25"/>
      <c r="D109" s="46" t="e">
        <f t="shared" si="11"/>
        <v>#DIV/0!</v>
      </c>
      <c r="E109" s="25"/>
      <c r="F109" s="46" t="e">
        <f t="shared" si="12"/>
        <v>#DIV/0!</v>
      </c>
      <c r="G109" s="113"/>
    </row>
    <row r="110" spans="1:7" x14ac:dyDescent="0.25">
      <c r="A110" s="111"/>
      <c r="B110" s="3"/>
      <c r="C110" s="25"/>
      <c r="D110" s="46" t="e">
        <f t="shared" si="11"/>
        <v>#DIV/0!</v>
      </c>
      <c r="E110" s="25"/>
      <c r="F110" s="46" t="e">
        <f t="shared" si="12"/>
        <v>#DIV/0!</v>
      </c>
      <c r="G110" s="113"/>
    </row>
    <row r="111" spans="1:7" x14ac:dyDescent="0.25">
      <c r="A111" s="111"/>
      <c r="B111" s="3"/>
      <c r="C111" s="25"/>
      <c r="D111" s="46" t="e">
        <f t="shared" si="11"/>
        <v>#DIV/0!</v>
      </c>
      <c r="E111" s="25"/>
      <c r="F111" s="46" t="e">
        <f t="shared" si="12"/>
        <v>#DIV/0!</v>
      </c>
      <c r="G111" s="113"/>
    </row>
    <row r="112" spans="1:7" x14ac:dyDescent="0.25">
      <c r="A112" s="111"/>
      <c r="B112" s="3"/>
      <c r="C112" s="25"/>
      <c r="D112" s="46" t="e">
        <f t="shared" si="11"/>
        <v>#DIV/0!</v>
      </c>
      <c r="E112" s="25"/>
      <c r="F112" s="46" t="e">
        <f t="shared" si="12"/>
        <v>#DIV/0!</v>
      </c>
      <c r="G112" s="113"/>
    </row>
    <row r="113" spans="1:7" x14ac:dyDescent="0.25">
      <c r="A113" s="111"/>
      <c r="B113" s="3"/>
      <c r="C113" s="25"/>
      <c r="D113" s="46" t="e">
        <f t="shared" si="11"/>
        <v>#DIV/0!</v>
      </c>
      <c r="E113" s="25"/>
      <c r="F113" s="46" t="e">
        <f t="shared" si="12"/>
        <v>#DIV/0!</v>
      </c>
      <c r="G113" s="114"/>
    </row>
    <row r="114" spans="1:7" x14ac:dyDescent="0.25">
      <c r="A114" s="111"/>
      <c r="B114" s="3"/>
      <c r="C114" s="25"/>
      <c r="D114" s="46" t="e">
        <f t="shared" si="11"/>
        <v>#DIV/0!</v>
      </c>
      <c r="E114" s="25"/>
      <c r="F114" s="46" t="e">
        <f t="shared" si="12"/>
        <v>#DIV/0!</v>
      </c>
      <c r="G114" s="112" t="e">
        <f t="shared" ref="G114" si="20">(E119-E113)/E113</f>
        <v>#DIV/0!</v>
      </c>
    </row>
    <row r="115" spans="1:7" x14ac:dyDescent="0.25">
      <c r="A115" s="111"/>
      <c r="B115" s="3"/>
      <c r="C115" s="25"/>
      <c r="D115" s="46" t="e">
        <f t="shared" si="11"/>
        <v>#DIV/0!</v>
      </c>
      <c r="E115" s="25"/>
      <c r="F115" s="46" t="e">
        <f t="shared" si="12"/>
        <v>#DIV/0!</v>
      </c>
      <c r="G115" s="113"/>
    </row>
    <row r="116" spans="1:7" x14ac:dyDescent="0.25">
      <c r="A116" s="111"/>
      <c r="B116" s="3"/>
      <c r="C116" s="25"/>
      <c r="D116" s="46" t="e">
        <f t="shared" si="11"/>
        <v>#DIV/0!</v>
      </c>
      <c r="E116" s="25"/>
      <c r="F116" s="46" t="e">
        <f t="shared" si="12"/>
        <v>#DIV/0!</v>
      </c>
      <c r="G116" s="113"/>
    </row>
    <row r="117" spans="1:7" x14ac:dyDescent="0.25">
      <c r="A117" s="111"/>
      <c r="B117" s="3"/>
      <c r="C117" s="25"/>
      <c r="D117" s="46" t="e">
        <f t="shared" si="11"/>
        <v>#DIV/0!</v>
      </c>
      <c r="E117" s="25"/>
      <c r="F117" s="46" t="e">
        <f t="shared" si="12"/>
        <v>#DIV/0!</v>
      </c>
      <c r="G117" s="113"/>
    </row>
    <row r="118" spans="1:7" x14ac:dyDescent="0.25">
      <c r="A118" s="111"/>
      <c r="B118" s="3"/>
      <c r="C118" s="25"/>
      <c r="D118" s="46" t="e">
        <f t="shared" si="11"/>
        <v>#DIV/0!</v>
      </c>
      <c r="E118" s="25"/>
      <c r="F118" s="46" t="e">
        <f t="shared" si="12"/>
        <v>#DIV/0!</v>
      </c>
      <c r="G118" s="113"/>
    </row>
    <row r="119" spans="1:7" x14ac:dyDescent="0.25">
      <c r="A119" s="111"/>
      <c r="B119" s="3"/>
      <c r="C119" s="25"/>
      <c r="D119" s="46" t="e">
        <f t="shared" si="11"/>
        <v>#DIV/0!</v>
      </c>
      <c r="E119" s="25"/>
      <c r="F119" s="46" t="e">
        <f t="shared" si="12"/>
        <v>#DIV/0!</v>
      </c>
      <c r="G119" s="114"/>
    </row>
    <row r="120" spans="1:7" x14ac:dyDescent="0.25">
      <c r="A120" s="111"/>
      <c r="B120" s="3"/>
      <c r="C120" s="25"/>
      <c r="D120" s="46" t="e">
        <f t="shared" si="11"/>
        <v>#DIV/0!</v>
      </c>
      <c r="E120" s="25"/>
      <c r="F120" s="46" t="e">
        <f t="shared" si="12"/>
        <v>#DIV/0!</v>
      </c>
      <c r="G120" s="112" t="e">
        <f t="shared" ref="G120" si="21">(E125-E119)/E119</f>
        <v>#DIV/0!</v>
      </c>
    </row>
    <row r="121" spans="1:7" x14ac:dyDescent="0.25">
      <c r="A121" s="111"/>
      <c r="B121" s="3"/>
      <c r="C121" s="25"/>
      <c r="D121" s="46" t="e">
        <f t="shared" si="11"/>
        <v>#DIV/0!</v>
      </c>
      <c r="E121" s="25"/>
      <c r="F121" s="46" t="e">
        <f t="shared" si="12"/>
        <v>#DIV/0!</v>
      </c>
      <c r="G121" s="113"/>
    </row>
    <row r="122" spans="1:7" x14ac:dyDescent="0.25">
      <c r="A122" s="111"/>
      <c r="B122" s="3"/>
      <c r="C122" s="25"/>
      <c r="D122" s="46" t="e">
        <f t="shared" si="11"/>
        <v>#DIV/0!</v>
      </c>
      <c r="E122" s="25"/>
      <c r="F122" s="46" t="e">
        <f t="shared" si="12"/>
        <v>#DIV/0!</v>
      </c>
      <c r="G122" s="113"/>
    </row>
    <row r="123" spans="1:7" x14ac:dyDescent="0.25">
      <c r="A123" s="111"/>
      <c r="B123" s="3"/>
      <c r="C123" s="25"/>
      <c r="D123" s="46" t="e">
        <f t="shared" si="11"/>
        <v>#DIV/0!</v>
      </c>
      <c r="E123" s="25"/>
      <c r="F123" s="46" t="e">
        <f t="shared" si="12"/>
        <v>#DIV/0!</v>
      </c>
      <c r="G123" s="113"/>
    </row>
    <row r="124" spans="1:7" x14ac:dyDescent="0.25">
      <c r="A124" s="111"/>
      <c r="B124" s="3"/>
      <c r="C124" s="25"/>
      <c r="D124" s="46" t="e">
        <f t="shared" si="11"/>
        <v>#DIV/0!</v>
      </c>
      <c r="E124" s="25"/>
      <c r="F124" s="46" t="e">
        <f t="shared" si="12"/>
        <v>#DIV/0!</v>
      </c>
      <c r="G124" s="113"/>
    </row>
    <row r="125" spans="1:7" x14ac:dyDescent="0.25">
      <c r="A125" s="111"/>
      <c r="B125" s="3"/>
      <c r="C125" s="25"/>
      <c r="D125" s="46" t="e">
        <f t="shared" si="11"/>
        <v>#DIV/0!</v>
      </c>
      <c r="E125" s="25"/>
      <c r="F125" s="46" t="e">
        <f t="shared" si="12"/>
        <v>#DIV/0!</v>
      </c>
      <c r="G125" s="114"/>
    </row>
    <row r="126" spans="1:7" x14ac:dyDescent="0.25">
      <c r="A126" s="111"/>
      <c r="B126" s="3"/>
      <c r="C126" s="25"/>
      <c r="D126" s="46" t="e">
        <f t="shared" si="11"/>
        <v>#DIV/0!</v>
      </c>
      <c r="E126" s="25"/>
      <c r="F126" s="46" t="e">
        <f t="shared" si="12"/>
        <v>#DIV/0!</v>
      </c>
      <c r="G126" s="112" t="e">
        <f t="shared" ref="G126" si="22">(E131-E125)/E125</f>
        <v>#DIV/0!</v>
      </c>
    </row>
    <row r="127" spans="1:7" x14ac:dyDescent="0.25">
      <c r="A127" s="111"/>
      <c r="B127" s="3"/>
      <c r="C127" s="25"/>
      <c r="D127" s="46" t="e">
        <f t="shared" si="11"/>
        <v>#DIV/0!</v>
      </c>
      <c r="E127" s="25"/>
      <c r="F127" s="46" t="e">
        <f t="shared" si="12"/>
        <v>#DIV/0!</v>
      </c>
      <c r="G127" s="113"/>
    </row>
    <row r="128" spans="1:7" x14ac:dyDescent="0.25">
      <c r="A128" s="111"/>
      <c r="B128" s="3"/>
      <c r="C128" s="25"/>
      <c r="D128" s="46" t="e">
        <f t="shared" si="11"/>
        <v>#DIV/0!</v>
      </c>
      <c r="E128" s="25"/>
      <c r="F128" s="46" t="e">
        <f t="shared" si="12"/>
        <v>#DIV/0!</v>
      </c>
      <c r="G128" s="113"/>
    </row>
    <row r="129" spans="1:7" x14ac:dyDescent="0.25">
      <c r="A129" s="111"/>
      <c r="B129" s="3"/>
      <c r="C129" s="25"/>
      <c r="D129" s="46" t="e">
        <f t="shared" si="11"/>
        <v>#DIV/0!</v>
      </c>
      <c r="E129" s="25"/>
      <c r="F129" s="46" t="e">
        <f t="shared" si="12"/>
        <v>#DIV/0!</v>
      </c>
      <c r="G129" s="113"/>
    </row>
    <row r="130" spans="1:7" x14ac:dyDescent="0.25">
      <c r="A130" s="111"/>
      <c r="B130" s="3"/>
      <c r="C130" s="25"/>
      <c r="D130" s="46" t="e">
        <f t="shared" si="11"/>
        <v>#DIV/0!</v>
      </c>
      <c r="E130" s="25"/>
      <c r="F130" s="46" t="e">
        <f t="shared" si="12"/>
        <v>#DIV/0!</v>
      </c>
      <c r="G130" s="113"/>
    </row>
    <row r="131" spans="1:7" x14ac:dyDescent="0.25">
      <c r="A131" s="111"/>
      <c r="B131" s="3"/>
      <c r="C131" s="25"/>
      <c r="D131" s="46" t="e">
        <f t="shared" si="11"/>
        <v>#DIV/0!</v>
      </c>
      <c r="E131" s="25"/>
      <c r="F131" s="46" t="e">
        <f t="shared" si="12"/>
        <v>#DIV/0!</v>
      </c>
      <c r="G131" s="114"/>
    </row>
    <row r="132" spans="1:7" x14ac:dyDescent="0.25">
      <c r="A132" s="111"/>
      <c r="B132" s="3"/>
      <c r="C132" s="25"/>
      <c r="D132" s="46" t="e">
        <f t="shared" si="11"/>
        <v>#DIV/0!</v>
      </c>
      <c r="E132" s="25"/>
      <c r="F132" s="46" t="e">
        <f t="shared" si="12"/>
        <v>#DIV/0!</v>
      </c>
      <c r="G132" s="112" t="e">
        <f t="shared" ref="G132" si="23">(E137-E131)/E131</f>
        <v>#DIV/0!</v>
      </c>
    </row>
    <row r="133" spans="1:7" x14ac:dyDescent="0.25">
      <c r="A133" s="111"/>
      <c r="B133" s="3"/>
      <c r="C133" s="25"/>
      <c r="D133" s="46" t="e">
        <f t="shared" si="11"/>
        <v>#DIV/0!</v>
      </c>
      <c r="E133" s="25"/>
      <c r="F133" s="46" t="e">
        <f t="shared" si="12"/>
        <v>#DIV/0!</v>
      </c>
      <c r="G133" s="113"/>
    </row>
    <row r="134" spans="1:7" x14ac:dyDescent="0.25">
      <c r="A134" s="111"/>
      <c r="B134" s="3"/>
      <c r="C134" s="25"/>
      <c r="D134" s="46" t="e">
        <f t="shared" si="11"/>
        <v>#DIV/0!</v>
      </c>
      <c r="E134" s="25"/>
      <c r="F134" s="46" t="e">
        <f t="shared" si="12"/>
        <v>#DIV/0!</v>
      </c>
      <c r="G134" s="113"/>
    </row>
    <row r="135" spans="1:7" x14ac:dyDescent="0.25">
      <c r="A135" s="111"/>
      <c r="B135" s="3"/>
      <c r="C135" s="25"/>
      <c r="D135" s="46" t="e">
        <f t="shared" si="11"/>
        <v>#DIV/0!</v>
      </c>
      <c r="E135" s="25"/>
      <c r="F135" s="46" t="e">
        <f t="shared" si="12"/>
        <v>#DIV/0!</v>
      </c>
      <c r="G135" s="113"/>
    </row>
    <row r="136" spans="1:7" x14ac:dyDescent="0.25">
      <c r="A136" s="111"/>
      <c r="B136" s="3"/>
      <c r="C136" s="25"/>
      <c r="D136" s="46" t="e">
        <f t="shared" ref="D136:D155" si="24">(C136-C135)/C135</f>
        <v>#DIV/0!</v>
      </c>
      <c r="E136" s="25"/>
      <c r="F136" s="46" t="e">
        <f t="shared" ref="F136:F155" si="25">(E136-E135)/E135</f>
        <v>#DIV/0!</v>
      </c>
      <c r="G136" s="113"/>
    </row>
    <row r="137" spans="1:7" x14ac:dyDescent="0.25">
      <c r="A137" s="111"/>
      <c r="B137" s="3"/>
      <c r="C137" s="25"/>
      <c r="D137" s="46" t="e">
        <f t="shared" si="24"/>
        <v>#DIV/0!</v>
      </c>
      <c r="E137" s="25"/>
      <c r="F137" s="46" t="e">
        <f t="shared" si="25"/>
        <v>#DIV/0!</v>
      </c>
      <c r="G137" s="114"/>
    </row>
    <row r="138" spans="1:7" x14ac:dyDescent="0.25">
      <c r="A138" s="111"/>
      <c r="B138" s="3"/>
      <c r="C138" s="25"/>
      <c r="D138" s="46" t="e">
        <f t="shared" si="24"/>
        <v>#DIV/0!</v>
      </c>
      <c r="E138" s="25"/>
      <c r="F138" s="46" t="e">
        <f t="shared" si="25"/>
        <v>#DIV/0!</v>
      </c>
      <c r="G138" s="112" t="e">
        <f t="shared" ref="G138" si="26">(E143-E137)/E137</f>
        <v>#DIV/0!</v>
      </c>
    </row>
    <row r="139" spans="1:7" x14ac:dyDescent="0.25">
      <c r="A139" s="111"/>
      <c r="B139" s="3"/>
      <c r="C139" s="25"/>
      <c r="D139" s="46" t="e">
        <f t="shared" si="24"/>
        <v>#DIV/0!</v>
      </c>
      <c r="E139" s="25"/>
      <c r="F139" s="46" t="e">
        <f t="shared" si="25"/>
        <v>#DIV/0!</v>
      </c>
      <c r="G139" s="113"/>
    </row>
    <row r="140" spans="1:7" x14ac:dyDescent="0.25">
      <c r="A140" s="111"/>
      <c r="B140" s="3"/>
      <c r="C140" s="25"/>
      <c r="D140" s="46" t="e">
        <f t="shared" si="24"/>
        <v>#DIV/0!</v>
      </c>
      <c r="E140" s="25"/>
      <c r="F140" s="46" t="e">
        <f t="shared" si="25"/>
        <v>#DIV/0!</v>
      </c>
      <c r="G140" s="113"/>
    </row>
    <row r="141" spans="1:7" x14ac:dyDescent="0.25">
      <c r="A141" s="111"/>
      <c r="B141" s="3"/>
      <c r="C141" s="25"/>
      <c r="D141" s="46" t="e">
        <f t="shared" si="24"/>
        <v>#DIV/0!</v>
      </c>
      <c r="E141" s="25"/>
      <c r="F141" s="46" t="e">
        <f t="shared" si="25"/>
        <v>#DIV/0!</v>
      </c>
      <c r="G141" s="113"/>
    </row>
    <row r="142" spans="1:7" x14ac:dyDescent="0.25">
      <c r="A142" s="111"/>
      <c r="B142" s="3"/>
      <c r="C142" s="25"/>
      <c r="D142" s="46" t="e">
        <f t="shared" si="24"/>
        <v>#DIV/0!</v>
      </c>
      <c r="E142" s="25"/>
      <c r="F142" s="46" t="e">
        <f t="shared" si="25"/>
        <v>#DIV/0!</v>
      </c>
      <c r="G142" s="113"/>
    </row>
    <row r="143" spans="1:7" x14ac:dyDescent="0.25">
      <c r="A143" s="111"/>
      <c r="B143" s="3"/>
      <c r="C143" s="25"/>
      <c r="D143" s="46" t="e">
        <f t="shared" si="24"/>
        <v>#DIV/0!</v>
      </c>
      <c r="E143" s="25"/>
      <c r="F143" s="46" t="e">
        <f t="shared" si="25"/>
        <v>#DIV/0!</v>
      </c>
      <c r="G143" s="114"/>
    </row>
    <row r="144" spans="1:7" x14ac:dyDescent="0.25">
      <c r="A144" s="111"/>
      <c r="B144" s="3"/>
      <c r="C144" s="25"/>
      <c r="D144" s="46" t="e">
        <f t="shared" si="24"/>
        <v>#DIV/0!</v>
      </c>
      <c r="E144" s="25"/>
      <c r="F144" s="46" t="e">
        <f t="shared" si="25"/>
        <v>#DIV/0!</v>
      </c>
      <c r="G144" s="112" t="e">
        <f t="shared" ref="G144" si="27">(E149-E143)/E143</f>
        <v>#DIV/0!</v>
      </c>
    </row>
    <row r="145" spans="1:7" x14ac:dyDescent="0.25">
      <c r="A145" s="111"/>
      <c r="B145" s="3"/>
      <c r="C145" s="25"/>
      <c r="D145" s="46" t="e">
        <f t="shared" si="24"/>
        <v>#DIV/0!</v>
      </c>
      <c r="E145" s="25"/>
      <c r="F145" s="46" t="e">
        <f t="shared" si="25"/>
        <v>#DIV/0!</v>
      </c>
      <c r="G145" s="113"/>
    </row>
    <row r="146" spans="1:7" x14ac:dyDescent="0.25">
      <c r="A146" s="111"/>
      <c r="B146" s="3"/>
      <c r="C146" s="25"/>
      <c r="D146" s="46" t="e">
        <f t="shared" si="24"/>
        <v>#DIV/0!</v>
      </c>
      <c r="E146" s="25"/>
      <c r="F146" s="46" t="e">
        <f t="shared" si="25"/>
        <v>#DIV/0!</v>
      </c>
      <c r="G146" s="113"/>
    </row>
    <row r="147" spans="1:7" x14ac:dyDescent="0.25">
      <c r="A147" s="111"/>
      <c r="B147" s="3"/>
      <c r="C147" s="25"/>
      <c r="D147" s="46" t="e">
        <f t="shared" si="24"/>
        <v>#DIV/0!</v>
      </c>
      <c r="E147" s="25"/>
      <c r="F147" s="46" t="e">
        <f t="shared" si="25"/>
        <v>#DIV/0!</v>
      </c>
      <c r="G147" s="113"/>
    </row>
    <row r="148" spans="1:7" x14ac:dyDescent="0.25">
      <c r="A148" s="111"/>
      <c r="B148" s="3"/>
      <c r="C148" s="25"/>
      <c r="D148" s="46" t="e">
        <f t="shared" si="24"/>
        <v>#DIV/0!</v>
      </c>
      <c r="E148" s="25"/>
      <c r="F148" s="46" t="e">
        <f t="shared" si="25"/>
        <v>#DIV/0!</v>
      </c>
      <c r="G148" s="113"/>
    </row>
    <row r="149" spans="1:7" x14ac:dyDescent="0.25">
      <c r="A149" s="111"/>
      <c r="B149" s="3"/>
      <c r="C149" s="25"/>
      <c r="D149" s="46" t="e">
        <f t="shared" si="24"/>
        <v>#DIV/0!</v>
      </c>
      <c r="E149" s="25"/>
      <c r="F149" s="46" t="e">
        <f t="shared" si="25"/>
        <v>#DIV/0!</v>
      </c>
      <c r="G149" s="114"/>
    </row>
    <row r="150" spans="1:7" x14ac:dyDescent="0.25">
      <c r="A150" s="111"/>
      <c r="B150" s="3"/>
      <c r="C150" s="25"/>
      <c r="D150" s="46" t="e">
        <f t="shared" si="24"/>
        <v>#DIV/0!</v>
      </c>
      <c r="E150" s="25"/>
      <c r="F150" s="46" t="e">
        <f t="shared" si="25"/>
        <v>#DIV/0!</v>
      </c>
      <c r="G150" s="112" t="e">
        <f t="shared" ref="G150" si="28">(E155-E149)/E149</f>
        <v>#DIV/0!</v>
      </c>
    </row>
    <row r="151" spans="1:7" x14ac:dyDescent="0.25">
      <c r="A151" s="111"/>
      <c r="B151" s="3"/>
      <c r="C151" s="25"/>
      <c r="D151" s="46" t="e">
        <f t="shared" si="24"/>
        <v>#DIV/0!</v>
      </c>
      <c r="E151" s="25"/>
      <c r="F151" s="46" t="e">
        <f t="shared" si="25"/>
        <v>#DIV/0!</v>
      </c>
      <c r="G151" s="113"/>
    </row>
    <row r="152" spans="1:7" x14ac:dyDescent="0.25">
      <c r="A152" s="111"/>
      <c r="B152" s="3"/>
      <c r="C152" s="25"/>
      <c r="D152" s="46" t="e">
        <f t="shared" si="24"/>
        <v>#DIV/0!</v>
      </c>
      <c r="E152" s="25"/>
      <c r="F152" s="46" t="e">
        <f t="shared" si="25"/>
        <v>#DIV/0!</v>
      </c>
      <c r="G152" s="113"/>
    </row>
    <row r="153" spans="1:7" x14ac:dyDescent="0.25">
      <c r="A153" s="111"/>
      <c r="B153" s="3"/>
      <c r="C153" s="25"/>
      <c r="D153" s="46" t="e">
        <f t="shared" si="24"/>
        <v>#DIV/0!</v>
      </c>
      <c r="E153" s="25"/>
      <c r="F153" s="46" t="e">
        <f t="shared" si="25"/>
        <v>#DIV/0!</v>
      </c>
      <c r="G153" s="113"/>
    </row>
    <row r="154" spans="1:7" x14ac:dyDescent="0.25">
      <c r="A154" s="111"/>
      <c r="B154" s="3"/>
      <c r="C154" s="25"/>
      <c r="D154" s="46" t="e">
        <f t="shared" si="24"/>
        <v>#DIV/0!</v>
      </c>
      <c r="E154" s="25"/>
      <c r="F154" s="46" t="e">
        <f t="shared" si="25"/>
        <v>#DIV/0!</v>
      </c>
      <c r="G154" s="113"/>
    </row>
    <row r="155" spans="1:7" x14ac:dyDescent="0.25">
      <c r="A155" s="111"/>
      <c r="B155" s="3"/>
      <c r="C155" s="25"/>
      <c r="D155" s="46" t="e">
        <f t="shared" si="24"/>
        <v>#DIV/0!</v>
      </c>
      <c r="E155" s="25"/>
      <c r="F155" s="46" t="e">
        <f t="shared" si="25"/>
        <v>#DIV/0!</v>
      </c>
      <c r="G155" s="114"/>
    </row>
  </sheetData>
  <mergeCells count="51">
    <mergeCell ref="A72:A77"/>
    <mergeCell ref="A78:A83"/>
    <mergeCell ref="A84:A89"/>
    <mergeCell ref="A90:A95"/>
    <mergeCell ref="A2:G3"/>
    <mergeCell ref="A60:A65"/>
    <mergeCell ref="A6:A11"/>
    <mergeCell ref="A12:A17"/>
    <mergeCell ref="A18:A23"/>
    <mergeCell ref="A24:A29"/>
    <mergeCell ref="A30:A35"/>
    <mergeCell ref="A36:A41"/>
    <mergeCell ref="A42:A47"/>
    <mergeCell ref="A48:A53"/>
    <mergeCell ref="A54:A59"/>
    <mergeCell ref="G60:G65"/>
    <mergeCell ref="G36:G41"/>
    <mergeCell ref="G42:G47"/>
    <mergeCell ref="G48:G53"/>
    <mergeCell ref="G54:G59"/>
    <mergeCell ref="A66:A71"/>
    <mergeCell ref="G6:G11"/>
    <mergeCell ref="G12:G17"/>
    <mergeCell ref="G18:G23"/>
    <mergeCell ref="G24:G29"/>
    <mergeCell ref="G30:G35"/>
    <mergeCell ref="G66:G71"/>
    <mergeCell ref="G72:G77"/>
    <mergeCell ref="G78:G83"/>
    <mergeCell ref="G84:G89"/>
    <mergeCell ref="G96:G101"/>
    <mergeCell ref="G90:G95"/>
    <mergeCell ref="A96:A101"/>
    <mergeCell ref="A120:A125"/>
    <mergeCell ref="G120:G125"/>
    <mergeCell ref="A126:A131"/>
    <mergeCell ref="G126:G131"/>
    <mergeCell ref="G102:G107"/>
    <mergeCell ref="A108:A113"/>
    <mergeCell ref="G108:G113"/>
    <mergeCell ref="A114:A119"/>
    <mergeCell ref="G114:G119"/>
    <mergeCell ref="A102:A107"/>
    <mergeCell ref="A150:A155"/>
    <mergeCell ref="G150:G155"/>
    <mergeCell ref="A132:A137"/>
    <mergeCell ref="G132:G137"/>
    <mergeCell ref="A138:A143"/>
    <mergeCell ref="G138:G143"/>
    <mergeCell ref="A144:A149"/>
    <mergeCell ref="G144:G149"/>
  </mergeCells>
  <phoneticPr fontId="8" type="noConversion"/>
  <conditionalFormatting sqref="A6:A155">
    <cfRule type="containsBlanks" dxfId="152" priority="1">
      <formula>LEN(TRIM(A6))=0</formula>
    </cfRule>
  </conditionalFormatting>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7057-9B52-433B-A707-6AF9B80C6E30}">
  <sheetPr codeName="Hoja3"/>
  <dimension ref="A1:AJ253"/>
  <sheetViews>
    <sheetView showZeros="0" tabSelected="1" zoomScale="85" zoomScaleNormal="85" workbookViewId="0">
      <selection activeCell="AD44" sqref="AD44:AG78"/>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44562</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44651</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t="s">
        <v>22</v>
      </c>
      <c r="C5" s="7">
        <v>3</v>
      </c>
      <c r="D5" s="7">
        <v>12</v>
      </c>
      <c r="E5" s="7">
        <v>60</v>
      </c>
      <c r="F5" s="6" t="s">
        <v>434</v>
      </c>
      <c r="G5" s="7">
        <v>3</v>
      </c>
      <c r="H5" s="7">
        <v>12</v>
      </c>
      <c r="I5" s="7">
        <v>1</v>
      </c>
      <c r="J5" s="6"/>
      <c r="K5" s="7"/>
      <c r="L5" s="7"/>
      <c r="M5" s="7"/>
      <c r="N5" s="6"/>
      <c r="O5" s="7"/>
      <c r="P5" s="7"/>
      <c r="Q5" s="7"/>
      <c r="R5" s="6"/>
      <c r="S5" s="7"/>
      <c r="T5" s="7"/>
      <c r="U5" s="7"/>
      <c r="V5" s="6"/>
      <c r="W5" s="7"/>
      <c r="X5" s="7"/>
      <c r="Y5" s="7"/>
      <c r="Z5" s="6"/>
      <c r="AA5" s="7"/>
      <c r="AB5" s="7"/>
      <c r="AC5" s="7"/>
    </row>
    <row r="6" spans="1:29" x14ac:dyDescent="0.25">
      <c r="A6" s="159"/>
      <c r="B6" s="6" t="s">
        <v>32</v>
      </c>
      <c r="C6" s="7">
        <v>3</v>
      </c>
      <c r="D6" s="7">
        <v>12</v>
      </c>
      <c r="E6" s="7">
        <v>75</v>
      </c>
      <c r="F6" s="6" t="s">
        <v>442</v>
      </c>
      <c r="G6" s="7">
        <v>4</v>
      </c>
      <c r="H6" s="7">
        <v>15</v>
      </c>
      <c r="I6" s="7">
        <v>1</v>
      </c>
      <c r="J6" s="6"/>
      <c r="K6" s="7"/>
      <c r="L6" s="7"/>
      <c r="M6" s="7"/>
      <c r="N6" s="6"/>
      <c r="O6" s="7"/>
      <c r="P6" s="7"/>
      <c r="Q6" s="7"/>
      <c r="R6" s="6"/>
      <c r="S6" s="7"/>
      <c r="T6" s="7"/>
      <c r="U6" s="7"/>
      <c r="V6" s="6"/>
      <c r="W6" s="7"/>
      <c r="X6" s="7"/>
      <c r="Y6" s="7"/>
      <c r="Z6" s="6"/>
      <c r="AA6" s="7"/>
      <c r="AB6" s="7"/>
      <c r="AC6" s="7"/>
    </row>
    <row r="7" spans="1:29" x14ac:dyDescent="0.25">
      <c r="A7" s="159"/>
      <c r="B7" s="6" t="s">
        <v>46</v>
      </c>
      <c r="C7" s="7">
        <v>4</v>
      </c>
      <c r="D7" s="7">
        <v>8</v>
      </c>
      <c r="E7" s="7">
        <v>75</v>
      </c>
      <c r="F7" s="6" t="s">
        <v>699</v>
      </c>
      <c r="G7" s="7">
        <v>3</v>
      </c>
      <c r="H7" s="7">
        <v>10</v>
      </c>
      <c r="I7" s="7">
        <v>90</v>
      </c>
      <c r="J7" s="6"/>
      <c r="K7" s="7"/>
      <c r="L7" s="7"/>
      <c r="M7" s="7"/>
      <c r="N7" s="6"/>
      <c r="O7" s="7"/>
      <c r="P7" s="7"/>
      <c r="Q7" s="7"/>
      <c r="R7" s="6"/>
      <c r="S7" s="7"/>
      <c r="T7" s="7"/>
      <c r="U7" s="7"/>
      <c r="V7" s="6"/>
      <c r="W7" s="7"/>
      <c r="X7" s="7"/>
      <c r="Y7" s="7"/>
      <c r="Z7" s="6"/>
      <c r="AA7" s="7"/>
      <c r="AB7" s="7"/>
      <c r="AC7" s="7"/>
    </row>
    <row r="8" spans="1:29" x14ac:dyDescent="0.25">
      <c r="A8" s="159"/>
      <c r="B8" s="6" t="s">
        <v>74</v>
      </c>
      <c r="C8" s="7">
        <v>3</v>
      </c>
      <c r="D8" s="7">
        <v>10</v>
      </c>
      <c r="E8" s="7">
        <v>175</v>
      </c>
      <c r="F8" s="6" t="s">
        <v>448</v>
      </c>
      <c r="G8" s="7">
        <v>3</v>
      </c>
      <c r="H8" s="7">
        <v>10</v>
      </c>
      <c r="I8" s="7">
        <v>30</v>
      </c>
      <c r="J8" s="6"/>
      <c r="K8" s="7"/>
      <c r="L8" s="7"/>
      <c r="M8" s="7"/>
      <c r="N8" s="6"/>
      <c r="O8" s="7"/>
      <c r="P8" s="7"/>
      <c r="Q8" s="7"/>
      <c r="R8" s="6"/>
      <c r="S8" s="7"/>
      <c r="T8" s="7"/>
      <c r="U8" s="7"/>
      <c r="V8" s="6"/>
      <c r="W8" s="7"/>
      <c r="X8" s="7"/>
      <c r="Y8" s="7"/>
      <c r="Z8" s="6"/>
      <c r="AA8" s="7"/>
      <c r="AB8" s="7"/>
      <c r="AC8" s="7"/>
    </row>
    <row r="9" spans="1:29" x14ac:dyDescent="0.25">
      <c r="A9" s="159"/>
      <c r="B9" s="6" t="s">
        <v>86</v>
      </c>
      <c r="C9" s="7">
        <v>3</v>
      </c>
      <c r="D9" s="7">
        <v>12</v>
      </c>
      <c r="E9" s="7">
        <v>60</v>
      </c>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t="s">
        <v>125</v>
      </c>
      <c r="K10" s="7">
        <v>3</v>
      </c>
      <c r="L10" s="7">
        <v>10</v>
      </c>
      <c r="M10" s="7">
        <v>1</v>
      </c>
      <c r="N10" s="6" t="s">
        <v>392</v>
      </c>
      <c r="O10" s="7">
        <v>4</v>
      </c>
      <c r="P10" s="7">
        <v>12</v>
      </c>
      <c r="Q10" s="7">
        <v>20</v>
      </c>
      <c r="R10" s="6"/>
      <c r="S10" s="7"/>
      <c r="T10" s="7"/>
      <c r="U10" s="7"/>
      <c r="V10" s="6"/>
      <c r="W10" s="7"/>
      <c r="X10" s="7"/>
      <c r="Y10" s="7"/>
      <c r="Z10" s="6"/>
      <c r="AA10" s="7"/>
      <c r="AB10" s="7"/>
      <c r="AC10" s="7"/>
    </row>
    <row r="11" spans="1:29" x14ac:dyDescent="0.25">
      <c r="A11" s="159"/>
      <c r="B11" s="6"/>
      <c r="C11" s="7"/>
      <c r="D11" s="7"/>
      <c r="E11" s="7"/>
      <c r="F11" s="6"/>
      <c r="G11" s="7"/>
      <c r="H11" s="7"/>
      <c r="I11" s="7"/>
      <c r="J11" s="6" t="s">
        <v>106</v>
      </c>
      <c r="K11" s="7">
        <v>3</v>
      </c>
      <c r="L11" s="7">
        <v>12</v>
      </c>
      <c r="M11" s="7">
        <v>40</v>
      </c>
      <c r="N11" s="6" t="s">
        <v>390</v>
      </c>
      <c r="O11" s="7">
        <v>3</v>
      </c>
      <c r="P11" s="7">
        <v>12</v>
      </c>
      <c r="Q11" s="7">
        <v>20</v>
      </c>
      <c r="R11" s="6"/>
      <c r="S11" s="7"/>
      <c r="T11" s="7"/>
      <c r="U11" s="7"/>
      <c r="V11" s="6"/>
      <c r="W11" s="7"/>
      <c r="X11" s="7"/>
      <c r="Y11" s="7"/>
      <c r="Z11" s="6"/>
      <c r="AA11" s="7"/>
      <c r="AB11" s="7"/>
      <c r="AC11" s="7"/>
    </row>
    <row r="12" spans="1:29" x14ac:dyDescent="0.25">
      <c r="A12" s="159"/>
      <c r="B12" s="6"/>
      <c r="C12" s="7"/>
      <c r="D12" s="7"/>
      <c r="E12" s="7"/>
      <c r="F12" s="6"/>
      <c r="G12" s="7"/>
      <c r="H12" s="7"/>
      <c r="I12" s="7"/>
      <c r="J12" s="6" t="s">
        <v>142</v>
      </c>
      <c r="K12" s="7">
        <v>4</v>
      </c>
      <c r="L12" s="7">
        <v>10</v>
      </c>
      <c r="M12" s="7" t="s">
        <v>701</v>
      </c>
      <c r="N12" s="6" t="s">
        <v>396</v>
      </c>
      <c r="O12" s="7">
        <v>3</v>
      </c>
      <c r="P12" s="7">
        <v>10</v>
      </c>
      <c r="Q12" s="7">
        <v>25</v>
      </c>
      <c r="R12" s="6"/>
      <c r="S12" s="7"/>
      <c r="T12" s="7"/>
      <c r="U12" s="7"/>
      <c r="V12" s="6"/>
      <c r="W12" s="7"/>
      <c r="X12" s="7"/>
      <c r="Y12" s="7"/>
      <c r="Z12" s="6"/>
      <c r="AA12" s="7"/>
      <c r="AB12" s="7"/>
      <c r="AC12" s="7"/>
    </row>
    <row r="13" spans="1:29" x14ac:dyDescent="0.25">
      <c r="A13" s="159"/>
      <c r="B13" s="6"/>
      <c r="C13" s="7"/>
      <c r="D13" s="7"/>
      <c r="E13" s="7"/>
      <c r="F13" s="6"/>
      <c r="G13" s="7"/>
      <c r="H13" s="7"/>
      <c r="I13" s="7"/>
      <c r="J13" s="6" t="s">
        <v>116</v>
      </c>
      <c r="K13" s="7">
        <v>3</v>
      </c>
      <c r="L13" s="7">
        <v>10</v>
      </c>
      <c r="M13" s="7">
        <v>80</v>
      </c>
      <c r="N13" s="6" t="s">
        <v>415</v>
      </c>
      <c r="O13" s="7">
        <v>3</v>
      </c>
      <c r="P13" s="7">
        <v>8</v>
      </c>
      <c r="Q13" s="7">
        <v>20</v>
      </c>
      <c r="R13" s="6"/>
      <c r="S13" s="7"/>
      <c r="T13" s="7"/>
      <c r="U13" s="7"/>
      <c r="V13" s="6"/>
      <c r="W13" s="7"/>
      <c r="X13" s="7"/>
      <c r="Y13" s="7"/>
      <c r="Z13" s="6"/>
      <c r="AA13" s="7"/>
      <c r="AB13" s="7"/>
      <c r="AC13" s="7"/>
    </row>
    <row r="14" spans="1:29" x14ac:dyDescent="0.25">
      <c r="A14" s="159"/>
      <c r="B14" s="6"/>
      <c r="C14" s="7"/>
      <c r="D14" s="7"/>
      <c r="E14" s="7"/>
      <c r="F14" s="6"/>
      <c r="G14" s="7"/>
      <c r="H14" s="7"/>
      <c r="I14" s="7"/>
      <c r="J14" s="6" t="s">
        <v>162</v>
      </c>
      <c r="K14" s="7">
        <v>3</v>
      </c>
      <c r="L14" s="7">
        <v>60</v>
      </c>
      <c r="M14" s="7">
        <v>1</v>
      </c>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t="s">
        <v>471</v>
      </c>
      <c r="S20" s="7">
        <v>3</v>
      </c>
      <c r="T20" s="7">
        <v>12</v>
      </c>
      <c r="U20" s="7">
        <v>50</v>
      </c>
      <c r="V20" s="6" t="s">
        <v>225</v>
      </c>
      <c r="W20" s="7">
        <v>4</v>
      </c>
      <c r="X20" s="7">
        <v>12</v>
      </c>
      <c r="Y20" s="7">
        <v>60</v>
      </c>
      <c r="Z20" s="6"/>
      <c r="AA20" s="7"/>
      <c r="AB20" s="7"/>
      <c r="AC20" s="7"/>
    </row>
    <row r="21" spans="1:29" x14ac:dyDescent="0.25">
      <c r="A21" s="159"/>
      <c r="B21" s="6"/>
      <c r="C21" s="7"/>
      <c r="D21" s="7"/>
      <c r="E21" s="7"/>
      <c r="F21" s="6"/>
      <c r="G21" s="7"/>
      <c r="H21" s="7"/>
      <c r="I21" s="7"/>
      <c r="J21" s="6"/>
      <c r="K21" s="7"/>
      <c r="L21" s="7"/>
      <c r="M21" s="7"/>
      <c r="N21" s="6"/>
      <c r="O21" s="7"/>
      <c r="P21" s="7"/>
      <c r="Q21" s="7"/>
      <c r="R21" s="6" t="s">
        <v>492</v>
      </c>
      <c r="S21" s="7">
        <v>3</v>
      </c>
      <c r="T21" s="7">
        <v>10</v>
      </c>
      <c r="U21" s="7" t="s">
        <v>715</v>
      </c>
      <c r="V21" s="6" t="s">
        <v>227</v>
      </c>
      <c r="W21" s="7">
        <v>3</v>
      </c>
      <c r="X21" s="7">
        <v>10</v>
      </c>
      <c r="Y21" s="7">
        <v>42</v>
      </c>
      <c r="Z21" s="6"/>
      <c r="AA21" s="7"/>
      <c r="AB21" s="7"/>
      <c r="AC21" s="7"/>
    </row>
    <row r="22" spans="1:29" x14ac:dyDescent="0.25">
      <c r="A22" s="159"/>
      <c r="B22" s="6"/>
      <c r="C22" s="7"/>
      <c r="D22" s="7"/>
      <c r="E22" s="7"/>
      <c r="F22" s="6"/>
      <c r="G22" s="7"/>
      <c r="H22" s="7"/>
      <c r="I22" s="7"/>
      <c r="J22" s="6"/>
      <c r="K22" s="7"/>
      <c r="L22" s="7"/>
      <c r="M22" s="7"/>
      <c r="N22" s="6"/>
      <c r="O22" s="7"/>
      <c r="P22" s="7"/>
      <c r="Q22" s="7"/>
      <c r="R22" s="6" t="s">
        <v>504</v>
      </c>
      <c r="S22" s="7">
        <v>3</v>
      </c>
      <c r="T22" s="7">
        <v>10</v>
      </c>
      <c r="U22" s="7">
        <v>20</v>
      </c>
      <c r="V22" s="6" t="s">
        <v>202</v>
      </c>
      <c r="W22" s="7">
        <v>3</v>
      </c>
      <c r="X22" s="7">
        <v>12</v>
      </c>
      <c r="Y22" s="7">
        <v>20</v>
      </c>
      <c r="Z22" s="6"/>
      <c r="AA22" s="7"/>
      <c r="AB22" s="7"/>
      <c r="AC22" s="7"/>
    </row>
    <row r="23" spans="1:29" x14ac:dyDescent="0.25">
      <c r="A23" s="159"/>
      <c r="B23" s="6"/>
      <c r="C23" s="7"/>
      <c r="D23" s="7"/>
      <c r="E23" s="7"/>
      <c r="F23" s="6"/>
      <c r="G23" s="7"/>
      <c r="H23" s="7"/>
      <c r="I23" s="7"/>
      <c r="J23" s="6"/>
      <c r="K23" s="7"/>
      <c r="L23" s="7"/>
      <c r="M23" s="7"/>
      <c r="N23" s="6"/>
      <c r="O23" s="7"/>
      <c r="P23" s="7"/>
      <c r="Q23" s="7"/>
      <c r="R23" s="6" t="s">
        <v>482</v>
      </c>
      <c r="S23" s="7">
        <v>3</v>
      </c>
      <c r="T23" s="7">
        <v>12</v>
      </c>
      <c r="U23" s="7">
        <v>30</v>
      </c>
      <c r="V23" s="6" t="s">
        <v>214</v>
      </c>
      <c r="W23" s="7">
        <v>4</v>
      </c>
      <c r="X23" s="7">
        <v>12</v>
      </c>
      <c r="Y23" s="7">
        <v>45</v>
      </c>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t="s">
        <v>256</v>
      </c>
      <c r="W24" s="7">
        <v>3</v>
      </c>
      <c r="X24" s="7">
        <v>12</v>
      </c>
      <c r="Y24" s="7">
        <v>70</v>
      </c>
      <c r="Z24" s="6"/>
      <c r="AA24" s="7"/>
      <c r="AB24" s="7"/>
      <c r="AC24" s="7"/>
    </row>
    <row r="25" spans="1:29" x14ac:dyDescent="0.25">
      <c r="A25" s="159" t="s">
        <v>704</v>
      </c>
      <c r="B25" s="6" t="s">
        <v>22</v>
      </c>
      <c r="C25" s="7">
        <v>3</v>
      </c>
      <c r="D25" s="7">
        <v>12</v>
      </c>
      <c r="E25" s="7">
        <v>60</v>
      </c>
      <c r="F25" s="6" t="s">
        <v>434</v>
      </c>
      <c r="G25" s="7">
        <v>3</v>
      </c>
      <c r="H25" s="7">
        <v>12</v>
      </c>
      <c r="I25" s="7">
        <v>1</v>
      </c>
      <c r="J25" s="6"/>
      <c r="K25" s="7"/>
      <c r="L25" s="7"/>
      <c r="M25" s="7"/>
      <c r="N25" s="6"/>
      <c r="O25" s="7"/>
      <c r="P25" s="7"/>
      <c r="Q25" s="7"/>
      <c r="R25" s="6"/>
      <c r="S25" s="7"/>
      <c r="T25" s="7"/>
      <c r="U25" s="7"/>
      <c r="V25" s="6"/>
      <c r="W25" s="7"/>
      <c r="X25" s="7"/>
      <c r="Y25" s="7"/>
      <c r="Z25" s="6"/>
      <c r="AA25" s="7"/>
      <c r="AB25" s="7"/>
      <c r="AC25" s="7"/>
    </row>
    <row r="26" spans="1:29" x14ac:dyDescent="0.25">
      <c r="A26" s="159"/>
      <c r="B26" s="6" t="s">
        <v>32</v>
      </c>
      <c r="C26" s="7">
        <v>3</v>
      </c>
      <c r="D26" s="7">
        <v>12</v>
      </c>
      <c r="E26" s="7">
        <v>75</v>
      </c>
      <c r="F26" s="6" t="s">
        <v>442</v>
      </c>
      <c r="G26" s="7">
        <v>4</v>
      </c>
      <c r="H26" s="7">
        <v>15</v>
      </c>
      <c r="I26" s="7">
        <v>1</v>
      </c>
      <c r="J26" s="6"/>
      <c r="K26" s="7"/>
      <c r="L26" s="7"/>
      <c r="M26" s="7"/>
      <c r="N26" s="6"/>
      <c r="O26" s="7"/>
      <c r="P26" s="7"/>
      <c r="Q26" s="7"/>
      <c r="R26" s="6"/>
      <c r="S26" s="7"/>
      <c r="T26" s="7"/>
      <c r="U26" s="7"/>
      <c r="V26" s="6"/>
      <c r="W26" s="7"/>
      <c r="X26" s="7"/>
      <c r="Y26" s="7"/>
      <c r="Z26" s="6"/>
      <c r="AA26" s="7"/>
      <c r="AB26" s="7"/>
      <c r="AC26" s="7"/>
    </row>
    <row r="27" spans="1:29" x14ac:dyDescent="0.25">
      <c r="A27" s="159"/>
      <c r="B27" s="6" t="s">
        <v>46</v>
      </c>
      <c r="C27" s="7">
        <v>4</v>
      </c>
      <c r="D27" s="7">
        <v>8</v>
      </c>
      <c r="E27" s="7">
        <v>75</v>
      </c>
      <c r="F27" s="6" t="s">
        <v>699</v>
      </c>
      <c r="G27" s="7">
        <v>3</v>
      </c>
      <c r="H27" s="7">
        <v>10</v>
      </c>
      <c r="I27" s="7">
        <v>90</v>
      </c>
      <c r="J27" s="6"/>
      <c r="K27" s="7"/>
      <c r="L27" s="7"/>
      <c r="M27" s="7"/>
      <c r="N27" s="6"/>
      <c r="O27" s="7"/>
      <c r="P27" s="7"/>
      <c r="Q27" s="7"/>
      <c r="R27" s="6"/>
      <c r="S27" s="7"/>
      <c r="T27" s="7"/>
      <c r="U27" s="7"/>
      <c r="V27" s="6"/>
      <c r="W27" s="7"/>
      <c r="X27" s="7"/>
      <c r="Y27" s="7"/>
      <c r="Z27" s="6"/>
      <c r="AA27" s="7"/>
      <c r="AB27" s="7"/>
      <c r="AC27" s="7"/>
    </row>
    <row r="28" spans="1:29" x14ac:dyDescent="0.25">
      <c r="A28" s="159"/>
      <c r="B28" s="6" t="s">
        <v>74</v>
      </c>
      <c r="C28" s="7">
        <v>3</v>
      </c>
      <c r="D28" s="7">
        <v>8</v>
      </c>
      <c r="E28" s="7">
        <v>175</v>
      </c>
      <c r="F28" s="6" t="s">
        <v>448</v>
      </c>
      <c r="G28" s="7">
        <v>3</v>
      </c>
      <c r="H28" s="7">
        <v>10</v>
      </c>
      <c r="I28" s="7">
        <v>30</v>
      </c>
      <c r="J28" s="6"/>
      <c r="K28" s="7"/>
      <c r="L28" s="7"/>
      <c r="M28" s="7"/>
      <c r="N28" s="6"/>
      <c r="O28" s="7"/>
      <c r="P28" s="7"/>
      <c r="Q28" s="7"/>
      <c r="R28" s="6"/>
      <c r="S28" s="7"/>
      <c r="T28" s="7"/>
      <c r="U28" s="7"/>
      <c r="V28" s="6"/>
      <c r="W28" s="7"/>
      <c r="X28" s="7"/>
      <c r="Y28" s="7"/>
      <c r="Z28" s="6"/>
      <c r="AA28" s="7"/>
      <c r="AB28" s="7"/>
      <c r="AC28" s="7"/>
    </row>
    <row r="29" spans="1:29" x14ac:dyDescent="0.25">
      <c r="A29" s="159"/>
      <c r="B29" s="6" t="s">
        <v>86</v>
      </c>
      <c r="C29" s="7">
        <v>3</v>
      </c>
      <c r="D29" s="7">
        <v>12</v>
      </c>
      <c r="E29" s="7">
        <v>40</v>
      </c>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t="s">
        <v>125</v>
      </c>
      <c r="K30" s="7">
        <v>3</v>
      </c>
      <c r="L30" s="7">
        <v>10</v>
      </c>
      <c r="M30" s="7">
        <v>1</v>
      </c>
      <c r="N30" s="6" t="s">
        <v>392</v>
      </c>
      <c r="O30" s="7">
        <v>4</v>
      </c>
      <c r="P30" s="7">
        <v>12</v>
      </c>
      <c r="Q30" s="7">
        <v>20</v>
      </c>
      <c r="R30" s="6"/>
      <c r="S30" s="7"/>
      <c r="T30" s="7"/>
      <c r="U30" s="7"/>
      <c r="V30" s="6"/>
      <c r="W30" s="7"/>
      <c r="X30" s="7"/>
      <c r="Y30" s="7"/>
      <c r="Z30" s="6"/>
      <c r="AA30" s="7"/>
      <c r="AB30" s="7"/>
      <c r="AC30" s="7"/>
    </row>
    <row r="31" spans="1:29" x14ac:dyDescent="0.25">
      <c r="A31" s="159"/>
      <c r="B31" s="6"/>
      <c r="C31" s="7"/>
      <c r="D31" s="7"/>
      <c r="E31" s="7"/>
      <c r="F31" s="6"/>
      <c r="G31" s="7"/>
      <c r="H31" s="7"/>
      <c r="I31" s="7"/>
      <c r="J31" s="6" t="s">
        <v>106</v>
      </c>
      <c r="K31" s="7">
        <v>3</v>
      </c>
      <c r="L31" s="7">
        <v>12</v>
      </c>
      <c r="M31" s="7">
        <v>40</v>
      </c>
      <c r="N31" s="6" t="s">
        <v>390</v>
      </c>
      <c r="O31" s="7">
        <v>3</v>
      </c>
      <c r="P31" s="7">
        <v>12</v>
      </c>
      <c r="Q31" s="7">
        <v>20</v>
      </c>
      <c r="R31" s="6"/>
      <c r="S31" s="7"/>
      <c r="T31" s="7"/>
      <c r="U31" s="7"/>
      <c r="V31" s="6"/>
      <c r="W31" s="7"/>
      <c r="X31" s="7"/>
      <c r="Y31" s="7"/>
      <c r="Z31" s="6"/>
      <c r="AA31" s="7"/>
      <c r="AB31" s="7"/>
      <c r="AC31" s="7"/>
    </row>
    <row r="32" spans="1:29" x14ac:dyDescent="0.25">
      <c r="A32" s="159"/>
      <c r="B32" s="6"/>
      <c r="C32" s="7"/>
      <c r="D32" s="7"/>
      <c r="E32" s="7"/>
      <c r="F32" s="6"/>
      <c r="G32" s="7"/>
      <c r="H32" s="7"/>
      <c r="I32" s="7"/>
      <c r="J32" s="6" t="s">
        <v>142</v>
      </c>
      <c r="K32" s="7">
        <v>4</v>
      </c>
      <c r="L32" s="7">
        <v>10</v>
      </c>
      <c r="M32" s="7" t="s">
        <v>701</v>
      </c>
      <c r="N32" s="6" t="s">
        <v>396</v>
      </c>
      <c r="O32" s="7">
        <v>3</v>
      </c>
      <c r="P32" s="7">
        <v>10</v>
      </c>
      <c r="Q32" s="7">
        <v>25</v>
      </c>
      <c r="R32" s="6"/>
      <c r="S32" s="7"/>
      <c r="T32" s="7"/>
      <c r="U32" s="7"/>
      <c r="V32" s="6"/>
      <c r="W32" s="7"/>
      <c r="X32" s="7"/>
      <c r="Y32" s="7"/>
      <c r="Z32" s="6"/>
      <c r="AA32" s="7"/>
      <c r="AB32" s="7"/>
      <c r="AC32" s="7"/>
    </row>
    <row r="33" spans="1:36" x14ac:dyDescent="0.25">
      <c r="A33" s="159"/>
      <c r="B33" s="6"/>
      <c r="C33" s="7"/>
      <c r="D33" s="7"/>
      <c r="E33" s="7"/>
      <c r="F33" s="6"/>
      <c r="G33" s="7"/>
      <c r="H33" s="7"/>
      <c r="I33" s="7"/>
      <c r="J33" s="6" t="s">
        <v>116</v>
      </c>
      <c r="K33" s="7">
        <v>3</v>
      </c>
      <c r="L33" s="7">
        <v>10</v>
      </c>
      <c r="M33" s="7">
        <v>80</v>
      </c>
      <c r="N33" s="6" t="s">
        <v>415</v>
      </c>
      <c r="O33" s="7">
        <v>3</v>
      </c>
      <c r="P33" s="7">
        <v>8</v>
      </c>
      <c r="Q33" s="7">
        <v>20</v>
      </c>
      <c r="R33" s="6"/>
      <c r="S33" s="7"/>
      <c r="T33" s="7"/>
      <c r="U33" s="7"/>
      <c r="V33" s="6"/>
      <c r="W33" s="7"/>
      <c r="X33" s="7"/>
      <c r="Y33" s="7"/>
      <c r="Z33" s="6"/>
      <c r="AA33" s="7"/>
      <c r="AB33" s="7"/>
      <c r="AC33" s="7"/>
    </row>
    <row r="34" spans="1:36" x14ac:dyDescent="0.25">
      <c r="A34" s="159"/>
      <c r="B34" s="6"/>
      <c r="C34" s="7"/>
      <c r="D34" s="7"/>
      <c r="E34" s="7"/>
      <c r="F34" s="6"/>
      <c r="G34" s="7"/>
      <c r="H34" s="7"/>
      <c r="I34" s="7"/>
      <c r="J34" s="6" t="s">
        <v>162</v>
      </c>
      <c r="K34" s="7">
        <v>3</v>
      </c>
      <c r="L34" s="7">
        <v>60</v>
      </c>
      <c r="M34" s="7">
        <v>1</v>
      </c>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6" t="s">
        <v>471</v>
      </c>
      <c r="S35" s="7">
        <v>3</v>
      </c>
      <c r="T35" s="7">
        <v>12</v>
      </c>
      <c r="U35" s="7">
        <v>50</v>
      </c>
      <c r="V35" s="4"/>
      <c r="W35" s="5"/>
      <c r="X35" s="5"/>
      <c r="Y35" s="5"/>
      <c r="Z35" s="4" t="s">
        <v>348</v>
      </c>
      <c r="AA35" s="5">
        <v>3</v>
      </c>
      <c r="AB35" s="5">
        <v>12</v>
      </c>
      <c r="AC35" s="5">
        <v>10</v>
      </c>
    </row>
    <row r="36" spans="1:36" x14ac:dyDescent="0.25">
      <c r="A36" s="159"/>
      <c r="B36" s="4"/>
      <c r="C36" s="8"/>
      <c r="D36" s="8"/>
      <c r="E36" s="8"/>
      <c r="F36" s="4"/>
      <c r="G36" s="5"/>
      <c r="H36" s="5"/>
      <c r="I36" s="5"/>
      <c r="J36" s="4"/>
      <c r="K36" s="5"/>
      <c r="L36" s="5"/>
      <c r="M36" s="5"/>
      <c r="N36" s="4"/>
      <c r="O36" s="5"/>
      <c r="P36" s="5"/>
      <c r="Q36" s="5"/>
      <c r="R36" s="6" t="s">
        <v>492</v>
      </c>
      <c r="S36" s="7">
        <v>3</v>
      </c>
      <c r="T36" s="7">
        <v>10</v>
      </c>
      <c r="U36" s="7" t="s">
        <v>715</v>
      </c>
      <c r="V36" s="4"/>
      <c r="W36" s="5"/>
      <c r="X36" s="5"/>
      <c r="Y36" s="5"/>
      <c r="Z36" s="4" t="s">
        <v>353</v>
      </c>
      <c r="AA36" s="5">
        <v>3</v>
      </c>
      <c r="AB36" s="5">
        <v>12</v>
      </c>
      <c r="AC36" s="5">
        <v>1</v>
      </c>
    </row>
    <row r="37" spans="1:36" x14ac:dyDescent="0.25">
      <c r="A37" s="159"/>
      <c r="B37" s="4"/>
      <c r="C37" s="8"/>
      <c r="D37" s="8"/>
      <c r="E37" s="8"/>
      <c r="F37" s="4"/>
      <c r="G37" s="5"/>
      <c r="H37" s="5"/>
      <c r="I37" s="5"/>
      <c r="J37" s="4"/>
      <c r="K37" s="5"/>
      <c r="L37" s="5"/>
      <c r="M37" s="5"/>
      <c r="N37" s="4"/>
      <c r="O37" s="5"/>
      <c r="P37" s="5"/>
      <c r="Q37" s="5"/>
      <c r="R37" s="6" t="s">
        <v>504</v>
      </c>
      <c r="S37" s="7">
        <v>3</v>
      </c>
      <c r="T37" s="7">
        <v>10</v>
      </c>
      <c r="U37" s="7">
        <v>20</v>
      </c>
      <c r="V37" s="4"/>
      <c r="W37" s="5"/>
      <c r="X37" s="5"/>
      <c r="Y37" s="5"/>
      <c r="Z37" s="4" t="s">
        <v>359</v>
      </c>
      <c r="AA37" s="5">
        <v>3</v>
      </c>
      <c r="AB37" s="5">
        <v>12</v>
      </c>
      <c r="AC37" s="5">
        <v>1</v>
      </c>
    </row>
    <row r="38" spans="1:36" x14ac:dyDescent="0.25">
      <c r="A38" s="159"/>
      <c r="B38" s="4"/>
      <c r="C38" s="8"/>
      <c r="D38" s="8"/>
      <c r="E38" s="8"/>
      <c r="F38" s="4"/>
      <c r="G38" s="5"/>
      <c r="H38" s="5"/>
      <c r="I38" s="5"/>
      <c r="J38" s="4"/>
      <c r="K38" s="5"/>
      <c r="L38" s="5"/>
      <c r="M38" s="5"/>
      <c r="N38" s="4"/>
      <c r="O38" s="5"/>
      <c r="P38" s="5"/>
      <c r="Q38" s="5"/>
      <c r="R38" s="6" t="s">
        <v>482</v>
      </c>
      <c r="S38" s="7">
        <v>3</v>
      </c>
      <c r="T38" s="7">
        <v>12</v>
      </c>
      <c r="U38" s="7">
        <v>30</v>
      </c>
      <c r="V38" s="4"/>
      <c r="W38" s="5"/>
      <c r="X38" s="5"/>
      <c r="Y38" s="5"/>
      <c r="Z38" s="4" t="s">
        <v>369</v>
      </c>
      <c r="AA38" s="5">
        <v>3</v>
      </c>
      <c r="AB38" s="5">
        <v>12</v>
      </c>
      <c r="AC38" s="5">
        <v>1</v>
      </c>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t="s">
        <v>314</v>
      </c>
      <c r="AA39" s="11">
        <v>3</v>
      </c>
      <c r="AB39" s="11">
        <v>90</v>
      </c>
      <c r="AC39" s="11">
        <v>1</v>
      </c>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44576</v>
      </c>
      <c r="B44" s="2" t="str">
        <f t="shared" ref="B44:B78" si="0">B5</f>
        <v>Press plano</v>
      </c>
      <c r="C44" s="126">
        <f t="shared" ref="C44:C78" ca="1" si="1">IF(TODAY()=$A$44,C5*D5*E5,C44)</f>
        <v>1980</v>
      </c>
      <c r="D44" s="127"/>
      <c r="E44" s="12">
        <f t="shared" ref="E44:E78" ca="1" si="2">IF(TODAY()=$A$44,E5,E44)</f>
        <v>0</v>
      </c>
      <c r="F44" s="2" t="str">
        <f t="shared" ref="F44:F78" si="3">F5</f>
        <v>Body ups</v>
      </c>
      <c r="G44" s="126">
        <f t="shared" ref="G44:G78" ca="1" si="4">IF(TODAY()=$A$44,G5*H5*I5,G44)</f>
        <v>900</v>
      </c>
      <c r="H44" s="127"/>
      <c r="I44" s="12">
        <f t="shared" ref="I44:I78" ca="1" si="5">IF(TODAY()=$A$44,I5,I44)</f>
        <v>0</v>
      </c>
      <c r="J44" s="2">
        <f t="shared" ref="J44:J78" si="6">J5</f>
        <v>0</v>
      </c>
      <c r="K44" s="126">
        <f t="shared" ref="K44:K78" ca="1" si="7">IF(TODAY()=$A$44,K5*L5*M5,K44)</f>
        <v>0</v>
      </c>
      <c r="L44" s="127"/>
      <c r="M44" s="12">
        <f t="shared" ref="M44:M78" ca="1" si="8">IF(TODAY()=$A$44,M5,M44)</f>
        <v>0</v>
      </c>
      <c r="N44" s="2">
        <f t="shared" ref="N44:N78" si="9">N5</f>
        <v>0</v>
      </c>
      <c r="O44" s="126">
        <f t="shared" ref="O44:O78" ca="1" si="10">IF(TODAY()=$A$44,O5*P5*Q5,O44)</f>
        <v>0</v>
      </c>
      <c r="P44" s="127"/>
      <c r="Q44" s="12">
        <f t="shared" ref="Q44:Q78" ca="1" si="11">IF(TODAY()=$A$44,Q5,Q44)</f>
        <v>0</v>
      </c>
      <c r="R44" s="2">
        <f t="shared" ref="R44:R78" si="12">R5</f>
        <v>0</v>
      </c>
      <c r="S44" s="126">
        <f t="shared" ref="S44:S78" ca="1" si="13">IF(TODAY()=$A$44,S5*T5*U5,S44)</f>
        <v>0</v>
      </c>
      <c r="T44" s="127"/>
      <c r="U44" s="12">
        <f t="shared" ref="U44:U78" ca="1" si="14">IF(TODAY()=$A$44,U5,U44)</f>
        <v>0</v>
      </c>
      <c r="V44" s="2">
        <f t="shared" ref="V44:V78" si="15">V5</f>
        <v>0</v>
      </c>
      <c r="W44" s="126">
        <f t="shared" ref="W44:W78" ca="1" si="16">IF(TODAY()=$A$44,W5*X5*Y5,W44)</f>
        <v>0</v>
      </c>
      <c r="X44" s="127"/>
      <c r="Y44" s="12">
        <f t="shared" ref="Y44:Y78" ca="1" si="17">IF(TODAY()=$A$44,Y5,Y44)</f>
        <v>0</v>
      </c>
      <c r="Z44" s="2">
        <f t="shared" ref="Z44:Z73" si="18">Z5</f>
        <v>0</v>
      </c>
      <c r="AA44" s="126">
        <f t="shared" ref="AA44:AA73" ca="1" si="19">IF(TODAY()=$A$44,AA5*AB5*AC5,AA44)</f>
        <v>0</v>
      </c>
      <c r="AB44" s="127"/>
      <c r="AC44" s="12">
        <f t="shared" ref="AC44:AC73" ca="1" si="20">IF(TODAY()=$A$44,AC5,AC44)</f>
        <v>0</v>
      </c>
      <c r="AD44" s="141">
        <f ca="1">SUM(C44:E78,G44:I78,K44:M78,O44:Q78,S44:U78,W44:Y78,AA44:AC78)</f>
        <v>62355</v>
      </c>
      <c r="AE44" s="142"/>
      <c r="AF44" s="142"/>
      <c r="AG44" s="143"/>
      <c r="AH44" s="115"/>
      <c r="AI44" s="150"/>
      <c r="AJ44" s="151"/>
    </row>
    <row r="45" spans="1:36" x14ac:dyDescent="0.25">
      <c r="A45" s="137"/>
      <c r="B45" s="1" t="str">
        <f t="shared" si="0"/>
        <v>Press plano mancuerna trifásico</v>
      </c>
      <c r="C45" s="126">
        <f t="shared" ca="1" si="1"/>
        <v>1350</v>
      </c>
      <c r="D45" s="127"/>
      <c r="E45" s="12">
        <f t="shared" ca="1" si="2"/>
        <v>0</v>
      </c>
      <c r="F45" s="1" t="str">
        <f t="shared" si="3"/>
        <v>Fondos tríceps paralelas</v>
      </c>
      <c r="G45" s="126">
        <f t="shared" ca="1" si="4"/>
        <v>720</v>
      </c>
      <c r="H45" s="127"/>
      <c r="I45" s="12">
        <f t="shared" ca="1" si="5"/>
        <v>0</v>
      </c>
      <c r="J45" s="1">
        <f t="shared" si="6"/>
        <v>0</v>
      </c>
      <c r="K45" s="126">
        <f t="shared" ca="1" si="7"/>
        <v>0</v>
      </c>
      <c r="L45" s="127"/>
      <c r="M45" s="12">
        <f t="shared" ca="1" si="8"/>
        <v>0</v>
      </c>
      <c r="N45" s="1">
        <f t="shared" si="9"/>
        <v>0</v>
      </c>
      <c r="O45" s="126">
        <f t="shared" ca="1" si="10"/>
        <v>0</v>
      </c>
      <c r="P45" s="127"/>
      <c r="Q45" s="12">
        <f t="shared" ca="1" si="11"/>
        <v>0</v>
      </c>
      <c r="R45" s="1">
        <f t="shared" si="12"/>
        <v>0</v>
      </c>
      <c r="S45" s="126">
        <f t="shared" ca="1" si="13"/>
        <v>0</v>
      </c>
      <c r="T45" s="127"/>
      <c r="U45" s="12">
        <f t="shared" ca="1" si="14"/>
        <v>0</v>
      </c>
      <c r="V45" s="1">
        <f t="shared" si="15"/>
        <v>0</v>
      </c>
      <c r="W45" s="126">
        <f t="shared" ca="1" si="16"/>
        <v>0</v>
      </c>
      <c r="X45" s="127"/>
      <c r="Y45" s="12">
        <f t="shared" ca="1" si="17"/>
        <v>0</v>
      </c>
      <c r="Z45" s="1">
        <f t="shared" si="18"/>
        <v>0</v>
      </c>
      <c r="AA45" s="126">
        <f t="shared" ca="1" si="19"/>
        <v>0</v>
      </c>
      <c r="AB45" s="127"/>
      <c r="AC45" s="12">
        <f t="shared" ca="1" si="20"/>
        <v>0</v>
      </c>
      <c r="AD45" s="144"/>
      <c r="AE45" s="145"/>
      <c r="AF45" s="145"/>
      <c r="AG45" s="146"/>
      <c r="AH45" s="116"/>
      <c r="AI45" s="152"/>
      <c r="AJ45" s="153"/>
    </row>
    <row r="46" spans="1:36" x14ac:dyDescent="0.25">
      <c r="A46" s="137"/>
      <c r="B46" s="1" t="str">
        <f t="shared" si="0"/>
        <v>Press inclinado mancuerna</v>
      </c>
      <c r="C46" s="126">
        <f t="shared" ca="1" si="1"/>
        <v>2700</v>
      </c>
      <c r="D46" s="127"/>
      <c r="E46" s="12">
        <f t="shared" ca="1" si="2"/>
        <v>0</v>
      </c>
      <c r="F46" s="1" t="str">
        <f t="shared" si="3"/>
        <v>Fondos máquina</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4"/>
      <c r="AE46" s="145"/>
      <c r="AF46" s="145"/>
      <c r="AG46" s="146"/>
      <c r="AH46" s="116"/>
      <c r="AI46" s="152"/>
      <c r="AJ46" s="153"/>
    </row>
    <row r="47" spans="1:36" x14ac:dyDescent="0.25">
      <c r="A47" s="137"/>
      <c r="B47" s="1" t="str">
        <f t="shared" si="0"/>
        <v>Vuelos máquina</v>
      </c>
      <c r="C47" s="126">
        <f t="shared" ca="1" si="1"/>
        <v>1620</v>
      </c>
      <c r="D47" s="127"/>
      <c r="E47" s="12">
        <f t="shared" ca="1" si="2"/>
        <v>0</v>
      </c>
      <c r="F47" s="1" t="str">
        <f t="shared" si="3"/>
        <v>Extensión tríceps polea</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4"/>
      <c r="AE47" s="145"/>
      <c r="AF47" s="145"/>
      <c r="AG47" s="146"/>
      <c r="AH47" s="116"/>
      <c r="AI47" s="152"/>
      <c r="AJ47" s="153"/>
    </row>
    <row r="48" spans="1:36" x14ac:dyDescent="0.25">
      <c r="A48" s="137"/>
      <c r="B48" s="1" t="str">
        <f t="shared" si="0"/>
        <v>Pullover pecho mancuerna</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4"/>
      <c r="AE48" s="145"/>
      <c r="AF48" s="145"/>
      <c r="AG48" s="146"/>
      <c r="AH48" s="116"/>
      <c r="AI48" s="152"/>
      <c r="AJ48" s="153"/>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t="str">
        <f t="shared" si="6"/>
        <v>Pullups</v>
      </c>
      <c r="K49" s="126">
        <f t="shared" ca="1" si="7"/>
        <v>30</v>
      </c>
      <c r="L49" s="127"/>
      <c r="M49" s="12">
        <f t="shared" ca="1" si="8"/>
        <v>0</v>
      </c>
      <c r="N49" s="1" t="str">
        <f t="shared" si="9"/>
        <v>Curl spider</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4"/>
      <c r="AE49" s="145"/>
      <c r="AF49" s="145"/>
      <c r="AG49" s="146"/>
      <c r="AH49" s="116"/>
      <c r="AI49" s="152"/>
      <c r="AJ49" s="153"/>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t="str">
        <f t="shared" si="6"/>
        <v>Remo mancuerna banco inclinado</v>
      </c>
      <c r="K50" s="126">
        <f t="shared" ca="1" si="7"/>
        <v>1800</v>
      </c>
      <c r="L50" s="127"/>
      <c r="M50" s="12">
        <f t="shared" ca="1" si="8"/>
        <v>0</v>
      </c>
      <c r="N50" s="1" t="str">
        <f t="shared" si="9"/>
        <v>Curl invertido barra z</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4"/>
      <c r="AE50" s="145"/>
      <c r="AF50" s="145"/>
      <c r="AG50" s="146"/>
      <c r="AH50" s="116"/>
      <c r="AI50" s="152"/>
      <c r="AJ50" s="153"/>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t="str">
        <f t="shared" si="6"/>
        <v>Pulldown polea sentado agarre en v</v>
      </c>
      <c r="K51" s="126">
        <f t="shared" ca="1" si="7"/>
        <v>360</v>
      </c>
      <c r="L51" s="127"/>
      <c r="M51" s="12">
        <f t="shared" ca="1" si="8"/>
        <v>0</v>
      </c>
      <c r="N51" s="1" t="str">
        <f t="shared" si="9"/>
        <v>Predicador barra</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4"/>
      <c r="AE51" s="145"/>
      <c r="AF51" s="145"/>
      <c r="AG51" s="146"/>
      <c r="AH51" s="116"/>
      <c r="AI51" s="152"/>
      <c r="AJ51" s="153"/>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t="str">
        <f t="shared" si="6"/>
        <v>Remo landmine</v>
      </c>
      <c r="K52" s="126">
        <f t="shared" ca="1" si="7"/>
        <v>720</v>
      </c>
      <c r="L52" s="127"/>
      <c r="M52" s="12">
        <f t="shared" ca="1" si="8"/>
        <v>0</v>
      </c>
      <c r="N52" s="1" t="str">
        <f t="shared" si="9"/>
        <v>Curl mancuerna sentado inclinado</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4"/>
      <c r="AE52" s="145"/>
      <c r="AF52" s="145"/>
      <c r="AG52" s="146"/>
      <c r="AH52" s="116"/>
      <c r="AI52" s="152"/>
      <c r="AJ52" s="153"/>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t="str">
        <f t="shared" si="6"/>
        <v>Plancha paracaídas</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4"/>
      <c r="AE53" s="145"/>
      <c r="AF53" s="145"/>
      <c r="AG53" s="146"/>
      <c r="AH53" s="116"/>
      <c r="AI53" s="152"/>
      <c r="AJ53" s="153"/>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4"/>
      <c r="AE54" s="145"/>
      <c r="AF54" s="145"/>
      <c r="AG54" s="146"/>
      <c r="AH54" s="116"/>
      <c r="AI54" s="152"/>
      <c r="AJ54" s="153"/>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4"/>
      <c r="AE55" s="145"/>
      <c r="AF55" s="145"/>
      <c r="AG55" s="146"/>
      <c r="AH55" s="116"/>
      <c r="AI55" s="152"/>
      <c r="AJ55" s="153"/>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4"/>
      <c r="AE56" s="145"/>
      <c r="AF56" s="145"/>
      <c r="AG56" s="146"/>
      <c r="AH56" s="116"/>
      <c r="AI56" s="152"/>
      <c r="AJ56" s="153"/>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4"/>
      <c r="AE57" s="145"/>
      <c r="AF57" s="145"/>
      <c r="AG57" s="146"/>
      <c r="AH57" s="116"/>
      <c r="AI57" s="152"/>
      <c r="AJ57" s="153"/>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4"/>
      <c r="AE58" s="145"/>
      <c r="AF58" s="145"/>
      <c r="AG58" s="146"/>
      <c r="AH58" s="116"/>
      <c r="AI58" s="152"/>
      <c r="AJ58" s="153"/>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t="str">
        <f t="shared" si="12"/>
        <v>Press hombro mancuerna sentado</v>
      </c>
      <c r="S59" s="126">
        <f t="shared" ca="1" si="13"/>
        <v>0</v>
      </c>
      <c r="T59" s="127"/>
      <c r="U59" s="12">
        <f t="shared" ca="1" si="14"/>
        <v>0</v>
      </c>
      <c r="V59" s="1" t="str">
        <f t="shared" si="15"/>
        <v>Sentadilla barra libre</v>
      </c>
      <c r="W59" s="126">
        <f t="shared" ca="1" si="16"/>
        <v>1620</v>
      </c>
      <c r="X59" s="127"/>
      <c r="Y59" s="12">
        <f t="shared" ca="1" si="17"/>
        <v>0</v>
      </c>
      <c r="Z59" s="1">
        <f>Z20</f>
        <v>0</v>
      </c>
      <c r="AA59" s="126">
        <f ca="1">IF(TODAY()=$A$44,AA20*AB20*AC20,AA59)</f>
        <v>36</v>
      </c>
      <c r="AB59" s="127"/>
      <c r="AC59" s="12">
        <f ca="1">IF(TODAY()=$A$44,AC20,AC59)</f>
        <v>0</v>
      </c>
      <c r="AD59" s="144"/>
      <c r="AE59" s="145"/>
      <c r="AF59" s="145"/>
      <c r="AG59" s="146"/>
      <c r="AH59" s="116"/>
      <c r="AI59" s="152"/>
      <c r="AJ59" s="153"/>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t="str">
        <f t="shared" si="12"/>
        <v>Elevaciones laterales mancuerna banco inclinado</v>
      </c>
      <c r="S60" s="126">
        <f t="shared" ca="1" si="13"/>
        <v>0</v>
      </c>
      <c r="T60" s="127"/>
      <c r="U60" s="12">
        <f t="shared" ca="1" si="14"/>
        <v>0</v>
      </c>
      <c r="V60" s="1" t="str">
        <f t="shared" si="15"/>
        <v>Sentadilla sumo mancuerna</v>
      </c>
      <c r="W60" s="126">
        <f t="shared" ca="1" si="16"/>
        <v>1350</v>
      </c>
      <c r="X60" s="127"/>
      <c r="Y60" s="12">
        <f t="shared" ca="1" si="17"/>
        <v>0</v>
      </c>
      <c r="Z60" s="1">
        <f>Z21</f>
        <v>0</v>
      </c>
      <c r="AA60" s="126">
        <f ca="1">IF(TODAY()=$A$44,AA21*AB21*AC21,AA60)</f>
        <v>36</v>
      </c>
      <c r="AB60" s="127"/>
      <c r="AC60" s="12">
        <f ca="1">IF(TODAY()=$A$44,AC21,AC60)</f>
        <v>0</v>
      </c>
      <c r="AD60" s="144"/>
      <c r="AE60" s="145"/>
      <c r="AF60" s="145"/>
      <c r="AG60" s="146"/>
      <c r="AH60" s="116"/>
      <c r="AI60" s="152"/>
      <c r="AJ60" s="153"/>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t="str">
        <f t="shared" si="12"/>
        <v>Elevaciones frontales barra banco inclinado</v>
      </c>
      <c r="S61" s="126">
        <f t="shared" ca="1" si="13"/>
        <v>0</v>
      </c>
      <c r="T61" s="127"/>
      <c r="U61" s="12">
        <f t="shared" ca="1" si="14"/>
        <v>0</v>
      </c>
      <c r="V61" s="1" t="str">
        <f t="shared" si="15"/>
        <v>Peso muerto mancuerna</v>
      </c>
      <c r="W61" s="126">
        <f t="shared" ca="1" si="16"/>
        <v>3900</v>
      </c>
      <c r="X61" s="127"/>
      <c r="Y61" s="12">
        <f t="shared" ca="1" si="17"/>
        <v>0</v>
      </c>
      <c r="Z61" s="1">
        <f>Z22</f>
        <v>0</v>
      </c>
      <c r="AA61" s="126">
        <f ca="1">IF(TODAY()=$A$44,AA22*AB22*AC22,AA61)</f>
        <v>36</v>
      </c>
      <c r="AB61" s="127"/>
      <c r="AC61" s="12">
        <f ca="1">IF(TODAY()=$A$44,AC22,AC61)</f>
        <v>0</v>
      </c>
      <c r="AD61" s="144"/>
      <c r="AE61" s="145"/>
      <c r="AF61" s="145"/>
      <c r="AG61" s="146"/>
      <c r="AH61" s="116"/>
      <c r="AI61" s="152"/>
      <c r="AJ61" s="153"/>
    </row>
    <row r="62" spans="1:36" x14ac:dyDescent="0.25">
      <c r="A62" s="137"/>
      <c r="B62" s="1">
        <f t="shared" si="0"/>
        <v>0</v>
      </c>
      <c r="C62" s="126">
        <f t="shared" ca="1" si="1"/>
        <v>0</v>
      </c>
      <c r="D62" s="127"/>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t="str">
        <f t="shared" si="12"/>
        <v>Press arnold</v>
      </c>
      <c r="S62" s="126">
        <f t="shared" ca="1" si="13"/>
        <v>0</v>
      </c>
      <c r="T62" s="127"/>
      <c r="U62" s="12">
        <f t="shared" ca="1" si="14"/>
        <v>0</v>
      </c>
      <c r="V62" s="1" t="str">
        <f t="shared" si="15"/>
        <v>Press pierna máquina</v>
      </c>
      <c r="W62" s="126">
        <f t="shared" ca="1" si="16"/>
        <v>2160</v>
      </c>
      <c r="X62" s="127"/>
      <c r="Y62" s="12">
        <f t="shared" ca="1" si="17"/>
        <v>0</v>
      </c>
      <c r="Z62" s="1">
        <f>Z23</f>
        <v>0</v>
      </c>
      <c r="AA62" s="126">
        <f ca="1">IF(TODAY()=$A$44,AA23*AB23*AC23,AA62)</f>
        <v>36</v>
      </c>
      <c r="AB62" s="127"/>
      <c r="AC62" s="12">
        <f ca="1">IF(TODAY()=$A$44,AC23,AC62)</f>
        <v>0</v>
      </c>
      <c r="AD62" s="144"/>
      <c r="AE62" s="145"/>
      <c r="AF62" s="145"/>
      <c r="AG62" s="146"/>
      <c r="AH62" s="116"/>
      <c r="AI62" s="152"/>
      <c r="AJ62" s="153"/>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t="str">
        <f t="shared" si="15"/>
        <v>Hip trust barra</v>
      </c>
      <c r="W63" s="126">
        <f t="shared" ca="1" si="16"/>
        <v>4800</v>
      </c>
      <c r="X63" s="127"/>
      <c r="Y63" s="12">
        <f t="shared" ca="1" si="17"/>
        <v>0</v>
      </c>
      <c r="Z63" s="1">
        <f>Z24</f>
        <v>0</v>
      </c>
      <c r="AA63" s="126">
        <f ca="1">IF(TODAY()=$A$44,AA24*AB24*AC24,AA63)</f>
        <v>36</v>
      </c>
      <c r="AB63" s="127"/>
      <c r="AC63" s="12">
        <f ca="1">IF(TODAY()=$A$44,AC24,AC63)</f>
        <v>0</v>
      </c>
      <c r="AD63" s="144"/>
      <c r="AE63" s="145"/>
      <c r="AF63" s="145"/>
      <c r="AG63" s="146"/>
      <c r="AH63" s="116"/>
      <c r="AI63" s="152"/>
      <c r="AJ63" s="153"/>
    </row>
    <row r="64" spans="1:36" x14ac:dyDescent="0.25">
      <c r="A64" s="137"/>
      <c r="B64" s="1" t="str">
        <f t="shared" si="0"/>
        <v>Press plano</v>
      </c>
      <c r="C64" s="126">
        <f t="shared" ca="1" si="1"/>
        <v>3200</v>
      </c>
      <c r="D64" s="127"/>
      <c r="E64" s="12">
        <f t="shared" ca="1" si="2"/>
        <v>0</v>
      </c>
      <c r="F64" s="1" t="str">
        <f t="shared" si="3"/>
        <v>Body ups</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4"/>
      <c r="AE64" s="145"/>
      <c r="AF64" s="145"/>
      <c r="AG64" s="146"/>
      <c r="AH64" s="116"/>
      <c r="AI64" s="152"/>
      <c r="AJ64" s="153"/>
    </row>
    <row r="65" spans="1:36" x14ac:dyDescent="0.25">
      <c r="A65" s="137"/>
      <c r="B65" s="1" t="str">
        <f t="shared" si="0"/>
        <v>Press plano mancuerna trifásico</v>
      </c>
      <c r="C65" s="126">
        <f t="shared" ca="1" si="1"/>
        <v>960</v>
      </c>
      <c r="D65" s="127"/>
      <c r="E65" s="12">
        <f t="shared" ca="1" si="2"/>
        <v>0</v>
      </c>
      <c r="F65" s="1" t="str">
        <f t="shared" si="3"/>
        <v>Fondos tríceps paralelas</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4"/>
      <c r="AE65" s="145"/>
      <c r="AF65" s="145"/>
      <c r="AG65" s="146"/>
      <c r="AH65" s="116"/>
      <c r="AI65" s="152"/>
      <c r="AJ65" s="153"/>
    </row>
    <row r="66" spans="1:36" x14ac:dyDescent="0.25">
      <c r="A66" s="137"/>
      <c r="B66" s="1" t="str">
        <f t="shared" si="0"/>
        <v>Press inclinado mancuerna</v>
      </c>
      <c r="C66" s="126">
        <f t="shared" ca="1" si="1"/>
        <v>2400</v>
      </c>
      <c r="D66" s="127"/>
      <c r="E66" s="12">
        <f t="shared" ca="1" si="2"/>
        <v>0</v>
      </c>
      <c r="F66" s="1" t="str">
        <f t="shared" si="3"/>
        <v>Fondos máquina</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4"/>
      <c r="AE66" s="145"/>
      <c r="AF66" s="145"/>
      <c r="AG66" s="146"/>
      <c r="AH66" s="116"/>
      <c r="AI66" s="152"/>
      <c r="AJ66" s="153"/>
    </row>
    <row r="67" spans="1:36" x14ac:dyDescent="0.25">
      <c r="A67" s="137"/>
      <c r="B67" s="1" t="str">
        <f t="shared" si="0"/>
        <v>Vuelos máquina</v>
      </c>
      <c r="C67" s="126">
        <f t="shared" ca="1" si="1"/>
        <v>2250</v>
      </c>
      <c r="D67" s="127"/>
      <c r="E67" s="12">
        <f t="shared" ca="1" si="2"/>
        <v>0</v>
      </c>
      <c r="F67" s="1" t="str">
        <f t="shared" si="3"/>
        <v>Extensión tríceps polea</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4"/>
      <c r="AE67" s="145"/>
      <c r="AF67" s="145"/>
      <c r="AG67" s="146"/>
      <c r="AH67" s="116"/>
      <c r="AI67" s="152"/>
      <c r="AJ67" s="153"/>
    </row>
    <row r="68" spans="1:36" x14ac:dyDescent="0.25">
      <c r="A68" s="137"/>
      <c r="B68" s="1" t="str">
        <f t="shared" si="0"/>
        <v>Pullover pecho mancuerna</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4"/>
      <c r="AE68" s="145"/>
      <c r="AF68" s="145"/>
      <c r="AG68" s="146"/>
      <c r="AH68" s="116"/>
      <c r="AI68" s="152"/>
      <c r="AJ68" s="153"/>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t="str">
        <f t="shared" si="6"/>
        <v>Pullups</v>
      </c>
      <c r="K69" s="126">
        <f t="shared" ca="1" si="7"/>
        <v>48</v>
      </c>
      <c r="L69" s="127"/>
      <c r="M69" s="12">
        <f t="shared" ca="1" si="8"/>
        <v>0</v>
      </c>
      <c r="N69" s="1" t="str">
        <f t="shared" si="9"/>
        <v>Curl spider</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4"/>
      <c r="AE69" s="145"/>
      <c r="AF69" s="145"/>
      <c r="AG69" s="146"/>
      <c r="AH69" s="116"/>
      <c r="AI69" s="152"/>
      <c r="AJ69" s="153"/>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t="str">
        <f t="shared" si="6"/>
        <v>Remo mancuerna banco inclinado</v>
      </c>
      <c r="K70" s="126">
        <f t="shared" ca="1" si="7"/>
        <v>48</v>
      </c>
      <c r="L70" s="127"/>
      <c r="M70" s="12">
        <f t="shared" ca="1" si="8"/>
        <v>0</v>
      </c>
      <c r="N70" s="1" t="str">
        <f t="shared" si="9"/>
        <v>Curl invertido barra z</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4"/>
      <c r="AE70" s="145"/>
      <c r="AF70" s="145"/>
      <c r="AG70" s="146"/>
      <c r="AH70" s="116"/>
      <c r="AI70" s="152"/>
      <c r="AJ70" s="153"/>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t="str">
        <f t="shared" si="6"/>
        <v>Pulldown polea sentado agarre en v</v>
      </c>
      <c r="K71" s="126">
        <f t="shared" ca="1" si="7"/>
        <v>48</v>
      </c>
      <c r="L71" s="127"/>
      <c r="M71" s="12">
        <f t="shared" ca="1" si="8"/>
        <v>0</v>
      </c>
      <c r="N71" s="1" t="str">
        <f t="shared" si="9"/>
        <v>Predicador barra</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4"/>
      <c r="AE71" s="145"/>
      <c r="AF71" s="145"/>
      <c r="AG71" s="146"/>
      <c r="AH71" s="116"/>
      <c r="AI71" s="152"/>
      <c r="AJ71" s="153"/>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t="str">
        <f t="shared" si="6"/>
        <v>Remo landmine</v>
      </c>
      <c r="K72" s="126">
        <f t="shared" ca="1" si="7"/>
        <v>36</v>
      </c>
      <c r="L72" s="127"/>
      <c r="M72" s="12">
        <f t="shared" ca="1" si="8"/>
        <v>0</v>
      </c>
      <c r="N72" s="1" t="str">
        <f t="shared" si="9"/>
        <v>Curl mancuerna sentado inclinado</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4"/>
      <c r="AE72" s="145"/>
      <c r="AF72" s="145"/>
      <c r="AG72" s="146"/>
      <c r="AH72" s="116"/>
      <c r="AI72" s="152"/>
      <c r="AJ72" s="153"/>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t="str">
        <f t="shared" si="6"/>
        <v>Plancha paracaídas</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4"/>
      <c r="AE73" s="145"/>
      <c r="AF73" s="145"/>
      <c r="AG73" s="146"/>
      <c r="AH73" s="116"/>
      <c r="AI73" s="152"/>
      <c r="AJ73" s="153"/>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t="str">
        <f t="shared" si="12"/>
        <v>Press hombro mancuerna sentado</v>
      </c>
      <c r="S74" s="126">
        <f t="shared" ca="1" si="13"/>
        <v>540</v>
      </c>
      <c r="T74" s="127"/>
      <c r="U74" s="12">
        <f t="shared" ca="1" si="14"/>
        <v>0</v>
      </c>
      <c r="V74" s="1">
        <f t="shared" si="15"/>
        <v>0</v>
      </c>
      <c r="W74" s="126">
        <f t="shared" ca="1" si="16"/>
        <v>160</v>
      </c>
      <c r="X74" s="127"/>
      <c r="Y74" s="12">
        <f t="shared" ca="1" si="17"/>
        <v>0</v>
      </c>
      <c r="Z74" s="1" t="str">
        <f>Z35</f>
        <v>Otis-up</v>
      </c>
      <c r="AA74" s="126">
        <f ca="1">IF(TODAY()=$A$44,AA35*AB35*AC35,AA74)</f>
        <v>0</v>
      </c>
      <c r="AB74" s="127"/>
      <c r="AC74" s="12">
        <f ca="1">IF(TODAY()=$A$44,AC35,AC74)</f>
        <v>0</v>
      </c>
      <c r="AD74" s="144"/>
      <c r="AE74" s="145"/>
      <c r="AF74" s="145"/>
      <c r="AG74" s="146"/>
      <c r="AH74" s="116"/>
      <c r="AI74" s="152"/>
      <c r="AJ74" s="153"/>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t="str">
        <f t="shared" si="12"/>
        <v>Elevaciones laterales mancuerna banco inclinado</v>
      </c>
      <c r="S75" s="126">
        <f t="shared" ca="1" si="13"/>
        <v>720</v>
      </c>
      <c r="T75" s="127"/>
      <c r="U75" s="12">
        <f t="shared" ca="1" si="14"/>
        <v>0</v>
      </c>
      <c r="V75" s="1">
        <f t="shared" si="15"/>
        <v>0</v>
      </c>
      <c r="W75" s="126">
        <f t="shared" ca="1" si="16"/>
        <v>420</v>
      </c>
      <c r="X75" s="127"/>
      <c r="Y75" s="12">
        <f t="shared" ca="1" si="17"/>
        <v>0</v>
      </c>
      <c r="Z75" s="1" t="str">
        <f>Z36</f>
        <v>V-ups</v>
      </c>
      <c r="AA75" s="126">
        <f ca="1">IF(TODAY()=$A$44,AA36*AB36*AC36,AA75)</f>
        <v>0</v>
      </c>
      <c r="AB75" s="127"/>
      <c r="AC75" s="12">
        <f ca="1">IF(TODAY()=$A$44,AC36,AC75)</f>
        <v>0</v>
      </c>
      <c r="AD75" s="144"/>
      <c r="AE75" s="145"/>
      <c r="AF75" s="145"/>
      <c r="AG75" s="146"/>
      <c r="AH75" s="116"/>
      <c r="AI75" s="152"/>
      <c r="AJ75" s="153"/>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t="str">
        <f t="shared" si="12"/>
        <v>Elevaciones frontales barra banco inclinado</v>
      </c>
      <c r="S76" s="126">
        <f t="shared" ca="1" si="13"/>
        <v>1350</v>
      </c>
      <c r="T76" s="127"/>
      <c r="U76" s="12">
        <f t="shared" ca="1" si="14"/>
        <v>0</v>
      </c>
      <c r="V76" s="1">
        <f t="shared" si="15"/>
        <v>0</v>
      </c>
      <c r="W76" s="126">
        <f t="shared" ca="1" si="16"/>
        <v>180</v>
      </c>
      <c r="X76" s="127"/>
      <c r="Y76" s="12">
        <f t="shared" ca="1" si="17"/>
        <v>0</v>
      </c>
      <c r="Z76" s="1" t="str">
        <f>Z37</f>
        <v>Butt-ups</v>
      </c>
      <c r="AA76" s="126">
        <f ca="1">IF(TODAY()=$A$44,AA37*AB37*AC37,AA76)</f>
        <v>0</v>
      </c>
      <c r="AB76" s="127"/>
      <c r="AC76" s="12">
        <f ca="1">IF(TODAY()=$A$44,AC37,AC76)</f>
        <v>0</v>
      </c>
      <c r="AD76" s="144"/>
      <c r="AE76" s="145"/>
      <c r="AF76" s="145"/>
      <c r="AG76" s="146"/>
      <c r="AH76" s="116"/>
      <c r="AI76" s="152"/>
      <c r="AJ76" s="153"/>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t="str">
        <f t="shared" si="12"/>
        <v>Press arnold</v>
      </c>
      <c r="S77" s="126">
        <f t="shared" ca="1" si="13"/>
        <v>300</v>
      </c>
      <c r="T77" s="127"/>
      <c r="U77" s="12">
        <f t="shared" ca="1" si="14"/>
        <v>0</v>
      </c>
      <c r="V77" s="1">
        <f t="shared" si="15"/>
        <v>0</v>
      </c>
      <c r="W77" s="126">
        <f t="shared" ca="1" si="16"/>
        <v>0</v>
      </c>
      <c r="X77" s="127"/>
      <c r="Y77" s="12">
        <f t="shared" ca="1" si="17"/>
        <v>0</v>
      </c>
      <c r="Z77" s="1" t="str">
        <f>Z38</f>
        <v>Full moon</v>
      </c>
      <c r="AA77" s="126">
        <f ca="1">IF(TODAY()=$A$44,AA38*AB38*AC38,AA77)</f>
        <v>0</v>
      </c>
      <c r="AB77" s="127"/>
      <c r="AC77" s="12">
        <f ca="1">IF(TODAY()=$A$44,AC38,AC77)</f>
        <v>0</v>
      </c>
      <c r="AD77" s="144"/>
      <c r="AE77" s="145"/>
      <c r="AF77" s="145"/>
      <c r="AG77" s="146"/>
      <c r="AH77" s="116"/>
      <c r="AI77" s="152"/>
      <c r="AJ77" s="153"/>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t="str">
        <f>Z39</f>
        <v>Plancha</v>
      </c>
      <c r="AA78" s="126">
        <f ca="1">IF(TODAY()=$A$44,AA39*AB39*AC39,AA78)</f>
        <v>0</v>
      </c>
      <c r="AB78" s="127"/>
      <c r="AC78" s="12">
        <f ca="1">IF(TODAY()=$A$44,AC39,AC78)</f>
        <v>0</v>
      </c>
      <c r="AD78" s="147"/>
      <c r="AE78" s="148"/>
      <c r="AF78" s="148"/>
      <c r="AG78" s="149"/>
      <c r="AH78" s="116"/>
      <c r="AI78" s="154"/>
      <c r="AJ78" s="155"/>
    </row>
    <row r="79" spans="1:36" x14ac:dyDescent="0.25">
      <c r="A79" s="137">
        <v>44590</v>
      </c>
      <c r="B79" s="2" t="str">
        <f t="shared" ref="B79:B113" si="21">B5</f>
        <v>Press plano</v>
      </c>
      <c r="C79" s="126">
        <f t="shared" ref="C79:C113" ca="1" si="22">IF(TODAY()=$A$79,C5*D5*E5,C79)</f>
        <v>0</v>
      </c>
      <c r="D79" s="127"/>
      <c r="E79" s="13">
        <f t="shared" ref="E79:E113" ca="1" si="23">IF(TODAY()=$A$79,E5,E79)</f>
        <v>0</v>
      </c>
      <c r="F79" s="2" t="str">
        <f t="shared" ref="F79:F113" si="24">F5</f>
        <v>Body ups</v>
      </c>
      <c r="G79" s="126">
        <f t="shared" ref="G79:G113" ca="1" si="25">IF(TODAY()=$A$79,G5*H5*I5,G79)</f>
        <v>0</v>
      </c>
      <c r="H79" s="127"/>
      <c r="I79" s="12">
        <f t="shared" ref="I79:I113" ca="1" si="26">IF(TODAY()=$A$79,I5,I79)</f>
        <v>0</v>
      </c>
      <c r="J79" s="2">
        <f t="shared" ref="J79:J113" si="27">J5</f>
        <v>0</v>
      </c>
      <c r="K79" s="126">
        <f t="shared" ref="K79:K113" ca="1" si="28">IF(TODAY()=$A$79,K5*L5*M5,K79)</f>
        <v>0</v>
      </c>
      <c r="L79" s="127"/>
      <c r="M79" s="12">
        <f t="shared" ref="M79:M113" ca="1" si="29">IF(TODAY()=$A$79,M5,M79)</f>
        <v>0</v>
      </c>
      <c r="N79" s="2">
        <f t="shared" ref="N79:N113" si="30">N5</f>
        <v>0</v>
      </c>
      <c r="O79" s="126">
        <f t="shared" ref="O79:O113" ca="1" si="31">IF(TODAY()=$A$79,O5*P5*Q5,O79)</f>
        <v>0</v>
      </c>
      <c r="P79" s="127"/>
      <c r="Q79" s="12">
        <f t="shared" ref="Q79:Q113" ca="1" si="32">IF(TODAY()=$A$79,Q5,Q79)</f>
        <v>0</v>
      </c>
      <c r="R79" s="2">
        <f t="shared" ref="R79:R113" si="33">R5</f>
        <v>0</v>
      </c>
      <c r="S79" s="126">
        <f t="shared" ref="S79:S113" ca="1" si="34">IF(TODAY()=$A$79,S5*T5*U5,S79)</f>
        <v>0</v>
      </c>
      <c r="T79" s="127"/>
      <c r="U79" s="13">
        <f t="shared" ref="U79:U113" ca="1" si="35">IF(TODAY()=$A$79,U5,U79)</f>
        <v>0</v>
      </c>
      <c r="V79" s="2">
        <f t="shared" ref="V79:V113" si="36">V5</f>
        <v>0</v>
      </c>
      <c r="W79" s="126">
        <f t="shared" ref="W79:W113" ca="1" si="37">IF(TODAY()=$A$79,W5*X5*Y5,W79)</f>
        <v>0</v>
      </c>
      <c r="X79" s="127"/>
      <c r="Y79" s="12">
        <f t="shared" ref="Y79:Y113" ca="1" si="38">IF(TODAY()=$A$79,Y5,Y79)</f>
        <v>0</v>
      </c>
      <c r="Z79" s="2">
        <f t="shared" ref="Z79:Z108" si="39">Z5</f>
        <v>0</v>
      </c>
      <c r="AA79" s="126">
        <f t="shared" ref="AA79:AA108" ca="1" si="40">IF(TODAY()=$A$79,AA5*AB5*AC5,AA79)</f>
        <v>0</v>
      </c>
      <c r="AB79" s="127"/>
      <c r="AC79" s="12">
        <f t="shared" ref="AC79:AC108" ca="1" si="41">IF(TODAY()=$A$79,AC5,AC79)</f>
        <v>0</v>
      </c>
      <c r="AD79" s="141">
        <f ca="1">SUM(C79:E113,G79:I113,K79:M113,O79:Q113,S79:U113,W79:Y113,AA79:AC113)</f>
        <v>0</v>
      </c>
      <c r="AE79" s="142"/>
      <c r="AF79" s="142"/>
      <c r="AG79" s="143"/>
      <c r="AH79" s="112">
        <f ca="1">(AD79-AD44)/AD44</f>
        <v>-1</v>
      </c>
      <c r="AI79" s="135"/>
      <c r="AJ79" s="135"/>
    </row>
    <row r="80" spans="1:36" x14ac:dyDescent="0.25">
      <c r="A80" s="137"/>
      <c r="B80" s="2" t="str">
        <f t="shared" si="21"/>
        <v>Press plano mancuerna trifásico</v>
      </c>
      <c r="C80" s="126">
        <f t="shared" ca="1" si="22"/>
        <v>0</v>
      </c>
      <c r="D80" s="127"/>
      <c r="E80" s="13">
        <f t="shared" ca="1" si="23"/>
        <v>0</v>
      </c>
      <c r="F80" s="2" t="str">
        <f t="shared" si="24"/>
        <v>Fondos tríceps paralelas</v>
      </c>
      <c r="G80" s="126">
        <f t="shared" ca="1" si="25"/>
        <v>0</v>
      </c>
      <c r="H80" s="127"/>
      <c r="I80" s="12">
        <f t="shared" ca="1" si="26"/>
        <v>0</v>
      </c>
      <c r="J80" s="2">
        <f t="shared" si="27"/>
        <v>0</v>
      </c>
      <c r="K80" s="126">
        <f t="shared" ca="1" si="28"/>
        <v>0</v>
      </c>
      <c r="L80" s="127"/>
      <c r="M80" s="12">
        <f t="shared" ca="1" si="29"/>
        <v>0</v>
      </c>
      <c r="N80" s="2">
        <f t="shared" si="30"/>
        <v>0</v>
      </c>
      <c r="O80" s="126">
        <f t="shared" ca="1" si="31"/>
        <v>0</v>
      </c>
      <c r="P80" s="127"/>
      <c r="Q80" s="12">
        <f t="shared" ca="1" si="32"/>
        <v>0</v>
      </c>
      <c r="R80" s="2">
        <f t="shared" si="33"/>
        <v>0</v>
      </c>
      <c r="S80" s="126">
        <f t="shared" ca="1" si="34"/>
        <v>0</v>
      </c>
      <c r="T80" s="127"/>
      <c r="U80" s="13">
        <f t="shared" ca="1" si="35"/>
        <v>0</v>
      </c>
      <c r="V80" s="2">
        <f t="shared" si="36"/>
        <v>0</v>
      </c>
      <c r="W80" s="126">
        <f t="shared" ca="1" si="37"/>
        <v>0</v>
      </c>
      <c r="X80" s="127"/>
      <c r="Y80" s="12">
        <f t="shared" ca="1" si="38"/>
        <v>0</v>
      </c>
      <c r="Z80" s="2">
        <f t="shared" si="39"/>
        <v>0</v>
      </c>
      <c r="AA80" s="126">
        <f t="shared" ca="1" si="40"/>
        <v>0</v>
      </c>
      <c r="AB80" s="127"/>
      <c r="AC80" s="12">
        <f t="shared" ca="1" si="41"/>
        <v>0</v>
      </c>
      <c r="AD80" s="144"/>
      <c r="AE80" s="145"/>
      <c r="AF80" s="145"/>
      <c r="AG80" s="146"/>
      <c r="AH80" s="113"/>
      <c r="AI80" s="136"/>
      <c r="AJ80" s="136"/>
    </row>
    <row r="81" spans="1:36" x14ac:dyDescent="0.25">
      <c r="A81" s="137"/>
      <c r="B81" s="2" t="str">
        <f t="shared" si="21"/>
        <v>Press inclinado mancuerna</v>
      </c>
      <c r="C81" s="126">
        <f t="shared" ca="1" si="22"/>
        <v>0</v>
      </c>
      <c r="D81" s="127"/>
      <c r="E81" s="13">
        <f t="shared" ca="1" si="23"/>
        <v>0</v>
      </c>
      <c r="F81" s="2" t="str">
        <f t="shared" si="24"/>
        <v>Fondos máquina</v>
      </c>
      <c r="G81" s="126">
        <f t="shared" ca="1" si="25"/>
        <v>0</v>
      </c>
      <c r="H81" s="127"/>
      <c r="I81" s="12">
        <f t="shared" ca="1" si="26"/>
        <v>0</v>
      </c>
      <c r="J81" s="2">
        <f t="shared" si="27"/>
        <v>0</v>
      </c>
      <c r="K81" s="126">
        <f t="shared" ca="1" si="28"/>
        <v>0</v>
      </c>
      <c r="L81" s="127"/>
      <c r="M81" s="12">
        <f t="shared" ca="1" si="29"/>
        <v>0</v>
      </c>
      <c r="N81" s="2">
        <f t="shared" si="30"/>
        <v>0</v>
      </c>
      <c r="O81" s="126">
        <f t="shared" ca="1" si="31"/>
        <v>0</v>
      </c>
      <c r="P81" s="127"/>
      <c r="Q81" s="12">
        <f t="shared" ca="1" si="32"/>
        <v>0</v>
      </c>
      <c r="R81" s="2">
        <f t="shared" si="33"/>
        <v>0</v>
      </c>
      <c r="S81" s="126">
        <f t="shared" ca="1" si="34"/>
        <v>0</v>
      </c>
      <c r="T81" s="127"/>
      <c r="U81" s="13">
        <f t="shared" ca="1" si="35"/>
        <v>0</v>
      </c>
      <c r="V81" s="2">
        <f t="shared" si="36"/>
        <v>0</v>
      </c>
      <c r="W81" s="126">
        <f t="shared" ca="1" si="37"/>
        <v>0</v>
      </c>
      <c r="X81" s="127"/>
      <c r="Y81" s="12">
        <f t="shared" ca="1" si="38"/>
        <v>0</v>
      </c>
      <c r="Z81" s="2">
        <f t="shared" si="39"/>
        <v>0</v>
      </c>
      <c r="AA81" s="126">
        <f t="shared" ca="1" si="40"/>
        <v>0</v>
      </c>
      <c r="AB81" s="127"/>
      <c r="AC81" s="12">
        <f t="shared" ca="1" si="41"/>
        <v>0</v>
      </c>
      <c r="AD81" s="144"/>
      <c r="AE81" s="145"/>
      <c r="AF81" s="145"/>
      <c r="AG81" s="146"/>
      <c r="AH81" s="113"/>
      <c r="AI81" s="136"/>
      <c r="AJ81" s="136"/>
    </row>
    <row r="82" spans="1:36" x14ac:dyDescent="0.25">
      <c r="A82" s="137"/>
      <c r="B82" s="2" t="str">
        <f t="shared" si="21"/>
        <v>Vuelos máquina</v>
      </c>
      <c r="C82" s="126">
        <f t="shared" ca="1" si="22"/>
        <v>0</v>
      </c>
      <c r="D82" s="127"/>
      <c r="E82" s="13">
        <f t="shared" ca="1" si="23"/>
        <v>0</v>
      </c>
      <c r="F82" s="2" t="str">
        <f t="shared" si="24"/>
        <v>Extensión tríceps polea</v>
      </c>
      <c r="G82" s="126">
        <f t="shared" ca="1" si="25"/>
        <v>0</v>
      </c>
      <c r="H82" s="127"/>
      <c r="I82" s="12">
        <f t="shared" ca="1" si="26"/>
        <v>0</v>
      </c>
      <c r="J82" s="2">
        <f t="shared" si="27"/>
        <v>0</v>
      </c>
      <c r="K82" s="126">
        <f t="shared" ca="1" si="28"/>
        <v>0</v>
      </c>
      <c r="L82" s="127"/>
      <c r="M82" s="12">
        <f t="shared" ca="1" si="29"/>
        <v>0</v>
      </c>
      <c r="N82" s="2">
        <f t="shared" si="30"/>
        <v>0</v>
      </c>
      <c r="O82" s="126">
        <f t="shared" ca="1" si="31"/>
        <v>0</v>
      </c>
      <c r="P82" s="127"/>
      <c r="Q82" s="12">
        <f t="shared" ca="1" si="32"/>
        <v>0</v>
      </c>
      <c r="R82" s="2">
        <f t="shared" si="33"/>
        <v>0</v>
      </c>
      <c r="S82" s="126">
        <f t="shared" ca="1" si="34"/>
        <v>0</v>
      </c>
      <c r="T82" s="127"/>
      <c r="U82" s="13">
        <f t="shared" ca="1" si="35"/>
        <v>0</v>
      </c>
      <c r="V82" s="2">
        <f t="shared" si="36"/>
        <v>0</v>
      </c>
      <c r="W82" s="126">
        <f t="shared" ca="1" si="37"/>
        <v>0</v>
      </c>
      <c r="X82" s="127"/>
      <c r="Y82" s="12">
        <f t="shared" ca="1" si="38"/>
        <v>0</v>
      </c>
      <c r="Z82" s="2">
        <f t="shared" si="39"/>
        <v>0</v>
      </c>
      <c r="AA82" s="126">
        <f t="shared" ca="1" si="40"/>
        <v>0</v>
      </c>
      <c r="AB82" s="127"/>
      <c r="AC82" s="12">
        <f t="shared" ca="1" si="41"/>
        <v>0</v>
      </c>
      <c r="AD82" s="144"/>
      <c r="AE82" s="145"/>
      <c r="AF82" s="145"/>
      <c r="AG82" s="146"/>
      <c r="AH82" s="113"/>
      <c r="AI82" s="136"/>
      <c r="AJ82" s="136"/>
    </row>
    <row r="83" spans="1:36" x14ac:dyDescent="0.25">
      <c r="A83" s="137"/>
      <c r="B83" s="2" t="str">
        <f t="shared" si="21"/>
        <v>Pullover pecho mancuerna</v>
      </c>
      <c r="C83" s="126">
        <f t="shared" ca="1" si="22"/>
        <v>0</v>
      </c>
      <c r="D83" s="127"/>
      <c r="E83" s="13">
        <f t="shared" ca="1" si="23"/>
        <v>0</v>
      </c>
      <c r="F83" s="2">
        <f t="shared" si="24"/>
        <v>0</v>
      </c>
      <c r="G83" s="126">
        <f t="shared" ca="1" si="25"/>
        <v>0</v>
      </c>
      <c r="H83" s="127"/>
      <c r="I83" s="12">
        <f t="shared" ca="1" si="26"/>
        <v>0</v>
      </c>
      <c r="J83" s="2">
        <f t="shared" si="27"/>
        <v>0</v>
      </c>
      <c r="K83" s="126">
        <f t="shared" ca="1" si="28"/>
        <v>0</v>
      </c>
      <c r="L83" s="127"/>
      <c r="M83" s="12">
        <f t="shared" ca="1" si="29"/>
        <v>0</v>
      </c>
      <c r="N83" s="2">
        <f t="shared" si="30"/>
        <v>0</v>
      </c>
      <c r="O83" s="126">
        <f t="shared" ca="1" si="31"/>
        <v>0</v>
      </c>
      <c r="P83" s="127"/>
      <c r="Q83" s="12">
        <f t="shared" ca="1" si="32"/>
        <v>0</v>
      </c>
      <c r="R83" s="2">
        <f t="shared" si="33"/>
        <v>0</v>
      </c>
      <c r="S83" s="126">
        <f t="shared" ca="1" si="34"/>
        <v>0</v>
      </c>
      <c r="T83" s="127"/>
      <c r="U83" s="13">
        <f t="shared" ca="1" si="35"/>
        <v>0</v>
      </c>
      <c r="V83" s="2">
        <f t="shared" si="36"/>
        <v>0</v>
      </c>
      <c r="W83" s="126">
        <f t="shared" ca="1" si="37"/>
        <v>0</v>
      </c>
      <c r="X83" s="127"/>
      <c r="Y83" s="12">
        <f t="shared" ca="1" si="38"/>
        <v>0</v>
      </c>
      <c r="Z83" s="2">
        <f t="shared" si="39"/>
        <v>0</v>
      </c>
      <c r="AA83" s="126">
        <f t="shared" ca="1" si="40"/>
        <v>0</v>
      </c>
      <c r="AB83" s="127"/>
      <c r="AC83" s="12">
        <f t="shared" ca="1" si="41"/>
        <v>0</v>
      </c>
      <c r="AD83" s="144"/>
      <c r="AE83" s="145"/>
      <c r="AF83" s="145"/>
      <c r="AG83" s="146"/>
      <c r="AH83" s="113"/>
      <c r="AI83" s="136"/>
      <c r="AJ83" s="136"/>
    </row>
    <row r="84" spans="1:36" x14ac:dyDescent="0.25">
      <c r="A84" s="137"/>
      <c r="B84" s="2">
        <f t="shared" si="21"/>
        <v>0</v>
      </c>
      <c r="C84" s="126">
        <f t="shared" ca="1" si="22"/>
        <v>0</v>
      </c>
      <c r="D84" s="127"/>
      <c r="E84" s="13">
        <f t="shared" ca="1" si="23"/>
        <v>0</v>
      </c>
      <c r="F84" s="2">
        <f t="shared" si="24"/>
        <v>0</v>
      </c>
      <c r="G84" s="126">
        <f t="shared" ca="1" si="25"/>
        <v>0</v>
      </c>
      <c r="H84" s="127"/>
      <c r="I84" s="12">
        <f t="shared" ca="1" si="26"/>
        <v>0</v>
      </c>
      <c r="J84" s="2" t="str">
        <f t="shared" si="27"/>
        <v>Pullups</v>
      </c>
      <c r="K84" s="126">
        <f t="shared" ca="1" si="28"/>
        <v>0</v>
      </c>
      <c r="L84" s="127"/>
      <c r="M84" s="12">
        <f t="shared" ca="1" si="29"/>
        <v>0</v>
      </c>
      <c r="N84" s="2" t="str">
        <f t="shared" si="30"/>
        <v>Curl spider</v>
      </c>
      <c r="O84" s="126">
        <f t="shared" ca="1" si="31"/>
        <v>0</v>
      </c>
      <c r="P84" s="127"/>
      <c r="Q84" s="12">
        <f t="shared" ca="1" si="32"/>
        <v>0</v>
      </c>
      <c r="R84" s="2">
        <f t="shared" si="33"/>
        <v>0</v>
      </c>
      <c r="S84" s="126">
        <f t="shared" ca="1" si="34"/>
        <v>0</v>
      </c>
      <c r="T84" s="127"/>
      <c r="U84" s="13">
        <f t="shared" ca="1" si="35"/>
        <v>0</v>
      </c>
      <c r="V84" s="2">
        <f t="shared" si="36"/>
        <v>0</v>
      </c>
      <c r="W84" s="126">
        <f t="shared" ca="1" si="37"/>
        <v>0</v>
      </c>
      <c r="X84" s="127"/>
      <c r="Y84" s="12">
        <f t="shared" ca="1" si="38"/>
        <v>0</v>
      </c>
      <c r="Z84" s="2">
        <f t="shared" si="39"/>
        <v>0</v>
      </c>
      <c r="AA84" s="126">
        <f t="shared" ca="1" si="40"/>
        <v>0</v>
      </c>
      <c r="AB84" s="127"/>
      <c r="AC84" s="12">
        <f t="shared" ca="1" si="41"/>
        <v>0</v>
      </c>
      <c r="AD84" s="144"/>
      <c r="AE84" s="145"/>
      <c r="AF84" s="145"/>
      <c r="AG84" s="146"/>
      <c r="AH84" s="113"/>
      <c r="AI84" s="136"/>
      <c r="AJ84" s="136"/>
    </row>
    <row r="85" spans="1:36" x14ac:dyDescent="0.25">
      <c r="A85" s="137"/>
      <c r="B85" s="2">
        <f t="shared" si="21"/>
        <v>0</v>
      </c>
      <c r="C85" s="126">
        <f t="shared" ca="1" si="22"/>
        <v>0</v>
      </c>
      <c r="D85" s="127"/>
      <c r="E85" s="13">
        <f t="shared" ca="1" si="23"/>
        <v>0</v>
      </c>
      <c r="F85" s="2">
        <f t="shared" si="24"/>
        <v>0</v>
      </c>
      <c r="G85" s="126">
        <f t="shared" ca="1" si="25"/>
        <v>0</v>
      </c>
      <c r="H85" s="127"/>
      <c r="I85" s="12">
        <f t="shared" ca="1" si="26"/>
        <v>0</v>
      </c>
      <c r="J85" s="2" t="str">
        <f t="shared" si="27"/>
        <v>Remo mancuerna banco inclinado</v>
      </c>
      <c r="K85" s="126">
        <f t="shared" ca="1" si="28"/>
        <v>0</v>
      </c>
      <c r="L85" s="127"/>
      <c r="M85" s="12">
        <f t="shared" ca="1" si="29"/>
        <v>0</v>
      </c>
      <c r="N85" s="2" t="str">
        <f t="shared" si="30"/>
        <v>Curl invertido barra z</v>
      </c>
      <c r="O85" s="126">
        <f t="shared" ca="1" si="31"/>
        <v>0</v>
      </c>
      <c r="P85" s="127"/>
      <c r="Q85" s="12">
        <f t="shared" ca="1" si="32"/>
        <v>0</v>
      </c>
      <c r="R85" s="2">
        <f t="shared" si="33"/>
        <v>0</v>
      </c>
      <c r="S85" s="126">
        <f t="shared" ca="1" si="34"/>
        <v>0</v>
      </c>
      <c r="T85" s="127"/>
      <c r="U85" s="13">
        <f t="shared" ca="1" si="35"/>
        <v>0</v>
      </c>
      <c r="V85" s="2">
        <f t="shared" si="36"/>
        <v>0</v>
      </c>
      <c r="W85" s="126">
        <f t="shared" ca="1" si="37"/>
        <v>0</v>
      </c>
      <c r="X85" s="127"/>
      <c r="Y85" s="12">
        <f t="shared" ca="1" si="38"/>
        <v>0</v>
      </c>
      <c r="Z85" s="2">
        <f t="shared" si="39"/>
        <v>0</v>
      </c>
      <c r="AA85" s="126">
        <f t="shared" ca="1" si="40"/>
        <v>0</v>
      </c>
      <c r="AB85" s="127"/>
      <c r="AC85" s="12">
        <f t="shared" ca="1" si="41"/>
        <v>0</v>
      </c>
      <c r="AD85" s="144"/>
      <c r="AE85" s="145"/>
      <c r="AF85" s="145"/>
      <c r="AG85" s="146"/>
      <c r="AH85" s="113"/>
      <c r="AI85" s="136"/>
      <c r="AJ85" s="136"/>
    </row>
    <row r="86" spans="1:36" x14ac:dyDescent="0.25">
      <c r="A86" s="137"/>
      <c r="B86" s="2">
        <f t="shared" si="21"/>
        <v>0</v>
      </c>
      <c r="C86" s="126">
        <f t="shared" ca="1" si="22"/>
        <v>0</v>
      </c>
      <c r="D86" s="127"/>
      <c r="E86" s="13">
        <f t="shared" ca="1" si="23"/>
        <v>0</v>
      </c>
      <c r="F86" s="2">
        <f t="shared" si="24"/>
        <v>0</v>
      </c>
      <c r="G86" s="126">
        <f t="shared" ca="1" si="25"/>
        <v>0</v>
      </c>
      <c r="H86" s="127"/>
      <c r="I86" s="12">
        <f t="shared" ca="1" si="26"/>
        <v>0</v>
      </c>
      <c r="J86" s="2" t="str">
        <f t="shared" si="27"/>
        <v>Pulldown polea sentado agarre en v</v>
      </c>
      <c r="K86" s="126">
        <f t="shared" ca="1" si="28"/>
        <v>0</v>
      </c>
      <c r="L86" s="127"/>
      <c r="M86" s="12">
        <f t="shared" ca="1" si="29"/>
        <v>0</v>
      </c>
      <c r="N86" s="2" t="str">
        <f t="shared" si="30"/>
        <v>Predicador barra</v>
      </c>
      <c r="O86" s="126">
        <f t="shared" ca="1" si="31"/>
        <v>0</v>
      </c>
      <c r="P86" s="127"/>
      <c r="Q86" s="12">
        <f t="shared" ca="1" si="32"/>
        <v>0</v>
      </c>
      <c r="R86" s="2">
        <f t="shared" si="33"/>
        <v>0</v>
      </c>
      <c r="S86" s="126">
        <f t="shared" ca="1" si="34"/>
        <v>0</v>
      </c>
      <c r="T86" s="127"/>
      <c r="U86" s="13">
        <f t="shared" ca="1" si="35"/>
        <v>0</v>
      </c>
      <c r="V86" s="2">
        <f t="shared" si="36"/>
        <v>0</v>
      </c>
      <c r="W86" s="126">
        <f t="shared" ca="1" si="37"/>
        <v>0</v>
      </c>
      <c r="X86" s="127"/>
      <c r="Y86" s="12">
        <f t="shared" ca="1" si="38"/>
        <v>0</v>
      </c>
      <c r="Z86" s="2">
        <f t="shared" si="39"/>
        <v>0</v>
      </c>
      <c r="AA86" s="126">
        <f t="shared" ca="1" si="40"/>
        <v>0</v>
      </c>
      <c r="AB86" s="127"/>
      <c r="AC86" s="12">
        <f t="shared" ca="1" si="41"/>
        <v>0</v>
      </c>
      <c r="AD86" s="144"/>
      <c r="AE86" s="145"/>
      <c r="AF86" s="145"/>
      <c r="AG86" s="146"/>
      <c r="AH86" s="113"/>
      <c r="AI86" s="136"/>
      <c r="AJ86" s="136"/>
    </row>
    <row r="87" spans="1:36" x14ac:dyDescent="0.25">
      <c r="A87" s="137"/>
      <c r="B87" s="2">
        <f t="shared" si="21"/>
        <v>0</v>
      </c>
      <c r="C87" s="126">
        <f t="shared" ca="1" si="22"/>
        <v>0</v>
      </c>
      <c r="D87" s="127"/>
      <c r="E87" s="13">
        <f t="shared" ca="1" si="23"/>
        <v>0</v>
      </c>
      <c r="F87" s="2">
        <f t="shared" si="24"/>
        <v>0</v>
      </c>
      <c r="G87" s="126">
        <f t="shared" ca="1" si="25"/>
        <v>0</v>
      </c>
      <c r="H87" s="127"/>
      <c r="I87" s="12">
        <f t="shared" ca="1" si="26"/>
        <v>0</v>
      </c>
      <c r="J87" s="2" t="str">
        <f t="shared" si="27"/>
        <v>Remo landmine</v>
      </c>
      <c r="K87" s="126">
        <f t="shared" ca="1" si="28"/>
        <v>0</v>
      </c>
      <c r="L87" s="127"/>
      <c r="M87" s="12">
        <f t="shared" ca="1" si="29"/>
        <v>0</v>
      </c>
      <c r="N87" s="2" t="str">
        <f t="shared" si="30"/>
        <v>Curl mancuerna sentado inclinado</v>
      </c>
      <c r="O87" s="126">
        <f t="shared" ca="1" si="31"/>
        <v>0</v>
      </c>
      <c r="P87" s="127"/>
      <c r="Q87" s="12">
        <f t="shared" ca="1" si="32"/>
        <v>0</v>
      </c>
      <c r="R87" s="2">
        <f t="shared" si="33"/>
        <v>0</v>
      </c>
      <c r="S87" s="126">
        <f t="shared" ca="1" si="34"/>
        <v>0</v>
      </c>
      <c r="T87" s="127"/>
      <c r="U87" s="13">
        <f t="shared" ca="1" si="35"/>
        <v>0</v>
      </c>
      <c r="V87" s="2">
        <f t="shared" si="36"/>
        <v>0</v>
      </c>
      <c r="W87" s="126">
        <f t="shared" ca="1" si="37"/>
        <v>0</v>
      </c>
      <c r="X87" s="127"/>
      <c r="Y87" s="12">
        <f t="shared" ca="1" si="38"/>
        <v>0</v>
      </c>
      <c r="Z87" s="2">
        <f t="shared" si="39"/>
        <v>0</v>
      </c>
      <c r="AA87" s="126">
        <f t="shared" ca="1" si="40"/>
        <v>0</v>
      </c>
      <c r="AB87" s="127"/>
      <c r="AC87" s="12">
        <f t="shared" ca="1" si="41"/>
        <v>0</v>
      </c>
      <c r="AD87" s="144"/>
      <c r="AE87" s="145"/>
      <c r="AF87" s="145"/>
      <c r="AG87" s="146"/>
      <c r="AH87" s="113"/>
      <c r="AI87" s="136"/>
      <c r="AJ87" s="136"/>
    </row>
    <row r="88" spans="1:36" x14ac:dyDescent="0.25">
      <c r="A88" s="137"/>
      <c r="B88" s="2">
        <f t="shared" si="21"/>
        <v>0</v>
      </c>
      <c r="C88" s="126">
        <f t="shared" ca="1" si="22"/>
        <v>0</v>
      </c>
      <c r="D88" s="127"/>
      <c r="E88" s="13">
        <f t="shared" ca="1" si="23"/>
        <v>0</v>
      </c>
      <c r="F88" s="2">
        <f t="shared" si="24"/>
        <v>0</v>
      </c>
      <c r="G88" s="126">
        <f t="shared" ca="1" si="25"/>
        <v>0</v>
      </c>
      <c r="H88" s="127"/>
      <c r="I88" s="12">
        <f t="shared" ca="1" si="26"/>
        <v>0</v>
      </c>
      <c r="J88" s="2" t="str">
        <f t="shared" si="27"/>
        <v>Plancha paracaídas</v>
      </c>
      <c r="K88" s="126">
        <f t="shared" ca="1" si="28"/>
        <v>0</v>
      </c>
      <c r="L88" s="127"/>
      <c r="M88" s="12">
        <f t="shared" ca="1" si="29"/>
        <v>0</v>
      </c>
      <c r="N88" s="2">
        <f t="shared" si="30"/>
        <v>0</v>
      </c>
      <c r="O88" s="126">
        <f t="shared" ca="1" si="31"/>
        <v>0</v>
      </c>
      <c r="P88" s="127"/>
      <c r="Q88" s="12">
        <f t="shared" ca="1" si="32"/>
        <v>0</v>
      </c>
      <c r="R88" s="2">
        <f t="shared" si="33"/>
        <v>0</v>
      </c>
      <c r="S88" s="126">
        <f t="shared" ca="1" si="34"/>
        <v>0</v>
      </c>
      <c r="T88" s="127"/>
      <c r="U88" s="13">
        <f t="shared" ca="1" si="35"/>
        <v>0</v>
      </c>
      <c r="V88" s="2">
        <f t="shared" si="36"/>
        <v>0</v>
      </c>
      <c r="W88" s="126">
        <f t="shared" ca="1" si="37"/>
        <v>0</v>
      </c>
      <c r="X88" s="127"/>
      <c r="Y88" s="12">
        <f t="shared" ca="1" si="38"/>
        <v>0</v>
      </c>
      <c r="Z88" s="2">
        <f t="shared" si="39"/>
        <v>0</v>
      </c>
      <c r="AA88" s="126">
        <f t="shared" ca="1" si="40"/>
        <v>0</v>
      </c>
      <c r="AB88" s="127"/>
      <c r="AC88" s="12">
        <f t="shared" ca="1" si="41"/>
        <v>0</v>
      </c>
      <c r="AD88" s="144"/>
      <c r="AE88" s="145"/>
      <c r="AF88" s="145"/>
      <c r="AG88" s="146"/>
      <c r="AH88" s="113"/>
      <c r="AI88" s="136"/>
      <c r="AJ88" s="136"/>
    </row>
    <row r="89" spans="1:36" x14ac:dyDescent="0.25">
      <c r="A89" s="137"/>
      <c r="B89" s="2">
        <f t="shared" si="21"/>
        <v>0</v>
      </c>
      <c r="C89" s="126">
        <f t="shared" ca="1" si="22"/>
        <v>0</v>
      </c>
      <c r="D89" s="127"/>
      <c r="E89" s="13">
        <f t="shared" ca="1" si="23"/>
        <v>0</v>
      </c>
      <c r="F89" s="2">
        <f t="shared" si="24"/>
        <v>0</v>
      </c>
      <c r="G89" s="126">
        <f t="shared" ca="1" si="25"/>
        <v>0</v>
      </c>
      <c r="H89" s="127"/>
      <c r="I89" s="12">
        <f t="shared" ca="1" si="26"/>
        <v>0</v>
      </c>
      <c r="J89" s="2">
        <f t="shared" si="27"/>
        <v>0</v>
      </c>
      <c r="K89" s="126">
        <f t="shared" ca="1" si="28"/>
        <v>0</v>
      </c>
      <c r="L89" s="127"/>
      <c r="M89" s="12">
        <f t="shared" ca="1" si="29"/>
        <v>0</v>
      </c>
      <c r="N89" s="2">
        <f t="shared" si="30"/>
        <v>0</v>
      </c>
      <c r="O89" s="126">
        <f t="shared" ca="1" si="31"/>
        <v>0</v>
      </c>
      <c r="P89" s="127"/>
      <c r="Q89" s="12">
        <f t="shared" ca="1" si="32"/>
        <v>0</v>
      </c>
      <c r="R89" s="2">
        <f t="shared" si="33"/>
        <v>0</v>
      </c>
      <c r="S89" s="126">
        <f t="shared" ca="1" si="34"/>
        <v>0</v>
      </c>
      <c r="T89" s="127"/>
      <c r="U89" s="13">
        <f t="shared" ca="1" si="35"/>
        <v>0</v>
      </c>
      <c r="V89" s="2">
        <f t="shared" si="36"/>
        <v>0</v>
      </c>
      <c r="W89" s="126">
        <f t="shared" ca="1" si="37"/>
        <v>0</v>
      </c>
      <c r="X89" s="127"/>
      <c r="Y89" s="12">
        <f t="shared" ca="1" si="38"/>
        <v>0</v>
      </c>
      <c r="Z89" s="2">
        <f t="shared" si="39"/>
        <v>0</v>
      </c>
      <c r="AA89" s="126">
        <f t="shared" ca="1" si="40"/>
        <v>0</v>
      </c>
      <c r="AB89" s="127"/>
      <c r="AC89" s="12">
        <f t="shared" ca="1" si="41"/>
        <v>0</v>
      </c>
      <c r="AD89" s="144"/>
      <c r="AE89" s="145"/>
      <c r="AF89" s="145"/>
      <c r="AG89" s="146"/>
      <c r="AH89" s="113"/>
      <c r="AI89" s="136"/>
      <c r="AJ89" s="136"/>
    </row>
    <row r="90" spans="1:36" x14ac:dyDescent="0.25">
      <c r="A90" s="137"/>
      <c r="B90" s="2">
        <f t="shared" si="21"/>
        <v>0</v>
      </c>
      <c r="C90" s="126">
        <f t="shared" ca="1" si="22"/>
        <v>0</v>
      </c>
      <c r="D90" s="127"/>
      <c r="E90" s="13">
        <f t="shared" ca="1" si="23"/>
        <v>0</v>
      </c>
      <c r="F90" s="2">
        <f t="shared" si="24"/>
        <v>0</v>
      </c>
      <c r="G90" s="126">
        <f t="shared" ca="1" si="25"/>
        <v>0</v>
      </c>
      <c r="H90" s="127"/>
      <c r="I90" s="12">
        <f t="shared" ca="1" si="26"/>
        <v>0</v>
      </c>
      <c r="J90" s="2">
        <f t="shared" si="27"/>
        <v>0</v>
      </c>
      <c r="K90" s="126">
        <f t="shared" ca="1" si="28"/>
        <v>0</v>
      </c>
      <c r="L90" s="127"/>
      <c r="M90" s="12">
        <f t="shared" ca="1" si="29"/>
        <v>0</v>
      </c>
      <c r="N90" s="2">
        <f t="shared" si="30"/>
        <v>0</v>
      </c>
      <c r="O90" s="126">
        <f t="shared" ca="1" si="31"/>
        <v>0</v>
      </c>
      <c r="P90" s="127"/>
      <c r="Q90" s="12">
        <f t="shared" ca="1" si="32"/>
        <v>0</v>
      </c>
      <c r="R90" s="2">
        <f t="shared" si="33"/>
        <v>0</v>
      </c>
      <c r="S90" s="126">
        <f t="shared" ca="1" si="34"/>
        <v>0</v>
      </c>
      <c r="T90" s="127"/>
      <c r="U90" s="13">
        <f t="shared" ca="1" si="35"/>
        <v>0</v>
      </c>
      <c r="V90" s="2">
        <f t="shared" si="36"/>
        <v>0</v>
      </c>
      <c r="W90" s="126">
        <f t="shared" ca="1" si="37"/>
        <v>0</v>
      </c>
      <c r="X90" s="127"/>
      <c r="Y90" s="12">
        <f t="shared" ca="1" si="38"/>
        <v>0</v>
      </c>
      <c r="Z90" s="2">
        <f t="shared" si="39"/>
        <v>0</v>
      </c>
      <c r="AA90" s="126">
        <f t="shared" ca="1" si="40"/>
        <v>0</v>
      </c>
      <c r="AB90" s="127"/>
      <c r="AC90" s="12">
        <f t="shared" ca="1" si="41"/>
        <v>0</v>
      </c>
      <c r="AD90" s="144"/>
      <c r="AE90" s="145"/>
      <c r="AF90" s="145"/>
      <c r="AG90" s="146"/>
      <c r="AH90" s="113"/>
      <c r="AI90" s="136"/>
      <c r="AJ90" s="136"/>
    </row>
    <row r="91" spans="1:36" x14ac:dyDescent="0.25">
      <c r="A91" s="137"/>
      <c r="B91" s="2">
        <f t="shared" si="21"/>
        <v>0</v>
      </c>
      <c r="C91" s="126">
        <f t="shared" ca="1" si="22"/>
        <v>0</v>
      </c>
      <c r="D91" s="127"/>
      <c r="E91" s="13">
        <f t="shared" ca="1" si="23"/>
        <v>0</v>
      </c>
      <c r="F91" s="2">
        <f t="shared" si="24"/>
        <v>0</v>
      </c>
      <c r="G91" s="126">
        <f t="shared" ca="1" si="25"/>
        <v>0</v>
      </c>
      <c r="H91" s="127"/>
      <c r="I91" s="12">
        <f t="shared" ca="1" si="26"/>
        <v>0</v>
      </c>
      <c r="J91" s="2">
        <f t="shared" si="27"/>
        <v>0</v>
      </c>
      <c r="K91" s="126">
        <f t="shared" ca="1" si="28"/>
        <v>0</v>
      </c>
      <c r="L91" s="127"/>
      <c r="M91" s="12">
        <f t="shared" ca="1" si="29"/>
        <v>0</v>
      </c>
      <c r="N91" s="2">
        <f t="shared" si="30"/>
        <v>0</v>
      </c>
      <c r="O91" s="126">
        <f t="shared" ca="1" si="31"/>
        <v>0</v>
      </c>
      <c r="P91" s="127"/>
      <c r="Q91" s="12">
        <f t="shared" ca="1" si="32"/>
        <v>0</v>
      </c>
      <c r="R91" s="2">
        <f t="shared" si="33"/>
        <v>0</v>
      </c>
      <c r="S91" s="126">
        <f t="shared" ca="1" si="34"/>
        <v>0</v>
      </c>
      <c r="T91" s="127"/>
      <c r="U91" s="13">
        <f t="shared" ca="1" si="35"/>
        <v>0</v>
      </c>
      <c r="V91" s="2">
        <f t="shared" si="36"/>
        <v>0</v>
      </c>
      <c r="W91" s="126">
        <f t="shared" ca="1" si="37"/>
        <v>0</v>
      </c>
      <c r="X91" s="127"/>
      <c r="Y91" s="12">
        <f t="shared" ca="1" si="38"/>
        <v>0</v>
      </c>
      <c r="Z91" s="2">
        <f t="shared" si="39"/>
        <v>0</v>
      </c>
      <c r="AA91" s="126">
        <f t="shared" ca="1" si="40"/>
        <v>0</v>
      </c>
      <c r="AB91" s="127"/>
      <c r="AC91" s="12">
        <f t="shared" ca="1" si="41"/>
        <v>0</v>
      </c>
      <c r="AD91" s="144"/>
      <c r="AE91" s="145"/>
      <c r="AF91" s="145"/>
      <c r="AG91" s="146"/>
      <c r="AH91" s="113"/>
      <c r="AI91" s="136"/>
      <c r="AJ91" s="136"/>
    </row>
    <row r="92" spans="1:36" x14ac:dyDescent="0.25">
      <c r="A92" s="137"/>
      <c r="B92" s="2">
        <f t="shared" si="21"/>
        <v>0</v>
      </c>
      <c r="C92" s="126">
        <f t="shared" ca="1" si="22"/>
        <v>0</v>
      </c>
      <c r="D92" s="127"/>
      <c r="E92" s="13">
        <f t="shared" ca="1" si="23"/>
        <v>0</v>
      </c>
      <c r="F92" s="2">
        <f t="shared" si="24"/>
        <v>0</v>
      </c>
      <c r="G92" s="126">
        <f t="shared" ca="1" si="25"/>
        <v>0</v>
      </c>
      <c r="H92" s="127"/>
      <c r="I92" s="12">
        <f t="shared" ca="1" si="26"/>
        <v>0</v>
      </c>
      <c r="J92" s="2">
        <f t="shared" si="27"/>
        <v>0</v>
      </c>
      <c r="K92" s="126">
        <f t="shared" ca="1" si="28"/>
        <v>0</v>
      </c>
      <c r="L92" s="127"/>
      <c r="M92" s="12">
        <f t="shared" ca="1" si="29"/>
        <v>0</v>
      </c>
      <c r="N92" s="2">
        <f t="shared" si="30"/>
        <v>0</v>
      </c>
      <c r="O92" s="126">
        <f t="shared" ca="1" si="31"/>
        <v>0</v>
      </c>
      <c r="P92" s="127"/>
      <c r="Q92" s="12">
        <f t="shared" ca="1" si="32"/>
        <v>0</v>
      </c>
      <c r="R92" s="2">
        <f t="shared" si="33"/>
        <v>0</v>
      </c>
      <c r="S92" s="126">
        <f t="shared" ca="1" si="34"/>
        <v>0</v>
      </c>
      <c r="T92" s="127"/>
      <c r="U92" s="13">
        <f t="shared" ca="1" si="35"/>
        <v>0</v>
      </c>
      <c r="V92" s="2">
        <f t="shared" si="36"/>
        <v>0</v>
      </c>
      <c r="W92" s="126">
        <f t="shared" ca="1" si="37"/>
        <v>0</v>
      </c>
      <c r="X92" s="127"/>
      <c r="Y92" s="12">
        <f t="shared" ca="1" si="38"/>
        <v>0</v>
      </c>
      <c r="Z92" s="2">
        <f t="shared" si="39"/>
        <v>0</v>
      </c>
      <c r="AA92" s="126">
        <f t="shared" ca="1" si="40"/>
        <v>0</v>
      </c>
      <c r="AB92" s="127"/>
      <c r="AC92" s="12">
        <f t="shared" ca="1" si="41"/>
        <v>0</v>
      </c>
      <c r="AD92" s="144"/>
      <c r="AE92" s="145"/>
      <c r="AF92" s="145"/>
      <c r="AG92" s="146"/>
      <c r="AH92" s="113"/>
      <c r="AI92" s="136"/>
      <c r="AJ92" s="136"/>
    </row>
    <row r="93" spans="1:36" x14ac:dyDescent="0.25">
      <c r="A93" s="137"/>
      <c r="B93" s="2">
        <f t="shared" si="21"/>
        <v>0</v>
      </c>
      <c r="C93" s="126">
        <f t="shared" ca="1" si="22"/>
        <v>0</v>
      </c>
      <c r="D93" s="127"/>
      <c r="E93" s="13">
        <f t="shared" ca="1" si="23"/>
        <v>0</v>
      </c>
      <c r="F93" s="2">
        <f t="shared" si="24"/>
        <v>0</v>
      </c>
      <c r="G93" s="126">
        <f t="shared" ca="1" si="25"/>
        <v>0</v>
      </c>
      <c r="H93" s="127"/>
      <c r="I93" s="12">
        <f t="shared" ca="1" si="26"/>
        <v>0</v>
      </c>
      <c r="J93" s="2">
        <f t="shared" si="27"/>
        <v>0</v>
      </c>
      <c r="K93" s="126">
        <f t="shared" ca="1" si="28"/>
        <v>0</v>
      </c>
      <c r="L93" s="127"/>
      <c r="M93" s="12">
        <f t="shared" ca="1" si="29"/>
        <v>0</v>
      </c>
      <c r="N93" s="2">
        <f t="shared" si="30"/>
        <v>0</v>
      </c>
      <c r="O93" s="126">
        <f t="shared" ca="1" si="31"/>
        <v>0</v>
      </c>
      <c r="P93" s="127"/>
      <c r="Q93" s="12">
        <f t="shared" ca="1" si="32"/>
        <v>0</v>
      </c>
      <c r="R93" s="2">
        <f t="shared" si="33"/>
        <v>0</v>
      </c>
      <c r="S93" s="126">
        <f t="shared" ca="1" si="34"/>
        <v>0</v>
      </c>
      <c r="T93" s="127"/>
      <c r="U93" s="13">
        <f t="shared" ca="1" si="35"/>
        <v>0</v>
      </c>
      <c r="V93" s="2">
        <f t="shared" si="36"/>
        <v>0</v>
      </c>
      <c r="W93" s="126">
        <f t="shared" ca="1" si="37"/>
        <v>0</v>
      </c>
      <c r="X93" s="127"/>
      <c r="Y93" s="12">
        <f t="shared" ca="1" si="38"/>
        <v>0</v>
      </c>
      <c r="Z93" s="2">
        <f t="shared" si="39"/>
        <v>0</v>
      </c>
      <c r="AA93" s="126">
        <f t="shared" ca="1" si="40"/>
        <v>0</v>
      </c>
      <c r="AB93" s="127"/>
      <c r="AC93" s="12">
        <f t="shared" ca="1" si="41"/>
        <v>0</v>
      </c>
      <c r="AD93" s="144"/>
      <c r="AE93" s="145"/>
      <c r="AF93" s="145"/>
      <c r="AG93" s="146"/>
      <c r="AH93" s="113"/>
      <c r="AI93" s="136"/>
      <c r="AJ93" s="136"/>
    </row>
    <row r="94" spans="1:36" x14ac:dyDescent="0.25">
      <c r="A94" s="137"/>
      <c r="B94" s="2">
        <f t="shared" si="21"/>
        <v>0</v>
      </c>
      <c r="C94" s="126">
        <f t="shared" ca="1" si="22"/>
        <v>0</v>
      </c>
      <c r="D94" s="127"/>
      <c r="E94" s="13">
        <f t="shared" ca="1" si="23"/>
        <v>0</v>
      </c>
      <c r="F94" s="2">
        <f t="shared" si="24"/>
        <v>0</v>
      </c>
      <c r="G94" s="126">
        <f t="shared" ca="1" si="25"/>
        <v>0</v>
      </c>
      <c r="H94" s="127"/>
      <c r="I94" s="12">
        <f t="shared" ca="1" si="26"/>
        <v>0</v>
      </c>
      <c r="J94" s="2">
        <f t="shared" si="27"/>
        <v>0</v>
      </c>
      <c r="K94" s="126">
        <f t="shared" ca="1" si="28"/>
        <v>0</v>
      </c>
      <c r="L94" s="127"/>
      <c r="M94" s="12">
        <f t="shared" ca="1" si="29"/>
        <v>0</v>
      </c>
      <c r="N94" s="2">
        <f t="shared" si="30"/>
        <v>0</v>
      </c>
      <c r="O94" s="126">
        <f t="shared" ca="1" si="31"/>
        <v>0</v>
      </c>
      <c r="P94" s="127"/>
      <c r="Q94" s="12">
        <f t="shared" ca="1" si="32"/>
        <v>0</v>
      </c>
      <c r="R94" s="2" t="str">
        <f t="shared" si="33"/>
        <v>Press hombro mancuerna sentado</v>
      </c>
      <c r="S94" s="126">
        <f t="shared" ca="1" si="34"/>
        <v>0</v>
      </c>
      <c r="T94" s="127"/>
      <c r="U94" s="13">
        <f t="shared" ca="1" si="35"/>
        <v>0</v>
      </c>
      <c r="V94" s="2" t="str">
        <f t="shared" si="36"/>
        <v>Sentadilla barra libre</v>
      </c>
      <c r="W94" s="126">
        <f t="shared" ca="1" si="37"/>
        <v>0</v>
      </c>
      <c r="X94" s="127"/>
      <c r="Y94" s="12">
        <f t="shared" ca="1" si="38"/>
        <v>0</v>
      </c>
      <c r="Z94" s="2">
        <f>Z20</f>
        <v>0</v>
      </c>
      <c r="AA94" s="126">
        <f ca="1">IF(TODAY()=$A$79,AA20*AB20*AC20,AA94)</f>
        <v>0</v>
      </c>
      <c r="AB94" s="127"/>
      <c r="AC94" s="12">
        <f ca="1">IF(TODAY()=$A$79,AC20,AC94)</f>
        <v>0</v>
      </c>
      <c r="AD94" s="144"/>
      <c r="AE94" s="145"/>
      <c r="AF94" s="145"/>
      <c r="AG94" s="146"/>
      <c r="AH94" s="113"/>
      <c r="AI94" s="136"/>
      <c r="AJ94" s="136"/>
    </row>
    <row r="95" spans="1:36" x14ac:dyDescent="0.25">
      <c r="A95" s="137"/>
      <c r="B95" s="2">
        <f t="shared" si="21"/>
        <v>0</v>
      </c>
      <c r="C95" s="126">
        <f t="shared" ca="1" si="22"/>
        <v>0</v>
      </c>
      <c r="D95" s="127"/>
      <c r="E95" s="13">
        <f t="shared" ca="1" si="23"/>
        <v>0</v>
      </c>
      <c r="F95" s="2">
        <f t="shared" si="24"/>
        <v>0</v>
      </c>
      <c r="G95" s="126">
        <f t="shared" ca="1" si="25"/>
        <v>0</v>
      </c>
      <c r="H95" s="127"/>
      <c r="I95" s="12">
        <f t="shared" ca="1" si="26"/>
        <v>0</v>
      </c>
      <c r="J95" s="2">
        <f t="shared" si="27"/>
        <v>0</v>
      </c>
      <c r="K95" s="126">
        <f t="shared" ca="1" si="28"/>
        <v>0</v>
      </c>
      <c r="L95" s="127"/>
      <c r="M95" s="12">
        <f t="shared" ca="1" si="29"/>
        <v>0</v>
      </c>
      <c r="N95" s="2">
        <f t="shared" si="30"/>
        <v>0</v>
      </c>
      <c r="O95" s="126">
        <f t="shared" ca="1" si="31"/>
        <v>0</v>
      </c>
      <c r="P95" s="127"/>
      <c r="Q95" s="12">
        <f t="shared" ca="1" si="32"/>
        <v>0</v>
      </c>
      <c r="R95" s="2" t="str">
        <f t="shared" si="33"/>
        <v>Elevaciones laterales mancuerna banco inclinado</v>
      </c>
      <c r="S95" s="126">
        <f t="shared" ca="1" si="34"/>
        <v>0</v>
      </c>
      <c r="T95" s="127"/>
      <c r="U95" s="13">
        <f t="shared" ca="1" si="35"/>
        <v>0</v>
      </c>
      <c r="V95" s="2" t="str">
        <f t="shared" si="36"/>
        <v>Sentadilla sumo mancuerna</v>
      </c>
      <c r="W95" s="126">
        <f t="shared" ca="1" si="37"/>
        <v>0</v>
      </c>
      <c r="X95" s="127"/>
      <c r="Y95" s="12">
        <f t="shared" ca="1" si="38"/>
        <v>0</v>
      </c>
      <c r="Z95" s="2">
        <f>Z21</f>
        <v>0</v>
      </c>
      <c r="AA95" s="126">
        <f ca="1">IF(TODAY()=$A$79,AA21*AB21*AC21,AA95)</f>
        <v>0</v>
      </c>
      <c r="AB95" s="127"/>
      <c r="AC95" s="12">
        <f ca="1">IF(TODAY()=$A$79,AC21,AC95)</f>
        <v>0</v>
      </c>
      <c r="AD95" s="144"/>
      <c r="AE95" s="145"/>
      <c r="AF95" s="145"/>
      <c r="AG95" s="146"/>
      <c r="AH95" s="113"/>
      <c r="AI95" s="136"/>
      <c r="AJ95" s="136"/>
    </row>
    <row r="96" spans="1:36" x14ac:dyDescent="0.25">
      <c r="A96" s="137"/>
      <c r="B96" s="2">
        <f t="shared" si="21"/>
        <v>0</v>
      </c>
      <c r="C96" s="126">
        <f t="shared" ca="1" si="22"/>
        <v>0</v>
      </c>
      <c r="D96" s="127"/>
      <c r="E96" s="13">
        <f t="shared" ca="1" si="23"/>
        <v>0</v>
      </c>
      <c r="F96" s="2">
        <f t="shared" si="24"/>
        <v>0</v>
      </c>
      <c r="G96" s="126">
        <f t="shared" ca="1" si="25"/>
        <v>0</v>
      </c>
      <c r="H96" s="127"/>
      <c r="I96" s="12">
        <f t="shared" ca="1" si="26"/>
        <v>0</v>
      </c>
      <c r="J96" s="2">
        <f t="shared" si="27"/>
        <v>0</v>
      </c>
      <c r="K96" s="126">
        <f t="shared" ca="1" si="28"/>
        <v>0</v>
      </c>
      <c r="L96" s="127"/>
      <c r="M96" s="12">
        <f t="shared" ca="1" si="29"/>
        <v>0</v>
      </c>
      <c r="N96" s="2">
        <f t="shared" si="30"/>
        <v>0</v>
      </c>
      <c r="O96" s="126">
        <f t="shared" ca="1" si="31"/>
        <v>0</v>
      </c>
      <c r="P96" s="127"/>
      <c r="Q96" s="12">
        <f t="shared" ca="1" si="32"/>
        <v>0</v>
      </c>
      <c r="R96" s="2" t="str">
        <f t="shared" si="33"/>
        <v>Elevaciones frontales barra banco inclinado</v>
      </c>
      <c r="S96" s="126">
        <f t="shared" ca="1" si="34"/>
        <v>0</v>
      </c>
      <c r="T96" s="127"/>
      <c r="U96" s="13">
        <f t="shared" ca="1" si="35"/>
        <v>0</v>
      </c>
      <c r="V96" s="2" t="str">
        <f t="shared" si="36"/>
        <v>Peso muerto mancuerna</v>
      </c>
      <c r="W96" s="126">
        <f t="shared" ca="1" si="37"/>
        <v>0</v>
      </c>
      <c r="X96" s="127"/>
      <c r="Y96" s="12">
        <f t="shared" ca="1" si="38"/>
        <v>0</v>
      </c>
      <c r="Z96" s="2">
        <f>Z22</f>
        <v>0</v>
      </c>
      <c r="AA96" s="126">
        <f ca="1">IF(TODAY()=$A$79,AA22*AB22*AC22,AA96)</f>
        <v>0</v>
      </c>
      <c r="AB96" s="127"/>
      <c r="AC96" s="12">
        <f ca="1">IF(TODAY()=$A$79,AC22,AC96)</f>
        <v>0</v>
      </c>
      <c r="AD96" s="144"/>
      <c r="AE96" s="145"/>
      <c r="AF96" s="145"/>
      <c r="AG96" s="146"/>
      <c r="AH96" s="113"/>
      <c r="AI96" s="136"/>
      <c r="AJ96" s="136"/>
    </row>
    <row r="97" spans="1:36" x14ac:dyDescent="0.25">
      <c r="A97" s="137"/>
      <c r="B97" s="2">
        <f t="shared" si="21"/>
        <v>0</v>
      </c>
      <c r="C97" s="126">
        <f t="shared" ca="1" si="22"/>
        <v>0</v>
      </c>
      <c r="D97" s="127"/>
      <c r="E97" s="13">
        <f t="shared" ca="1" si="23"/>
        <v>0</v>
      </c>
      <c r="F97" s="2">
        <f t="shared" si="24"/>
        <v>0</v>
      </c>
      <c r="G97" s="126">
        <f t="shared" ca="1" si="25"/>
        <v>0</v>
      </c>
      <c r="H97" s="127"/>
      <c r="I97" s="12">
        <f t="shared" ca="1" si="26"/>
        <v>0</v>
      </c>
      <c r="J97" s="2">
        <f t="shared" si="27"/>
        <v>0</v>
      </c>
      <c r="K97" s="126">
        <f t="shared" ca="1" si="28"/>
        <v>0</v>
      </c>
      <c r="L97" s="127"/>
      <c r="M97" s="12">
        <f t="shared" ca="1" si="29"/>
        <v>0</v>
      </c>
      <c r="N97" s="2">
        <f t="shared" si="30"/>
        <v>0</v>
      </c>
      <c r="O97" s="126">
        <f t="shared" ca="1" si="31"/>
        <v>0</v>
      </c>
      <c r="P97" s="127"/>
      <c r="Q97" s="12">
        <f t="shared" ca="1" si="32"/>
        <v>0</v>
      </c>
      <c r="R97" s="2" t="str">
        <f t="shared" si="33"/>
        <v>Press arnold</v>
      </c>
      <c r="S97" s="126">
        <f t="shared" ca="1" si="34"/>
        <v>0</v>
      </c>
      <c r="T97" s="127"/>
      <c r="U97" s="13">
        <f t="shared" ca="1" si="35"/>
        <v>0</v>
      </c>
      <c r="V97" s="2" t="str">
        <f t="shared" si="36"/>
        <v>Press pierna máquina</v>
      </c>
      <c r="W97" s="126">
        <f t="shared" ca="1" si="37"/>
        <v>0</v>
      </c>
      <c r="X97" s="127"/>
      <c r="Y97" s="12">
        <f t="shared" ca="1" si="38"/>
        <v>0</v>
      </c>
      <c r="Z97" s="2">
        <f>Z23</f>
        <v>0</v>
      </c>
      <c r="AA97" s="126">
        <f ca="1">IF(TODAY()=$A$79,AA23*AB23*AC23,AA97)</f>
        <v>0</v>
      </c>
      <c r="AB97" s="127"/>
      <c r="AC97" s="12">
        <f ca="1">IF(TODAY()=$A$79,AC23,AC97)</f>
        <v>0</v>
      </c>
      <c r="AD97" s="144"/>
      <c r="AE97" s="145"/>
      <c r="AF97" s="145"/>
      <c r="AG97" s="146"/>
      <c r="AH97" s="113"/>
      <c r="AI97" s="136"/>
      <c r="AJ97" s="136"/>
    </row>
    <row r="98" spans="1:36" x14ac:dyDescent="0.25">
      <c r="A98" s="137"/>
      <c r="B98" s="2">
        <f t="shared" si="21"/>
        <v>0</v>
      </c>
      <c r="C98" s="126">
        <f t="shared" ca="1" si="22"/>
        <v>0</v>
      </c>
      <c r="D98" s="127"/>
      <c r="E98" s="13">
        <f t="shared" ca="1" si="23"/>
        <v>0</v>
      </c>
      <c r="F98" s="2">
        <f t="shared" si="24"/>
        <v>0</v>
      </c>
      <c r="G98" s="126">
        <f t="shared" ca="1" si="25"/>
        <v>0</v>
      </c>
      <c r="H98" s="127"/>
      <c r="I98" s="12">
        <f t="shared" ca="1" si="26"/>
        <v>0</v>
      </c>
      <c r="J98" s="2">
        <f t="shared" si="27"/>
        <v>0</v>
      </c>
      <c r="K98" s="126">
        <f t="shared" ca="1" si="28"/>
        <v>0</v>
      </c>
      <c r="L98" s="127"/>
      <c r="M98" s="12">
        <f t="shared" ca="1" si="29"/>
        <v>0</v>
      </c>
      <c r="N98" s="2">
        <f t="shared" si="30"/>
        <v>0</v>
      </c>
      <c r="O98" s="126">
        <f t="shared" ca="1" si="31"/>
        <v>0</v>
      </c>
      <c r="P98" s="127"/>
      <c r="Q98" s="12">
        <f t="shared" ca="1" si="32"/>
        <v>0</v>
      </c>
      <c r="R98" s="2">
        <f t="shared" si="33"/>
        <v>0</v>
      </c>
      <c r="S98" s="126">
        <f t="shared" ca="1" si="34"/>
        <v>0</v>
      </c>
      <c r="T98" s="127"/>
      <c r="U98" s="13">
        <f t="shared" ca="1" si="35"/>
        <v>0</v>
      </c>
      <c r="V98" s="2" t="str">
        <f t="shared" si="36"/>
        <v>Hip trust barra</v>
      </c>
      <c r="W98" s="126">
        <f t="shared" ca="1" si="37"/>
        <v>0</v>
      </c>
      <c r="X98" s="127"/>
      <c r="Y98" s="12">
        <f t="shared" ca="1" si="38"/>
        <v>0</v>
      </c>
      <c r="Z98" s="2">
        <f>Z24</f>
        <v>0</v>
      </c>
      <c r="AA98" s="126">
        <f ca="1">IF(TODAY()=$A$79,AA24*AB24*AC24,AA98)</f>
        <v>0</v>
      </c>
      <c r="AB98" s="127"/>
      <c r="AC98" s="12">
        <f ca="1">IF(TODAY()=$A$79,AC24,AC98)</f>
        <v>0</v>
      </c>
      <c r="AD98" s="144"/>
      <c r="AE98" s="145"/>
      <c r="AF98" s="145"/>
      <c r="AG98" s="146"/>
      <c r="AH98" s="113"/>
      <c r="AI98" s="136"/>
      <c r="AJ98" s="136"/>
    </row>
    <row r="99" spans="1:36" x14ac:dyDescent="0.25">
      <c r="A99" s="137"/>
      <c r="B99" s="2" t="str">
        <f t="shared" si="21"/>
        <v>Press plano</v>
      </c>
      <c r="C99" s="126">
        <f t="shared" ca="1" si="22"/>
        <v>0</v>
      </c>
      <c r="D99" s="127"/>
      <c r="E99" s="13">
        <f t="shared" ca="1" si="23"/>
        <v>0</v>
      </c>
      <c r="F99" s="2" t="str">
        <f t="shared" si="24"/>
        <v>Body ups</v>
      </c>
      <c r="G99" s="126">
        <f t="shared" ca="1" si="25"/>
        <v>0</v>
      </c>
      <c r="H99" s="127"/>
      <c r="I99" s="12">
        <f t="shared" ca="1" si="26"/>
        <v>0</v>
      </c>
      <c r="J99" s="2">
        <f t="shared" si="27"/>
        <v>0</v>
      </c>
      <c r="K99" s="126">
        <f t="shared" ca="1" si="28"/>
        <v>0</v>
      </c>
      <c r="L99" s="127"/>
      <c r="M99" s="12">
        <f t="shared" ca="1" si="29"/>
        <v>0</v>
      </c>
      <c r="N99" s="2">
        <f t="shared" si="30"/>
        <v>0</v>
      </c>
      <c r="O99" s="126">
        <f t="shared" ca="1" si="31"/>
        <v>0</v>
      </c>
      <c r="P99" s="127"/>
      <c r="Q99" s="12">
        <f t="shared" ca="1" si="32"/>
        <v>0</v>
      </c>
      <c r="R99" s="2">
        <f t="shared" si="33"/>
        <v>0</v>
      </c>
      <c r="S99" s="126">
        <f t="shared" ca="1" si="34"/>
        <v>0</v>
      </c>
      <c r="T99" s="127"/>
      <c r="U99" s="13">
        <f t="shared" ca="1" si="35"/>
        <v>0</v>
      </c>
      <c r="V99" s="2">
        <f t="shared" si="36"/>
        <v>0</v>
      </c>
      <c r="W99" s="126">
        <f t="shared" ca="1" si="37"/>
        <v>0</v>
      </c>
      <c r="X99" s="127"/>
      <c r="Y99" s="12">
        <f t="shared" ca="1" si="38"/>
        <v>0</v>
      </c>
      <c r="Z99" s="2">
        <f t="shared" si="39"/>
        <v>0</v>
      </c>
      <c r="AA99" s="126">
        <f t="shared" ca="1" si="40"/>
        <v>0</v>
      </c>
      <c r="AB99" s="127"/>
      <c r="AC99" s="12">
        <f t="shared" ca="1" si="41"/>
        <v>0</v>
      </c>
      <c r="AD99" s="144"/>
      <c r="AE99" s="145"/>
      <c r="AF99" s="145"/>
      <c r="AG99" s="146"/>
      <c r="AH99" s="113"/>
      <c r="AI99" s="136"/>
      <c r="AJ99" s="136"/>
    </row>
    <row r="100" spans="1:36" x14ac:dyDescent="0.25">
      <c r="A100" s="137"/>
      <c r="B100" s="2" t="str">
        <f t="shared" si="21"/>
        <v>Press plano mancuerna trifásico</v>
      </c>
      <c r="C100" s="126">
        <f t="shared" ca="1" si="22"/>
        <v>0</v>
      </c>
      <c r="D100" s="127"/>
      <c r="E100" s="13">
        <f t="shared" ca="1" si="23"/>
        <v>0</v>
      </c>
      <c r="F100" s="2" t="str">
        <f t="shared" si="24"/>
        <v>Fondos tríceps paralelas</v>
      </c>
      <c r="G100" s="126">
        <f t="shared" ca="1" si="25"/>
        <v>0</v>
      </c>
      <c r="H100" s="127"/>
      <c r="I100" s="12">
        <f t="shared" ca="1" si="26"/>
        <v>0</v>
      </c>
      <c r="J100" s="2">
        <f t="shared" si="27"/>
        <v>0</v>
      </c>
      <c r="K100" s="126">
        <f t="shared" ca="1" si="28"/>
        <v>0</v>
      </c>
      <c r="L100" s="127"/>
      <c r="M100" s="12">
        <f t="shared" ca="1" si="29"/>
        <v>0</v>
      </c>
      <c r="N100" s="2">
        <f t="shared" si="30"/>
        <v>0</v>
      </c>
      <c r="O100" s="126">
        <f t="shared" ca="1" si="31"/>
        <v>0</v>
      </c>
      <c r="P100" s="127"/>
      <c r="Q100" s="12">
        <f t="shared" ca="1" si="32"/>
        <v>0</v>
      </c>
      <c r="R100" s="2">
        <f t="shared" si="33"/>
        <v>0</v>
      </c>
      <c r="S100" s="126">
        <f t="shared" ca="1" si="34"/>
        <v>0</v>
      </c>
      <c r="T100" s="127"/>
      <c r="U100" s="13">
        <f t="shared" ca="1" si="35"/>
        <v>0</v>
      </c>
      <c r="V100" s="2">
        <f t="shared" si="36"/>
        <v>0</v>
      </c>
      <c r="W100" s="126">
        <f t="shared" ca="1" si="37"/>
        <v>0</v>
      </c>
      <c r="X100" s="127"/>
      <c r="Y100" s="12">
        <f t="shared" ca="1" si="38"/>
        <v>0</v>
      </c>
      <c r="Z100" s="2">
        <f t="shared" si="39"/>
        <v>0</v>
      </c>
      <c r="AA100" s="126">
        <f t="shared" ca="1" si="40"/>
        <v>0</v>
      </c>
      <c r="AB100" s="127"/>
      <c r="AC100" s="12">
        <f t="shared" ca="1" si="41"/>
        <v>0</v>
      </c>
      <c r="AD100" s="144"/>
      <c r="AE100" s="145"/>
      <c r="AF100" s="145"/>
      <c r="AG100" s="146"/>
      <c r="AH100" s="113"/>
      <c r="AI100" s="136"/>
      <c r="AJ100" s="136"/>
    </row>
    <row r="101" spans="1:36" x14ac:dyDescent="0.25">
      <c r="A101" s="137"/>
      <c r="B101" s="2" t="str">
        <f t="shared" si="21"/>
        <v>Press inclinado mancuerna</v>
      </c>
      <c r="C101" s="126">
        <f t="shared" ca="1" si="22"/>
        <v>0</v>
      </c>
      <c r="D101" s="127"/>
      <c r="E101" s="13">
        <f t="shared" ca="1" si="23"/>
        <v>0</v>
      </c>
      <c r="F101" s="2" t="str">
        <f t="shared" si="24"/>
        <v>Fondos máquina</v>
      </c>
      <c r="G101" s="126">
        <f t="shared" ca="1" si="25"/>
        <v>0</v>
      </c>
      <c r="H101" s="127"/>
      <c r="I101" s="12">
        <f t="shared" ca="1" si="26"/>
        <v>0</v>
      </c>
      <c r="J101" s="2">
        <f t="shared" si="27"/>
        <v>0</v>
      </c>
      <c r="K101" s="126">
        <f t="shared" ca="1" si="28"/>
        <v>0</v>
      </c>
      <c r="L101" s="127"/>
      <c r="M101" s="12">
        <f t="shared" ca="1" si="29"/>
        <v>0</v>
      </c>
      <c r="N101" s="2">
        <f t="shared" si="30"/>
        <v>0</v>
      </c>
      <c r="O101" s="126">
        <f t="shared" ca="1" si="31"/>
        <v>0</v>
      </c>
      <c r="P101" s="127"/>
      <c r="Q101" s="12">
        <f t="shared" ca="1" si="32"/>
        <v>0</v>
      </c>
      <c r="R101" s="2">
        <f t="shared" si="33"/>
        <v>0</v>
      </c>
      <c r="S101" s="126">
        <f t="shared" ca="1" si="34"/>
        <v>0</v>
      </c>
      <c r="T101" s="127"/>
      <c r="U101" s="13">
        <f t="shared" ca="1" si="35"/>
        <v>0</v>
      </c>
      <c r="V101" s="2">
        <f t="shared" si="36"/>
        <v>0</v>
      </c>
      <c r="W101" s="126">
        <f t="shared" ca="1" si="37"/>
        <v>0</v>
      </c>
      <c r="X101" s="127"/>
      <c r="Y101" s="12">
        <f t="shared" ca="1" si="38"/>
        <v>0</v>
      </c>
      <c r="Z101" s="2">
        <f t="shared" si="39"/>
        <v>0</v>
      </c>
      <c r="AA101" s="126">
        <f t="shared" ca="1" si="40"/>
        <v>0</v>
      </c>
      <c r="AB101" s="127"/>
      <c r="AC101" s="12">
        <f t="shared" ca="1" si="41"/>
        <v>0</v>
      </c>
      <c r="AD101" s="144"/>
      <c r="AE101" s="145"/>
      <c r="AF101" s="145"/>
      <c r="AG101" s="146"/>
      <c r="AH101" s="113"/>
      <c r="AI101" s="136"/>
      <c r="AJ101" s="136"/>
    </row>
    <row r="102" spans="1:36" x14ac:dyDescent="0.25">
      <c r="A102" s="137"/>
      <c r="B102" s="2" t="str">
        <f t="shared" si="21"/>
        <v>Vuelos máquina</v>
      </c>
      <c r="C102" s="126">
        <f t="shared" ca="1" si="22"/>
        <v>0</v>
      </c>
      <c r="D102" s="127"/>
      <c r="E102" s="13">
        <f t="shared" ca="1" si="23"/>
        <v>0</v>
      </c>
      <c r="F102" s="2" t="str">
        <f t="shared" si="24"/>
        <v>Extensión tríceps polea</v>
      </c>
      <c r="G102" s="126">
        <f t="shared" ca="1" si="25"/>
        <v>0</v>
      </c>
      <c r="H102" s="127"/>
      <c r="I102" s="12">
        <f t="shared" ca="1" si="26"/>
        <v>0</v>
      </c>
      <c r="J102" s="2">
        <f t="shared" si="27"/>
        <v>0</v>
      </c>
      <c r="K102" s="126">
        <f t="shared" ca="1" si="28"/>
        <v>0</v>
      </c>
      <c r="L102" s="127"/>
      <c r="M102" s="12">
        <f t="shared" ca="1" si="29"/>
        <v>0</v>
      </c>
      <c r="N102" s="2">
        <f t="shared" si="30"/>
        <v>0</v>
      </c>
      <c r="O102" s="126">
        <f t="shared" ca="1" si="31"/>
        <v>0</v>
      </c>
      <c r="P102" s="127"/>
      <c r="Q102" s="12">
        <f t="shared" ca="1" si="32"/>
        <v>0</v>
      </c>
      <c r="R102" s="2">
        <f t="shared" si="33"/>
        <v>0</v>
      </c>
      <c r="S102" s="126">
        <f t="shared" ca="1" si="34"/>
        <v>0</v>
      </c>
      <c r="T102" s="127"/>
      <c r="U102" s="13">
        <f t="shared" ca="1" si="35"/>
        <v>0</v>
      </c>
      <c r="V102" s="2">
        <f t="shared" si="36"/>
        <v>0</v>
      </c>
      <c r="W102" s="126">
        <f t="shared" ca="1" si="37"/>
        <v>0</v>
      </c>
      <c r="X102" s="127"/>
      <c r="Y102" s="12">
        <f t="shared" ca="1" si="38"/>
        <v>0</v>
      </c>
      <c r="Z102" s="2">
        <f t="shared" si="39"/>
        <v>0</v>
      </c>
      <c r="AA102" s="126">
        <f t="shared" ca="1" si="40"/>
        <v>0</v>
      </c>
      <c r="AB102" s="127"/>
      <c r="AC102" s="12">
        <f t="shared" ca="1" si="41"/>
        <v>0</v>
      </c>
      <c r="AD102" s="144"/>
      <c r="AE102" s="145"/>
      <c r="AF102" s="145"/>
      <c r="AG102" s="146"/>
      <c r="AH102" s="113"/>
      <c r="AI102" s="136"/>
      <c r="AJ102" s="136"/>
    </row>
    <row r="103" spans="1:36" x14ac:dyDescent="0.25">
      <c r="A103" s="137"/>
      <c r="B103" s="2" t="str">
        <f t="shared" si="21"/>
        <v>Pullover pecho mancuerna</v>
      </c>
      <c r="C103" s="126">
        <f t="shared" ca="1" si="22"/>
        <v>0</v>
      </c>
      <c r="D103" s="127"/>
      <c r="E103" s="13">
        <f t="shared" ca="1" si="23"/>
        <v>0</v>
      </c>
      <c r="F103" s="2">
        <f t="shared" si="24"/>
        <v>0</v>
      </c>
      <c r="G103" s="126">
        <f t="shared" ca="1" si="25"/>
        <v>0</v>
      </c>
      <c r="H103" s="127"/>
      <c r="I103" s="12">
        <f t="shared" ca="1" si="26"/>
        <v>0</v>
      </c>
      <c r="J103" s="2">
        <f t="shared" si="27"/>
        <v>0</v>
      </c>
      <c r="K103" s="126">
        <f t="shared" ca="1" si="28"/>
        <v>0</v>
      </c>
      <c r="L103" s="127"/>
      <c r="M103" s="12">
        <f t="shared" ca="1" si="29"/>
        <v>0</v>
      </c>
      <c r="N103" s="2">
        <f t="shared" si="30"/>
        <v>0</v>
      </c>
      <c r="O103" s="126">
        <f t="shared" ca="1" si="31"/>
        <v>0</v>
      </c>
      <c r="P103" s="127"/>
      <c r="Q103" s="12">
        <f t="shared" ca="1" si="32"/>
        <v>0</v>
      </c>
      <c r="R103" s="2">
        <f t="shared" si="33"/>
        <v>0</v>
      </c>
      <c r="S103" s="126">
        <f t="shared" ca="1" si="34"/>
        <v>0</v>
      </c>
      <c r="T103" s="127"/>
      <c r="U103" s="13">
        <f t="shared" ca="1" si="35"/>
        <v>0</v>
      </c>
      <c r="V103" s="2">
        <f t="shared" si="36"/>
        <v>0</v>
      </c>
      <c r="W103" s="126">
        <f t="shared" ca="1" si="37"/>
        <v>0</v>
      </c>
      <c r="X103" s="127"/>
      <c r="Y103" s="12">
        <f t="shared" ca="1" si="38"/>
        <v>0</v>
      </c>
      <c r="Z103" s="2">
        <f t="shared" si="39"/>
        <v>0</v>
      </c>
      <c r="AA103" s="126">
        <f t="shared" ca="1" si="40"/>
        <v>0</v>
      </c>
      <c r="AB103" s="127"/>
      <c r="AC103" s="12">
        <f t="shared" ca="1" si="41"/>
        <v>0</v>
      </c>
      <c r="AD103" s="144"/>
      <c r="AE103" s="145"/>
      <c r="AF103" s="145"/>
      <c r="AG103" s="146"/>
      <c r="AH103" s="113"/>
      <c r="AI103" s="136"/>
      <c r="AJ103" s="136"/>
    </row>
    <row r="104" spans="1:36" x14ac:dyDescent="0.25">
      <c r="A104" s="137"/>
      <c r="B104" s="2">
        <f t="shared" si="21"/>
        <v>0</v>
      </c>
      <c r="C104" s="126">
        <f t="shared" ca="1" si="22"/>
        <v>0</v>
      </c>
      <c r="D104" s="127"/>
      <c r="E104" s="13">
        <f t="shared" ca="1" si="23"/>
        <v>0</v>
      </c>
      <c r="F104" s="2">
        <f t="shared" si="24"/>
        <v>0</v>
      </c>
      <c r="G104" s="126">
        <f t="shared" ca="1" si="25"/>
        <v>0</v>
      </c>
      <c r="H104" s="127"/>
      <c r="I104" s="12">
        <f t="shared" ca="1" si="26"/>
        <v>0</v>
      </c>
      <c r="J104" s="2" t="str">
        <f t="shared" si="27"/>
        <v>Pullups</v>
      </c>
      <c r="K104" s="126">
        <f t="shared" ca="1" si="28"/>
        <v>0</v>
      </c>
      <c r="L104" s="127"/>
      <c r="M104" s="12">
        <f t="shared" ca="1" si="29"/>
        <v>0</v>
      </c>
      <c r="N104" s="2" t="str">
        <f t="shared" si="30"/>
        <v>Curl spider</v>
      </c>
      <c r="O104" s="126">
        <f t="shared" ca="1" si="31"/>
        <v>0</v>
      </c>
      <c r="P104" s="127"/>
      <c r="Q104" s="12">
        <f t="shared" ca="1" si="32"/>
        <v>0</v>
      </c>
      <c r="R104" s="2">
        <f t="shared" si="33"/>
        <v>0</v>
      </c>
      <c r="S104" s="126">
        <f t="shared" ca="1" si="34"/>
        <v>0</v>
      </c>
      <c r="T104" s="127"/>
      <c r="U104" s="13">
        <f t="shared" ca="1" si="35"/>
        <v>0</v>
      </c>
      <c r="V104" s="2">
        <f t="shared" si="36"/>
        <v>0</v>
      </c>
      <c r="W104" s="126">
        <f t="shared" ca="1" si="37"/>
        <v>0</v>
      </c>
      <c r="X104" s="127"/>
      <c r="Y104" s="12">
        <f t="shared" ca="1" si="38"/>
        <v>0</v>
      </c>
      <c r="Z104" s="2">
        <f t="shared" si="39"/>
        <v>0</v>
      </c>
      <c r="AA104" s="126">
        <f t="shared" ca="1" si="40"/>
        <v>0</v>
      </c>
      <c r="AB104" s="127"/>
      <c r="AC104" s="12">
        <f t="shared" ca="1" si="41"/>
        <v>0</v>
      </c>
      <c r="AD104" s="144"/>
      <c r="AE104" s="145"/>
      <c r="AF104" s="145"/>
      <c r="AG104" s="146"/>
      <c r="AH104" s="113"/>
      <c r="AI104" s="136"/>
      <c r="AJ104" s="136"/>
    </row>
    <row r="105" spans="1:36" x14ac:dyDescent="0.25">
      <c r="A105" s="137"/>
      <c r="B105" s="2">
        <f t="shared" si="21"/>
        <v>0</v>
      </c>
      <c r="C105" s="126">
        <f t="shared" ca="1" si="22"/>
        <v>0</v>
      </c>
      <c r="D105" s="127"/>
      <c r="E105" s="13">
        <f t="shared" ca="1" si="23"/>
        <v>0</v>
      </c>
      <c r="F105" s="2">
        <f t="shared" si="24"/>
        <v>0</v>
      </c>
      <c r="G105" s="126">
        <f t="shared" ca="1" si="25"/>
        <v>0</v>
      </c>
      <c r="H105" s="127"/>
      <c r="I105" s="12">
        <f t="shared" ca="1" si="26"/>
        <v>0</v>
      </c>
      <c r="J105" s="2" t="str">
        <f t="shared" si="27"/>
        <v>Remo mancuerna banco inclinado</v>
      </c>
      <c r="K105" s="126">
        <f t="shared" ca="1" si="28"/>
        <v>0</v>
      </c>
      <c r="L105" s="127"/>
      <c r="M105" s="12">
        <f t="shared" ca="1" si="29"/>
        <v>0</v>
      </c>
      <c r="N105" s="2" t="str">
        <f t="shared" si="30"/>
        <v>Curl invertido barra z</v>
      </c>
      <c r="O105" s="126">
        <f t="shared" ca="1" si="31"/>
        <v>0</v>
      </c>
      <c r="P105" s="127"/>
      <c r="Q105" s="12">
        <f t="shared" ca="1" si="32"/>
        <v>0</v>
      </c>
      <c r="R105" s="2">
        <f t="shared" si="33"/>
        <v>0</v>
      </c>
      <c r="S105" s="126">
        <f t="shared" ca="1" si="34"/>
        <v>0</v>
      </c>
      <c r="T105" s="127"/>
      <c r="U105" s="13">
        <f t="shared" ca="1" si="35"/>
        <v>0</v>
      </c>
      <c r="V105" s="2">
        <f t="shared" si="36"/>
        <v>0</v>
      </c>
      <c r="W105" s="126">
        <f t="shared" ca="1" si="37"/>
        <v>0</v>
      </c>
      <c r="X105" s="127"/>
      <c r="Y105" s="12">
        <f t="shared" ca="1" si="38"/>
        <v>0</v>
      </c>
      <c r="Z105" s="2">
        <f t="shared" si="39"/>
        <v>0</v>
      </c>
      <c r="AA105" s="126">
        <f t="shared" ca="1" si="40"/>
        <v>0</v>
      </c>
      <c r="AB105" s="127"/>
      <c r="AC105" s="12">
        <f t="shared" ca="1" si="41"/>
        <v>0</v>
      </c>
      <c r="AD105" s="144"/>
      <c r="AE105" s="145"/>
      <c r="AF105" s="145"/>
      <c r="AG105" s="146"/>
      <c r="AH105" s="113"/>
      <c r="AI105" s="136"/>
      <c r="AJ105" s="136"/>
    </row>
    <row r="106" spans="1:36" x14ac:dyDescent="0.25">
      <c r="A106" s="137"/>
      <c r="B106" s="2">
        <f t="shared" si="21"/>
        <v>0</v>
      </c>
      <c r="C106" s="126">
        <f t="shared" ca="1" si="22"/>
        <v>0</v>
      </c>
      <c r="D106" s="127"/>
      <c r="E106" s="13">
        <f t="shared" ca="1" si="23"/>
        <v>0</v>
      </c>
      <c r="F106" s="2">
        <f t="shared" si="24"/>
        <v>0</v>
      </c>
      <c r="G106" s="126">
        <f t="shared" ca="1" si="25"/>
        <v>0</v>
      </c>
      <c r="H106" s="127"/>
      <c r="I106" s="12">
        <f t="shared" ca="1" si="26"/>
        <v>0</v>
      </c>
      <c r="J106" s="2" t="str">
        <f t="shared" si="27"/>
        <v>Pulldown polea sentado agarre en v</v>
      </c>
      <c r="K106" s="126">
        <f t="shared" ca="1" si="28"/>
        <v>0</v>
      </c>
      <c r="L106" s="127"/>
      <c r="M106" s="12">
        <f t="shared" ca="1" si="29"/>
        <v>0</v>
      </c>
      <c r="N106" s="2" t="str">
        <f t="shared" si="30"/>
        <v>Predicador barra</v>
      </c>
      <c r="O106" s="126">
        <f t="shared" ca="1" si="31"/>
        <v>0</v>
      </c>
      <c r="P106" s="127"/>
      <c r="Q106" s="12">
        <f t="shared" ca="1" si="32"/>
        <v>0</v>
      </c>
      <c r="R106" s="2">
        <f t="shared" si="33"/>
        <v>0</v>
      </c>
      <c r="S106" s="126">
        <f t="shared" ca="1" si="34"/>
        <v>0</v>
      </c>
      <c r="T106" s="127"/>
      <c r="U106" s="13">
        <f t="shared" ca="1" si="35"/>
        <v>0</v>
      </c>
      <c r="V106" s="2">
        <f t="shared" si="36"/>
        <v>0</v>
      </c>
      <c r="W106" s="126">
        <f t="shared" ca="1" si="37"/>
        <v>0</v>
      </c>
      <c r="X106" s="127"/>
      <c r="Y106" s="12">
        <f t="shared" ca="1" si="38"/>
        <v>0</v>
      </c>
      <c r="Z106" s="2">
        <f t="shared" si="39"/>
        <v>0</v>
      </c>
      <c r="AA106" s="126">
        <f t="shared" ca="1" si="40"/>
        <v>0</v>
      </c>
      <c r="AB106" s="127"/>
      <c r="AC106" s="12">
        <f t="shared" ca="1" si="41"/>
        <v>0</v>
      </c>
      <c r="AD106" s="144"/>
      <c r="AE106" s="145"/>
      <c r="AF106" s="145"/>
      <c r="AG106" s="146"/>
      <c r="AH106" s="113"/>
      <c r="AI106" s="136"/>
      <c r="AJ106" s="136"/>
    </row>
    <row r="107" spans="1:36" x14ac:dyDescent="0.25">
      <c r="A107" s="137"/>
      <c r="B107" s="2">
        <f t="shared" si="21"/>
        <v>0</v>
      </c>
      <c r="C107" s="126">
        <f t="shared" ca="1" si="22"/>
        <v>0</v>
      </c>
      <c r="D107" s="127"/>
      <c r="E107" s="13">
        <f t="shared" ca="1" si="23"/>
        <v>0</v>
      </c>
      <c r="F107" s="2">
        <f t="shared" si="24"/>
        <v>0</v>
      </c>
      <c r="G107" s="126">
        <f t="shared" ca="1" si="25"/>
        <v>0</v>
      </c>
      <c r="H107" s="127"/>
      <c r="I107" s="12">
        <f t="shared" ca="1" si="26"/>
        <v>0</v>
      </c>
      <c r="J107" s="2" t="str">
        <f t="shared" si="27"/>
        <v>Remo landmine</v>
      </c>
      <c r="K107" s="126">
        <f t="shared" ca="1" si="28"/>
        <v>0</v>
      </c>
      <c r="L107" s="127"/>
      <c r="M107" s="12">
        <f t="shared" ca="1" si="29"/>
        <v>0</v>
      </c>
      <c r="N107" s="2" t="str">
        <f t="shared" si="30"/>
        <v>Curl mancuerna sentado inclinado</v>
      </c>
      <c r="O107" s="126">
        <f t="shared" ca="1" si="31"/>
        <v>0</v>
      </c>
      <c r="P107" s="127"/>
      <c r="Q107" s="12">
        <f t="shared" ca="1" si="32"/>
        <v>0</v>
      </c>
      <c r="R107" s="2">
        <f t="shared" si="33"/>
        <v>0</v>
      </c>
      <c r="S107" s="126">
        <f t="shared" ca="1" si="34"/>
        <v>0</v>
      </c>
      <c r="T107" s="127"/>
      <c r="U107" s="13">
        <f t="shared" ca="1" si="35"/>
        <v>0</v>
      </c>
      <c r="V107" s="2">
        <f t="shared" si="36"/>
        <v>0</v>
      </c>
      <c r="W107" s="126">
        <f t="shared" ca="1" si="37"/>
        <v>0</v>
      </c>
      <c r="X107" s="127"/>
      <c r="Y107" s="12">
        <f t="shared" ca="1" si="38"/>
        <v>0</v>
      </c>
      <c r="Z107" s="2">
        <f t="shared" si="39"/>
        <v>0</v>
      </c>
      <c r="AA107" s="126">
        <f t="shared" ca="1" si="40"/>
        <v>0</v>
      </c>
      <c r="AB107" s="127"/>
      <c r="AC107" s="12">
        <f t="shared" ca="1" si="41"/>
        <v>0</v>
      </c>
      <c r="AD107" s="144"/>
      <c r="AE107" s="145"/>
      <c r="AF107" s="145"/>
      <c r="AG107" s="146"/>
      <c r="AH107" s="113"/>
      <c r="AI107" s="136"/>
      <c r="AJ107" s="136"/>
    </row>
    <row r="108" spans="1:36" x14ac:dyDescent="0.25">
      <c r="A108" s="137"/>
      <c r="B108" s="2">
        <f t="shared" si="21"/>
        <v>0</v>
      </c>
      <c r="C108" s="126">
        <f t="shared" ca="1" si="22"/>
        <v>0</v>
      </c>
      <c r="D108" s="127"/>
      <c r="E108" s="13">
        <f t="shared" ca="1" si="23"/>
        <v>0</v>
      </c>
      <c r="F108" s="2">
        <f t="shared" si="24"/>
        <v>0</v>
      </c>
      <c r="G108" s="126">
        <f t="shared" ca="1" si="25"/>
        <v>0</v>
      </c>
      <c r="H108" s="127"/>
      <c r="I108" s="12">
        <f t="shared" ca="1" si="26"/>
        <v>0</v>
      </c>
      <c r="J108" s="2" t="str">
        <f t="shared" si="27"/>
        <v>Plancha paracaídas</v>
      </c>
      <c r="K108" s="126">
        <f t="shared" ca="1" si="28"/>
        <v>0</v>
      </c>
      <c r="L108" s="127"/>
      <c r="M108" s="12">
        <f t="shared" ca="1" si="29"/>
        <v>0</v>
      </c>
      <c r="N108" s="2">
        <f t="shared" si="30"/>
        <v>0</v>
      </c>
      <c r="O108" s="126">
        <f t="shared" ca="1" si="31"/>
        <v>0</v>
      </c>
      <c r="P108" s="127"/>
      <c r="Q108" s="12">
        <f t="shared" ca="1" si="32"/>
        <v>0</v>
      </c>
      <c r="R108" s="2">
        <f t="shared" si="33"/>
        <v>0</v>
      </c>
      <c r="S108" s="126">
        <f t="shared" ca="1" si="34"/>
        <v>0</v>
      </c>
      <c r="T108" s="127"/>
      <c r="U108" s="13">
        <f t="shared" ca="1" si="35"/>
        <v>0</v>
      </c>
      <c r="V108" s="2">
        <f t="shared" si="36"/>
        <v>0</v>
      </c>
      <c r="W108" s="126">
        <f t="shared" ca="1" si="37"/>
        <v>0</v>
      </c>
      <c r="X108" s="127"/>
      <c r="Y108" s="12">
        <f t="shared" ca="1" si="38"/>
        <v>0</v>
      </c>
      <c r="Z108" s="2">
        <f t="shared" si="39"/>
        <v>0</v>
      </c>
      <c r="AA108" s="126">
        <f t="shared" ca="1" si="40"/>
        <v>0</v>
      </c>
      <c r="AB108" s="127"/>
      <c r="AC108" s="12">
        <f t="shared" ca="1" si="41"/>
        <v>0</v>
      </c>
      <c r="AD108" s="144"/>
      <c r="AE108" s="145"/>
      <c r="AF108" s="145"/>
      <c r="AG108" s="146"/>
      <c r="AH108" s="113"/>
      <c r="AI108" s="136"/>
      <c r="AJ108" s="136"/>
    </row>
    <row r="109" spans="1:36" x14ac:dyDescent="0.25">
      <c r="A109" s="137"/>
      <c r="B109" s="2">
        <f t="shared" si="21"/>
        <v>0</v>
      </c>
      <c r="C109" s="126">
        <f t="shared" ca="1" si="22"/>
        <v>0</v>
      </c>
      <c r="D109" s="127"/>
      <c r="E109" s="13">
        <f t="shared" ca="1" si="23"/>
        <v>0</v>
      </c>
      <c r="F109" s="2">
        <f t="shared" si="24"/>
        <v>0</v>
      </c>
      <c r="G109" s="126">
        <f t="shared" ca="1" si="25"/>
        <v>0</v>
      </c>
      <c r="H109" s="127"/>
      <c r="I109" s="12">
        <f t="shared" ca="1" si="26"/>
        <v>0</v>
      </c>
      <c r="J109" s="2">
        <f t="shared" si="27"/>
        <v>0</v>
      </c>
      <c r="K109" s="126">
        <f t="shared" ca="1" si="28"/>
        <v>0</v>
      </c>
      <c r="L109" s="127"/>
      <c r="M109" s="12">
        <f t="shared" ca="1" si="29"/>
        <v>0</v>
      </c>
      <c r="N109" s="2">
        <f t="shared" si="30"/>
        <v>0</v>
      </c>
      <c r="O109" s="126">
        <f t="shared" ca="1" si="31"/>
        <v>0</v>
      </c>
      <c r="P109" s="127"/>
      <c r="Q109" s="12">
        <f t="shared" ca="1" si="32"/>
        <v>0</v>
      </c>
      <c r="R109" s="2" t="str">
        <f t="shared" si="33"/>
        <v>Press hombro mancuerna sentado</v>
      </c>
      <c r="S109" s="126">
        <f t="shared" ca="1" si="34"/>
        <v>0</v>
      </c>
      <c r="T109" s="127"/>
      <c r="U109" s="13">
        <f t="shared" ca="1" si="35"/>
        <v>0</v>
      </c>
      <c r="V109" s="2">
        <f t="shared" si="36"/>
        <v>0</v>
      </c>
      <c r="W109" s="126">
        <f t="shared" ca="1" si="37"/>
        <v>0</v>
      </c>
      <c r="X109" s="127"/>
      <c r="Y109" s="12">
        <f t="shared" ca="1" si="38"/>
        <v>0</v>
      </c>
      <c r="Z109" s="2" t="str">
        <f>Z35</f>
        <v>Otis-up</v>
      </c>
      <c r="AA109" s="126">
        <f ca="1">IF(TODAY()=$A$79,AA35*AB35*AC35,AA109)</f>
        <v>0</v>
      </c>
      <c r="AB109" s="127"/>
      <c r="AC109" s="12">
        <f ca="1">IF(TODAY()=$A$79,AC35,AC109)</f>
        <v>0</v>
      </c>
      <c r="AD109" s="144"/>
      <c r="AE109" s="145"/>
      <c r="AF109" s="145"/>
      <c r="AG109" s="146"/>
      <c r="AH109" s="113"/>
      <c r="AI109" s="136"/>
      <c r="AJ109" s="136"/>
    </row>
    <row r="110" spans="1:36" x14ac:dyDescent="0.25">
      <c r="A110" s="137"/>
      <c r="B110" s="2">
        <f t="shared" si="21"/>
        <v>0</v>
      </c>
      <c r="C110" s="126">
        <f t="shared" ca="1" si="22"/>
        <v>0</v>
      </c>
      <c r="D110" s="127"/>
      <c r="E110" s="13">
        <f t="shared" ca="1" si="23"/>
        <v>0</v>
      </c>
      <c r="F110" s="2">
        <f t="shared" si="24"/>
        <v>0</v>
      </c>
      <c r="G110" s="126">
        <f t="shared" ca="1" si="25"/>
        <v>0</v>
      </c>
      <c r="H110" s="127"/>
      <c r="I110" s="12">
        <f t="shared" ca="1" si="26"/>
        <v>0</v>
      </c>
      <c r="J110" s="2">
        <f t="shared" si="27"/>
        <v>0</v>
      </c>
      <c r="K110" s="126">
        <f t="shared" ca="1" si="28"/>
        <v>0</v>
      </c>
      <c r="L110" s="127"/>
      <c r="M110" s="12">
        <f t="shared" ca="1" si="29"/>
        <v>0</v>
      </c>
      <c r="N110" s="2">
        <f t="shared" si="30"/>
        <v>0</v>
      </c>
      <c r="O110" s="126">
        <f t="shared" ca="1" si="31"/>
        <v>0</v>
      </c>
      <c r="P110" s="127"/>
      <c r="Q110" s="12">
        <f t="shared" ca="1" si="32"/>
        <v>0</v>
      </c>
      <c r="R110" s="2" t="str">
        <f t="shared" si="33"/>
        <v>Elevaciones laterales mancuerna banco inclinado</v>
      </c>
      <c r="S110" s="126">
        <f t="shared" ca="1" si="34"/>
        <v>0</v>
      </c>
      <c r="T110" s="127"/>
      <c r="U110" s="13">
        <f t="shared" ca="1" si="35"/>
        <v>0</v>
      </c>
      <c r="V110" s="2">
        <f t="shared" si="36"/>
        <v>0</v>
      </c>
      <c r="W110" s="126">
        <f t="shared" ca="1" si="37"/>
        <v>0</v>
      </c>
      <c r="X110" s="127"/>
      <c r="Y110" s="12">
        <f t="shared" ca="1" si="38"/>
        <v>0</v>
      </c>
      <c r="Z110" s="2" t="str">
        <f>Z36</f>
        <v>V-ups</v>
      </c>
      <c r="AA110" s="126">
        <f ca="1">IF(TODAY()=$A$79,AA36*AB36*AC36,AA110)</f>
        <v>0</v>
      </c>
      <c r="AB110" s="127"/>
      <c r="AC110" s="12">
        <f ca="1">IF(TODAY()=$A$79,AC36,AC110)</f>
        <v>0</v>
      </c>
      <c r="AD110" s="144"/>
      <c r="AE110" s="145"/>
      <c r="AF110" s="145"/>
      <c r="AG110" s="146"/>
      <c r="AH110" s="113"/>
      <c r="AI110" s="136"/>
      <c r="AJ110" s="136"/>
    </row>
    <row r="111" spans="1:36" x14ac:dyDescent="0.25">
      <c r="A111" s="137"/>
      <c r="B111" s="2">
        <f t="shared" si="21"/>
        <v>0</v>
      </c>
      <c r="C111" s="126">
        <f t="shared" ca="1" si="22"/>
        <v>0</v>
      </c>
      <c r="D111" s="127"/>
      <c r="E111" s="13">
        <f t="shared" ca="1" si="23"/>
        <v>0</v>
      </c>
      <c r="F111" s="2">
        <f t="shared" si="24"/>
        <v>0</v>
      </c>
      <c r="G111" s="126">
        <f t="shared" ca="1" si="25"/>
        <v>0</v>
      </c>
      <c r="H111" s="127"/>
      <c r="I111" s="12">
        <f t="shared" ca="1" si="26"/>
        <v>0</v>
      </c>
      <c r="J111" s="2">
        <f t="shared" si="27"/>
        <v>0</v>
      </c>
      <c r="K111" s="126">
        <f t="shared" ca="1" si="28"/>
        <v>0</v>
      </c>
      <c r="L111" s="127"/>
      <c r="M111" s="12">
        <f t="shared" ca="1" si="29"/>
        <v>0</v>
      </c>
      <c r="N111" s="2">
        <f t="shared" si="30"/>
        <v>0</v>
      </c>
      <c r="O111" s="126">
        <f t="shared" ca="1" si="31"/>
        <v>0</v>
      </c>
      <c r="P111" s="127"/>
      <c r="Q111" s="12">
        <f t="shared" ca="1" si="32"/>
        <v>0</v>
      </c>
      <c r="R111" s="2" t="str">
        <f t="shared" si="33"/>
        <v>Elevaciones frontales barra banco inclinado</v>
      </c>
      <c r="S111" s="126">
        <f t="shared" ca="1" si="34"/>
        <v>0</v>
      </c>
      <c r="T111" s="127"/>
      <c r="U111" s="13">
        <f t="shared" ca="1" si="35"/>
        <v>0</v>
      </c>
      <c r="V111" s="2">
        <f t="shared" si="36"/>
        <v>0</v>
      </c>
      <c r="W111" s="126">
        <f t="shared" ca="1" si="37"/>
        <v>0</v>
      </c>
      <c r="X111" s="127"/>
      <c r="Y111" s="12">
        <f t="shared" ca="1" si="38"/>
        <v>0</v>
      </c>
      <c r="Z111" s="2" t="str">
        <f>Z37</f>
        <v>Butt-ups</v>
      </c>
      <c r="AA111" s="126">
        <f ca="1">IF(TODAY()=$A$79,AA37*AB37*AC37,AA111)</f>
        <v>0</v>
      </c>
      <c r="AB111" s="127"/>
      <c r="AC111" s="12">
        <f ca="1">IF(TODAY()=$A$79,AC37,AC111)</f>
        <v>0</v>
      </c>
      <c r="AD111" s="144"/>
      <c r="AE111" s="145"/>
      <c r="AF111" s="145"/>
      <c r="AG111" s="146"/>
      <c r="AH111" s="113"/>
      <c r="AI111" s="136"/>
      <c r="AJ111" s="136"/>
    </row>
    <row r="112" spans="1:36" x14ac:dyDescent="0.25">
      <c r="A112" s="137"/>
      <c r="B112" s="2">
        <f t="shared" si="21"/>
        <v>0</v>
      </c>
      <c r="C112" s="126">
        <f t="shared" ca="1" si="22"/>
        <v>0</v>
      </c>
      <c r="D112" s="127"/>
      <c r="E112" s="13">
        <f t="shared" ca="1" si="23"/>
        <v>0</v>
      </c>
      <c r="F112" s="2">
        <f t="shared" si="24"/>
        <v>0</v>
      </c>
      <c r="G112" s="126">
        <f t="shared" ca="1" si="25"/>
        <v>0</v>
      </c>
      <c r="H112" s="127"/>
      <c r="I112" s="12">
        <f t="shared" ca="1" si="26"/>
        <v>0</v>
      </c>
      <c r="J112" s="2">
        <f t="shared" si="27"/>
        <v>0</v>
      </c>
      <c r="K112" s="126">
        <f t="shared" ca="1" si="28"/>
        <v>0</v>
      </c>
      <c r="L112" s="127"/>
      <c r="M112" s="12">
        <f t="shared" ca="1" si="29"/>
        <v>0</v>
      </c>
      <c r="N112" s="2">
        <f t="shared" si="30"/>
        <v>0</v>
      </c>
      <c r="O112" s="126">
        <f t="shared" ca="1" si="31"/>
        <v>0</v>
      </c>
      <c r="P112" s="127"/>
      <c r="Q112" s="12">
        <f t="shared" ca="1" si="32"/>
        <v>0</v>
      </c>
      <c r="R112" s="2" t="str">
        <f t="shared" si="33"/>
        <v>Press arnold</v>
      </c>
      <c r="S112" s="126">
        <f t="shared" ca="1" si="34"/>
        <v>0</v>
      </c>
      <c r="T112" s="127"/>
      <c r="U112" s="13">
        <f t="shared" ca="1" si="35"/>
        <v>0</v>
      </c>
      <c r="V112" s="2">
        <f t="shared" si="36"/>
        <v>0</v>
      </c>
      <c r="W112" s="126">
        <f t="shared" ca="1" si="37"/>
        <v>0</v>
      </c>
      <c r="X112" s="127"/>
      <c r="Y112" s="12">
        <f t="shared" ca="1" si="38"/>
        <v>0</v>
      </c>
      <c r="Z112" s="2" t="str">
        <f>Z38</f>
        <v>Full moon</v>
      </c>
      <c r="AA112" s="126">
        <f ca="1">IF(TODAY()=$A$79,AA38*AB38*AC38,AA112)</f>
        <v>0</v>
      </c>
      <c r="AB112" s="127"/>
      <c r="AC112" s="12">
        <f ca="1">IF(TODAY()=$A$79,AC38,AC112)</f>
        <v>0</v>
      </c>
      <c r="AD112" s="144"/>
      <c r="AE112" s="145"/>
      <c r="AF112" s="145"/>
      <c r="AG112" s="146"/>
      <c r="AH112" s="113"/>
      <c r="AI112" s="136"/>
      <c r="AJ112" s="136"/>
    </row>
    <row r="113" spans="1:36" x14ac:dyDescent="0.25">
      <c r="A113" s="138"/>
      <c r="B113" s="2">
        <f t="shared" si="21"/>
        <v>0</v>
      </c>
      <c r="C113" s="126">
        <f t="shared" ca="1" si="22"/>
        <v>0</v>
      </c>
      <c r="D113" s="127"/>
      <c r="E113" s="13">
        <f t="shared" ca="1" si="23"/>
        <v>0</v>
      </c>
      <c r="F113" s="2">
        <f t="shared" si="24"/>
        <v>0</v>
      </c>
      <c r="G113" s="126">
        <f t="shared" ca="1" si="25"/>
        <v>0</v>
      </c>
      <c r="H113" s="127"/>
      <c r="I113" s="12">
        <f t="shared" ca="1" si="26"/>
        <v>0</v>
      </c>
      <c r="J113" s="2">
        <f t="shared" si="27"/>
        <v>0</v>
      </c>
      <c r="K113" s="126">
        <f t="shared" ca="1" si="28"/>
        <v>0</v>
      </c>
      <c r="L113" s="127"/>
      <c r="M113" s="12">
        <f t="shared" ca="1" si="29"/>
        <v>0</v>
      </c>
      <c r="N113" s="2">
        <f t="shared" si="30"/>
        <v>0</v>
      </c>
      <c r="O113" s="126">
        <f t="shared" ca="1" si="31"/>
        <v>0</v>
      </c>
      <c r="P113" s="127"/>
      <c r="Q113" s="12">
        <f t="shared" ca="1" si="32"/>
        <v>0</v>
      </c>
      <c r="R113" s="2">
        <f t="shared" si="33"/>
        <v>0</v>
      </c>
      <c r="S113" s="126">
        <f t="shared" ca="1" si="34"/>
        <v>0</v>
      </c>
      <c r="T113" s="127"/>
      <c r="U113" s="13">
        <f t="shared" ca="1" si="35"/>
        <v>0</v>
      </c>
      <c r="V113" s="2">
        <f t="shared" si="36"/>
        <v>0</v>
      </c>
      <c r="W113" s="126">
        <f t="shared" ca="1" si="37"/>
        <v>0</v>
      </c>
      <c r="X113" s="127"/>
      <c r="Y113" s="12">
        <f t="shared" ca="1" si="38"/>
        <v>0</v>
      </c>
      <c r="Z113" s="2" t="str">
        <f>Z39</f>
        <v>Plancha</v>
      </c>
      <c r="AA113" s="126">
        <f ca="1">IF(TODAY()=$A$79,AA39*AB39*AC39,AA113)</f>
        <v>0</v>
      </c>
      <c r="AB113" s="127"/>
      <c r="AC113" s="12">
        <f ca="1">IF(TODAY()=$A$79,AC39,AC113)</f>
        <v>0</v>
      </c>
      <c r="AD113" s="147"/>
      <c r="AE113" s="148"/>
      <c r="AF113" s="148"/>
      <c r="AG113" s="149"/>
      <c r="AH113" s="113"/>
      <c r="AI113" s="136"/>
      <c r="AJ113" s="136"/>
    </row>
    <row r="114" spans="1:36" x14ac:dyDescent="0.25">
      <c r="A114" s="137">
        <v>44604</v>
      </c>
      <c r="B114" s="2" t="str">
        <f t="shared" ref="B114:B148" si="42">B5</f>
        <v>Press plano</v>
      </c>
      <c r="C114" s="128">
        <f t="shared" ref="C114:C148" ca="1" si="43">IF(TODAY()=$A$114,C5*D5*E5,C114)</f>
        <v>0</v>
      </c>
      <c r="D114" s="128"/>
      <c r="E114" s="13">
        <f t="shared" ref="E114:E148" ca="1" si="44">IF(TODAY()=$A$114,E5,E114)</f>
        <v>0</v>
      </c>
      <c r="F114" s="2" t="str">
        <f t="shared" ref="F114:F148" si="45">F5</f>
        <v>Body ups</v>
      </c>
      <c r="G114" s="126">
        <f t="shared" ref="G114:G148" ca="1" si="46">IF(TODAY()=$A$114,G5*H5*I5,G114)</f>
        <v>0</v>
      </c>
      <c r="H114" s="127"/>
      <c r="I114" s="12">
        <f t="shared" ref="I114:I148" ca="1" si="47">IF(TODAY()=$A$114,I5,I114)</f>
        <v>0</v>
      </c>
      <c r="J114" s="2">
        <f t="shared" ref="J114:J148" si="48">J5</f>
        <v>0</v>
      </c>
      <c r="K114" s="126">
        <f t="shared" ref="K114:K148" ca="1" si="49">IF(TODAY()=$A$114,K5*L5*M5,K114)</f>
        <v>0</v>
      </c>
      <c r="L114" s="127"/>
      <c r="M114" s="12">
        <f t="shared" ref="M114:M148" ca="1" si="50">IF(TODAY()=$A$114,M5,M114)</f>
        <v>0</v>
      </c>
      <c r="N114" s="2">
        <f t="shared" ref="N114:N148" si="51">N5</f>
        <v>0</v>
      </c>
      <c r="O114" s="126">
        <f t="shared" ref="O114:O148" ca="1" si="52">IF(TODAY()=$A$114,O5*P5*Q5,O114)</f>
        <v>0</v>
      </c>
      <c r="P114" s="127"/>
      <c r="Q114" s="12"/>
      <c r="R114" s="2">
        <f t="shared" ref="R114:R148" si="53">R5</f>
        <v>0</v>
      </c>
      <c r="S114" s="126">
        <f t="shared" ref="S114:S148" ca="1" si="54">IF(TODAY()=$A$114,S5*T5*U5,S114)</f>
        <v>0</v>
      </c>
      <c r="T114" s="127"/>
      <c r="U114" s="13">
        <f t="shared" ref="U114:U148" ca="1" si="55">IF(TODAY()=$A$114,U5,U114)</f>
        <v>0</v>
      </c>
      <c r="V114" s="2">
        <f t="shared" ref="V114:V148" si="56">V5</f>
        <v>0</v>
      </c>
      <c r="W114" s="126">
        <f t="shared" ref="W114:W148" ca="1" si="57">IF(TODAY()=$A$114,W5*X5*Y5,W114)</f>
        <v>0</v>
      </c>
      <c r="X114" s="127"/>
      <c r="Y114" s="12">
        <f t="shared" ref="Y114:Y148" ca="1" si="58">IF(TODAY()=$A$114,Y5,Y114)</f>
        <v>0</v>
      </c>
      <c r="Z114" s="2">
        <f t="shared" ref="Z114:Z143" si="59">Z5</f>
        <v>0</v>
      </c>
      <c r="AA114" s="126">
        <f t="shared" ref="AA114:AA143" ca="1" si="60">IF(TODAY()=$A$114,AA5*AB5*AC5,AA114)</f>
        <v>0</v>
      </c>
      <c r="AB114" s="127"/>
      <c r="AC114" s="12">
        <f t="shared" ref="AC114:AC143" ca="1" si="61">IF(TODAY()=$A$114,AC5,AC114)</f>
        <v>0</v>
      </c>
      <c r="AD114" s="139">
        <f ca="1">SUM(C114:E148,G114:I148,K114:M148,O114:Q148,S114:U148,W114:Y148,AA114:AC148)</f>
        <v>0</v>
      </c>
      <c r="AE114" s="139"/>
      <c r="AF114" s="139"/>
      <c r="AG114" s="139"/>
      <c r="AH114" s="112" t="e">
        <f t="shared" ref="AH114" ca="1" si="62">(AD114-AD79)/AD79</f>
        <v>#DIV/0!</v>
      </c>
      <c r="AI114" s="135"/>
      <c r="AJ114" s="135"/>
    </row>
    <row r="115" spans="1:36" x14ac:dyDescent="0.25">
      <c r="A115" s="137"/>
      <c r="B115" s="2" t="str">
        <f t="shared" si="42"/>
        <v>Press plano mancuerna trifásico</v>
      </c>
      <c r="C115" s="126">
        <f t="shared" ca="1" si="43"/>
        <v>0</v>
      </c>
      <c r="D115" s="127"/>
      <c r="E115" s="13">
        <f t="shared" ca="1" si="44"/>
        <v>0</v>
      </c>
      <c r="F115" s="2" t="str">
        <f t="shared" si="45"/>
        <v>Fondos tríceps paralelas</v>
      </c>
      <c r="G115" s="126">
        <f t="shared" ca="1" si="46"/>
        <v>0</v>
      </c>
      <c r="H115" s="127"/>
      <c r="I115" s="12">
        <f t="shared" ca="1" si="47"/>
        <v>0</v>
      </c>
      <c r="J115" s="2">
        <f t="shared" si="48"/>
        <v>0</v>
      </c>
      <c r="K115" s="126">
        <f t="shared" ca="1" si="49"/>
        <v>0</v>
      </c>
      <c r="L115" s="127"/>
      <c r="M115" s="12">
        <f t="shared" ca="1" si="50"/>
        <v>0</v>
      </c>
      <c r="N115" s="2">
        <f t="shared" si="51"/>
        <v>0</v>
      </c>
      <c r="O115" s="126">
        <f t="shared" ca="1" si="52"/>
        <v>0</v>
      </c>
      <c r="P115" s="127"/>
      <c r="Q115" s="12"/>
      <c r="R115" s="2">
        <f t="shared" si="53"/>
        <v>0</v>
      </c>
      <c r="S115" s="126">
        <f t="shared" ca="1" si="54"/>
        <v>0</v>
      </c>
      <c r="T115" s="127"/>
      <c r="U115" s="13">
        <f t="shared" ca="1" si="55"/>
        <v>0</v>
      </c>
      <c r="V115" s="2">
        <f t="shared" si="56"/>
        <v>0</v>
      </c>
      <c r="W115" s="126">
        <f t="shared" ca="1" si="57"/>
        <v>0</v>
      </c>
      <c r="X115" s="127"/>
      <c r="Y115" s="12">
        <f t="shared" ca="1" si="58"/>
        <v>0</v>
      </c>
      <c r="Z115" s="2">
        <f t="shared" si="59"/>
        <v>0</v>
      </c>
      <c r="AA115" s="126">
        <f t="shared" ca="1" si="60"/>
        <v>0</v>
      </c>
      <c r="AB115" s="127"/>
      <c r="AC115" s="12">
        <f t="shared" ca="1" si="61"/>
        <v>0</v>
      </c>
      <c r="AD115" s="140"/>
      <c r="AE115" s="140"/>
      <c r="AF115" s="140"/>
      <c r="AG115" s="140"/>
      <c r="AH115" s="113"/>
      <c r="AI115" s="136"/>
      <c r="AJ115" s="136"/>
    </row>
    <row r="116" spans="1:36" x14ac:dyDescent="0.25">
      <c r="A116" s="137"/>
      <c r="B116" s="2" t="str">
        <f t="shared" si="42"/>
        <v>Press inclinado mancuerna</v>
      </c>
      <c r="C116" s="126">
        <f t="shared" ca="1" si="43"/>
        <v>0</v>
      </c>
      <c r="D116" s="127"/>
      <c r="E116" s="13">
        <f t="shared" ca="1" si="44"/>
        <v>0</v>
      </c>
      <c r="F116" s="2" t="str">
        <f t="shared" si="45"/>
        <v>Fondos máquina</v>
      </c>
      <c r="G116" s="126">
        <f t="shared" ca="1" si="46"/>
        <v>0</v>
      </c>
      <c r="H116" s="127"/>
      <c r="I116" s="12">
        <f t="shared" ca="1" si="47"/>
        <v>0</v>
      </c>
      <c r="J116" s="2">
        <f t="shared" si="48"/>
        <v>0</v>
      </c>
      <c r="K116" s="126">
        <f t="shared" ca="1" si="49"/>
        <v>0</v>
      </c>
      <c r="L116" s="127"/>
      <c r="M116" s="12">
        <f t="shared" ca="1" si="50"/>
        <v>0</v>
      </c>
      <c r="N116" s="2">
        <f t="shared" si="51"/>
        <v>0</v>
      </c>
      <c r="O116" s="126">
        <f t="shared" ca="1" si="52"/>
        <v>0</v>
      </c>
      <c r="P116" s="127"/>
      <c r="Q116" s="12"/>
      <c r="R116" s="2">
        <f t="shared" si="53"/>
        <v>0</v>
      </c>
      <c r="S116" s="126">
        <f t="shared" ca="1" si="54"/>
        <v>0</v>
      </c>
      <c r="T116" s="127"/>
      <c r="U116" s="13">
        <f t="shared" ca="1" si="55"/>
        <v>0</v>
      </c>
      <c r="V116" s="2">
        <f t="shared" si="56"/>
        <v>0</v>
      </c>
      <c r="W116" s="126">
        <f t="shared" ca="1" si="57"/>
        <v>0</v>
      </c>
      <c r="X116" s="127"/>
      <c r="Y116" s="12">
        <f t="shared" ca="1" si="58"/>
        <v>0</v>
      </c>
      <c r="Z116" s="2">
        <f t="shared" si="59"/>
        <v>0</v>
      </c>
      <c r="AA116" s="126">
        <f t="shared" ca="1" si="60"/>
        <v>0</v>
      </c>
      <c r="AB116" s="127"/>
      <c r="AC116" s="12">
        <f t="shared" ca="1" si="61"/>
        <v>0</v>
      </c>
      <c r="AD116" s="140"/>
      <c r="AE116" s="140"/>
      <c r="AF116" s="140"/>
      <c r="AG116" s="140"/>
      <c r="AH116" s="113"/>
      <c r="AI116" s="136"/>
      <c r="AJ116" s="136"/>
    </row>
    <row r="117" spans="1:36" x14ac:dyDescent="0.25">
      <c r="A117" s="137"/>
      <c r="B117" s="2" t="str">
        <f t="shared" si="42"/>
        <v>Vuelos máquina</v>
      </c>
      <c r="C117" s="126">
        <f t="shared" ca="1" si="43"/>
        <v>0</v>
      </c>
      <c r="D117" s="127"/>
      <c r="E117" s="13">
        <f t="shared" ca="1" si="44"/>
        <v>0</v>
      </c>
      <c r="F117" s="2" t="str">
        <f t="shared" si="45"/>
        <v>Extensión tríceps polea</v>
      </c>
      <c r="G117" s="126">
        <f t="shared" ca="1" si="46"/>
        <v>0</v>
      </c>
      <c r="H117" s="127"/>
      <c r="I117" s="12">
        <f t="shared" ca="1" si="47"/>
        <v>0</v>
      </c>
      <c r="J117" s="2">
        <f t="shared" si="48"/>
        <v>0</v>
      </c>
      <c r="K117" s="126">
        <f t="shared" ca="1" si="49"/>
        <v>0</v>
      </c>
      <c r="L117" s="127"/>
      <c r="M117" s="12">
        <f t="shared" ca="1" si="50"/>
        <v>0</v>
      </c>
      <c r="N117" s="2">
        <f t="shared" si="51"/>
        <v>0</v>
      </c>
      <c r="O117" s="126">
        <f t="shared" ca="1" si="52"/>
        <v>0</v>
      </c>
      <c r="P117" s="127"/>
      <c r="Q117" s="12"/>
      <c r="R117" s="2">
        <f t="shared" si="53"/>
        <v>0</v>
      </c>
      <c r="S117" s="126">
        <f t="shared" ca="1" si="54"/>
        <v>0</v>
      </c>
      <c r="T117" s="127"/>
      <c r="U117" s="13">
        <f t="shared" ca="1" si="55"/>
        <v>0</v>
      </c>
      <c r="V117" s="2">
        <f t="shared" si="56"/>
        <v>0</v>
      </c>
      <c r="W117" s="126">
        <f t="shared" ca="1" si="57"/>
        <v>0</v>
      </c>
      <c r="X117" s="127"/>
      <c r="Y117" s="12">
        <f t="shared" ca="1" si="58"/>
        <v>0</v>
      </c>
      <c r="Z117" s="2">
        <f t="shared" si="59"/>
        <v>0</v>
      </c>
      <c r="AA117" s="126">
        <f t="shared" ca="1" si="60"/>
        <v>0</v>
      </c>
      <c r="AB117" s="127"/>
      <c r="AC117" s="12">
        <f t="shared" ca="1" si="61"/>
        <v>0</v>
      </c>
      <c r="AD117" s="140"/>
      <c r="AE117" s="140"/>
      <c r="AF117" s="140"/>
      <c r="AG117" s="140"/>
      <c r="AH117" s="113"/>
      <c r="AI117" s="136"/>
      <c r="AJ117" s="136"/>
    </row>
    <row r="118" spans="1:36" x14ac:dyDescent="0.25">
      <c r="A118" s="137"/>
      <c r="B118" s="2" t="str">
        <f t="shared" si="42"/>
        <v>Pullover pecho mancuerna</v>
      </c>
      <c r="C118" s="126">
        <f t="shared" ca="1" si="43"/>
        <v>0</v>
      </c>
      <c r="D118" s="127"/>
      <c r="E118" s="13">
        <f t="shared" ca="1" si="44"/>
        <v>0</v>
      </c>
      <c r="F118" s="2">
        <f t="shared" si="45"/>
        <v>0</v>
      </c>
      <c r="G118" s="126">
        <f t="shared" ca="1" si="46"/>
        <v>0</v>
      </c>
      <c r="H118" s="127"/>
      <c r="I118" s="12">
        <f t="shared" ca="1" si="47"/>
        <v>0</v>
      </c>
      <c r="J118" s="2">
        <f t="shared" si="48"/>
        <v>0</v>
      </c>
      <c r="K118" s="126">
        <f t="shared" ca="1" si="49"/>
        <v>0</v>
      </c>
      <c r="L118" s="127"/>
      <c r="M118" s="12">
        <f t="shared" ca="1" si="50"/>
        <v>0</v>
      </c>
      <c r="N118" s="2">
        <f t="shared" si="51"/>
        <v>0</v>
      </c>
      <c r="O118" s="126">
        <f t="shared" ca="1" si="52"/>
        <v>0</v>
      </c>
      <c r="P118" s="127"/>
      <c r="Q118" s="12"/>
      <c r="R118" s="2">
        <f t="shared" si="53"/>
        <v>0</v>
      </c>
      <c r="S118" s="126">
        <f t="shared" ca="1" si="54"/>
        <v>0</v>
      </c>
      <c r="T118" s="127"/>
      <c r="U118" s="13">
        <f t="shared" ca="1" si="55"/>
        <v>0</v>
      </c>
      <c r="V118" s="2">
        <f t="shared" si="56"/>
        <v>0</v>
      </c>
      <c r="W118" s="126">
        <f t="shared" ca="1" si="57"/>
        <v>0</v>
      </c>
      <c r="X118" s="127"/>
      <c r="Y118" s="12">
        <f t="shared" ca="1" si="58"/>
        <v>0</v>
      </c>
      <c r="Z118" s="2">
        <f t="shared" si="59"/>
        <v>0</v>
      </c>
      <c r="AA118" s="126">
        <f t="shared" ca="1" si="60"/>
        <v>0</v>
      </c>
      <c r="AB118" s="127"/>
      <c r="AC118" s="12">
        <f t="shared" ca="1" si="61"/>
        <v>0</v>
      </c>
      <c r="AD118" s="140"/>
      <c r="AE118" s="140"/>
      <c r="AF118" s="140"/>
      <c r="AG118" s="140"/>
      <c r="AH118" s="113"/>
      <c r="AI118" s="136"/>
      <c r="AJ118" s="136"/>
    </row>
    <row r="119" spans="1:36" x14ac:dyDescent="0.25">
      <c r="A119" s="137"/>
      <c r="B119" s="2">
        <f t="shared" si="42"/>
        <v>0</v>
      </c>
      <c r="C119" s="126">
        <f t="shared" ca="1" si="43"/>
        <v>0</v>
      </c>
      <c r="D119" s="127"/>
      <c r="E119" s="13">
        <f t="shared" ca="1" si="44"/>
        <v>0</v>
      </c>
      <c r="F119" s="2">
        <f t="shared" si="45"/>
        <v>0</v>
      </c>
      <c r="G119" s="126">
        <f t="shared" ca="1" si="46"/>
        <v>0</v>
      </c>
      <c r="H119" s="127"/>
      <c r="I119" s="12">
        <f t="shared" ca="1" si="47"/>
        <v>0</v>
      </c>
      <c r="J119" s="2" t="str">
        <f t="shared" si="48"/>
        <v>Pullups</v>
      </c>
      <c r="K119" s="126">
        <f t="shared" ca="1" si="49"/>
        <v>0</v>
      </c>
      <c r="L119" s="127"/>
      <c r="M119" s="12">
        <f t="shared" ca="1" si="50"/>
        <v>0</v>
      </c>
      <c r="N119" s="2" t="str">
        <f t="shared" si="51"/>
        <v>Curl spider</v>
      </c>
      <c r="O119" s="126">
        <f t="shared" ca="1" si="52"/>
        <v>0</v>
      </c>
      <c r="P119" s="127"/>
      <c r="Q119" s="12"/>
      <c r="R119" s="2">
        <f t="shared" si="53"/>
        <v>0</v>
      </c>
      <c r="S119" s="126">
        <f t="shared" ca="1" si="54"/>
        <v>0</v>
      </c>
      <c r="T119" s="127"/>
      <c r="U119" s="13">
        <f t="shared" ca="1" si="55"/>
        <v>0</v>
      </c>
      <c r="V119" s="2">
        <f t="shared" si="56"/>
        <v>0</v>
      </c>
      <c r="W119" s="126">
        <f t="shared" ca="1" si="57"/>
        <v>0</v>
      </c>
      <c r="X119" s="127"/>
      <c r="Y119" s="12">
        <f t="shared" ca="1" si="58"/>
        <v>0</v>
      </c>
      <c r="Z119" s="2">
        <f t="shared" si="59"/>
        <v>0</v>
      </c>
      <c r="AA119" s="126">
        <f t="shared" ca="1" si="60"/>
        <v>0</v>
      </c>
      <c r="AB119" s="127"/>
      <c r="AC119" s="12">
        <f t="shared" ca="1" si="61"/>
        <v>0</v>
      </c>
      <c r="AD119" s="140"/>
      <c r="AE119" s="140"/>
      <c r="AF119" s="140"/>
      <c r="AG119" s="140"/>
      <c r="AH119" s="113"/>
      <c r="AI119" s="136"/>
      <c r="AJ119" s="136"/>
    </row>
    <row r="120" spans="1:36" x14ac:dyDescent="0.25">
      <c r="A120" s="137"/>
      <c r="B120" s="2">
        <f t="shared" si="42"/>
        <v>0</v>
      </c>
      <c r="C120" s="126">
        <f t="shared" ca="1" si="43"/>
        <v>0</v>
      </c>
      <c r="D120" s="127"/>
      <c r="E120" s="13">
        <f t="shared" ca="1" si="44"/>
        <v>0</v>
      </c>
      <c r="F120" s="2">
        <f t="shared" si="45"/>
        <v>0</v>
      </c>
      <c r="G120" s="126">
        <f t="shared" ca="1" si="46"/>
        <v>0</v>
      </c>
      <c r="H120" s="127"/>
      <c r="I120" s="12">
        <f t="shared" ca="1" si="47"/>
        <v>0</v>
      </c>
      <c r="J120" s="2" t="str">
        <f t="shared" si="48"/>
        <v>Remo mancuerna banco inclinado</v>
      </c>
      <c r="K120" s="126">
        <f t="shared" ca="1" si="49"/>
        <v>0</v>
      </c>
      <c r="L120" s="127"/>
      <c r="M120" s="12">
        <f t="shared" ca="1" si="50"/>
        <v>0</v>
      </c>
      <c r="N120" s="2" t="str">
        <f t="shared" si="51"/>
        <v>Curl invertido barra z</v>
      </c>
      <c r="O120" s="126">
        <f t="shared" ca="1" si="52"/>
        <v>0</v>
      </c>
      <c r="P120" s="127"/>
      <c r="Q120" s="12"/>
      <c r="R120" s="2">
        <f t="shared" si="53"/>
        <v>0</v>
      </c>
      <c r="S120" s="126">
        <f t="shared" ca="1" si="54"/>
        <v>0</v>
      </c>
      <c r="T120" s="127"/>
      <c r="U120" s="13">
        <f t="shared" ca="1" si="55"/>
        <v>0</v>
      </c>
      <c r="V120" s="2">
        <f t="shared" si="56"/>
        <v>0</v>
      </c>
      <c r="W120" s="126">
        <f t="shared" ca="1" si="57"/>
        <v>0</v>
      </c>
      <c r="X120" s="127"/>
      <c r="Y120" s="12">
        <f t="shared" ca="1" si="58"/>
        <v>0</v>
      </c>
      <c r="Z120" s="2">
        <f t="shared" si="59"/>
        <v>0</v>
      </c>
      <c r="AA120" s="126">
        <f t="shared" ca="1" si="60"/>
        <v>0</v>
      </c>
      <c r="AB120" s="127"/>
      <c r="AC120" s="12">
        <f t="shared" ca="1" si="61"/>
        <v>0</v>
      </c>
      <c r="AD120" s="140"/>
      <c r="AE120" s="140"/>
      <c r="AF120" s="140"/>
      <c r="AG120" s="140"/>
      <c r="AH120" s="113"/>
      <c r="AI120" s="136"/>
      <c r="AJ120" s="136"/>
    </row>
    <row r="121" spans="1:36" x14ac:dyDescent="0.25">
      <c r="A121" s="137"/>
      <c r="B121" s="2">
        <f t="shared" si="42"/>
        <v>0</v>
      </c>
      <c r="C121" s="126">
        <f t="shared" ca="1" si="43"/>
        <v>0</v>
      </c>
      <c r="D121" s="127"/>
      <c r="E121" s="13">
        <f t="shared" ca="1" si="44"/>
        <v>0</v>
      </c>
      <c r="F121" s="2">
        <f t="shared" si="45"/>
        <v>0</v>
      </c>
      <c r="G121" s="126">
        <f t="shared" ca="1" si="46"/>
        <v>0</v>
      </c>
      <c r="H121" s="127"/>
      <c r="I121" s="12">
        <f t="shared" ca="1" si="47"/>
        <v>0</v>
      </c>
      <c r="J121" s="2" t="str">
        <f t="shared" si="48"/>
        <v>Pulldown polea sentado agarre en v</v>
      </c>
      <c r="K121" s="126">
        <f t="shared" ca="1" si="49"/>
        <v>0</v>
      </c>
      <c r="L121" s="127"/>
      <c r="M121" s="12">
        <f t="shared" ca="1" si="50"/>
        <v>0</v>
      </c>
      <c r="N121" s="2" t="str">
        <f t="shared" si="51"/>
        <v>Predicador barra</v>
      </c>
      <c r="O121" s="126">
        <f t="shared" ca="1" si="52"/>
        <v>0</v>
      </c>
      <c r="P121" s="127"/>
      <c r="Q121" s="12"/>
      <c r="R121" s="2">
        <f t="shared" si="53"/>
        <v>0</v>
      </c>
      <c r="S121" s="126">
        <f t="shared" ca="1" si="54"/>
        <v>0</v>
      </c>
      <c r="T121" s="127"/>
      <c r="U121" s="13">
        <f t="shared" ca="1" si="55"/>
        <v>0</v>
      </c>
      <c r="V121" s="2">
        <f t="shared" si="56"/>
        <v>0</v>
      </c>
      <c r="W121" s="126">
        <f t="shared" ca="1" si="57"/>
        <v>0</v>
      </c>
      <c r="X121" s="127"/>
      <c r="Y121" s="12">
        <f t="shared" ca="1" si="58"/>
        <v>0</v>
      </c>
      <c r="Z121" s="2">
        <f t="shared" si="59"/>
        <v>0</v>
      </c>
      <c r="AA121" s="126">
        <f t="shared" ca="1" si="60"/>
        <v>0</v>
      </c>
      <c r="AB121" s="127"/>
      <c r="AC121" s="12">
        <f t="shared" ca="1" si="61"/>
        <v>0</v>
      </c>
      <c r="AD121" s="140"/>
      <c r="AE121" s="140"/>
      <c r="AF121" s="140"/>
      <c r="AG121" s="140"/>
      <c r="AH121" s="113"/>
      <c r="AI121" s="136"/>
      <c r="AJ121" s="136"/>
    </row>
    <row r="122" spans="1:36" x14ac:dyDescent="0.25">
      <c r="A122" s="137"/>
      <c r="B122" s="2">
        <f t="shared" si="42"/>
        <v>0</v>
      </c>
      <c r="C122" s="126">
        <f t="shared" ca="1" si="43"/>
        <v>0</v>
      </c>
      <c r="D122" s="127"/>
      <c r="E122" s="13">
        <f t="shared" ca="1" si="44"/>
        <v>0</v>
      </c>
      <c r="F122" s="2">
        <f t="shared" si="45"/>
        <v>0</v>
      </c>
      <c r="G122" s="126">
        <f t="shared" ca="1" si="46"/>
        <v>0</v>
      </c>
      <c r="H122" s="127"/>
      <c r="I122" s="12">
        <f t="shared" ca="1" si="47"/>
        <v>0</v>
      </c>
      <c r="J122" s="2" t="str">
        <f t="shared" si="48"/>
        <v>Remo landmine</v>
      </c>
      <c r="K122" s="126">
        <f t="shared" ca="1" si="49"/>
        <v>0</v>
      </c>
      <c r="L122" s="127"/>
      <c r="M122" s="12">
        <f t="shared" ca="1" si="50"/>
        <v>0</v>
      </c>
      <c r="N122" s="2" t="str">
        <f t="shared" si="51"/>
        <v>Curl mancuerna sentado inclinado</v>
      </c>
      <c r="O122" s="126">
        <f t="shared" ca="1" si="52"/>
        <v>0</v>
      </c>
      <c r="P122" s="127"/>
      <c r="Q122" s="12"/>
      <c r="R122" s="2">
        <f t="shared" si="53"/>
        <v>0</v>
      </c>
      <c r="S122" s="126">
        <f t="shared" ca="1" si="54"/>
        <v>0</v>
      </c>
      <c r="T122" s="127"/>
      <c r="U122" s="13">
        <f t="shared" ca="1" si="55"/>
        <v>0</v>
      </c>
      <c r="V122" s="2">
        <f t="shared" si="56"/>
        <v>0</v>
      </c>
      <c r="W122" s="126">
        <f t="shared" ca="1" si="57"/>
        <v>0</v>
      </c>
      <c r="X122" s="127"/>
      <c r="Y122" s="12">
        <f t="shared" ca="1" si="58"/>
        <v>0</v>
      </c>
      <c r="Z122" s="2">
        <f t="shared" si="59"/>
        <v>0</v>
      </c>
      <c r="AA122" s="126">
        <f t="shared" ca="1" si="60"/>
        <v>0</v>
      </c>
      <c r="AB122" s="127"/>
      <c r="AC122" s="12">
        <f t="shared" ca="1" si="61"/>
        <v>0</v>
      </c>
      <c r="AD122" s="140"/>
      <c r="AE122" s="140"/>
      <c r="AF122" s="140"/>
      <c r="AG122" s="140"/>
      <c r="AH122" s="113"/>
      <c r="AI122" s="136"/>
      <c r="AJ122" s="136"/>
    </row>
    <row r="123" spans="1:36" x14ac:dyDescent="0.25">
      <c r="A123" s="137"/>
      <c r="B123" s="2">
        <f t="shared" si="42"/>
        <v>0</v>
      </c>
      <c r="C123" s="126">
        <f t="shared" ca="1" si="43"/>
        <v>0</v>
      </c>
      <c r="D123" s="127"/>
      <c r="E123" s="13">
        <f t="shared" ca="1" si="44"/>
        <v>0</v>
      </c>
      <c r="F123" s="2">
        <f t="shared" si="45"/>
        <v>0</v>
      </c>
      <c r="G123" s="126">
        <f t="shared" ca="1" si="46"/>
        <v>0</v>
      </c>
      <c r="H123" s="127"/>
      <c r="I123" s="12">
        <f t="shared" ca="1" si="47"/>
        <v>0</v>
      </c>
      <c r="J123" s="2" t="str">
        <f t="shared" si="48"/>
        <v>Plancha paracaídas</v>
      </c>
      <c r="K123" s="126">
        <f t="shared" ca="1" si="49"/>
        <v>0</v>
      </c>
      <c r="L123" s="127"/>
      <c r="M123" s="12">
        <f t="shared" ca="1" si="50"/>
        <v>0</v>
      </c>
      <c r="N123" s="2">
        <f t="shared" si="51"/>
        <v>0</v>
      </c>
      <c r="O123" s="126">
        <f t="shared" ca="1" si="52"/>
        <v>0</v>
      </c>
      <c r="P123" s="127"/>
      <c r="Q123" s="12"/>
      <c r="R123" s="2">
        <f t="shared" si="53"/>
        <v>0</v>
      </c>
      <c r="S123" s="126">
        <f t="shared" ca="1" si="54"/>
        <v>0</v>
      </c>
      <c r="T123" s="127"/>
      <c r="U123" s="13">
        <f t="shared" ca="1" si="55"/>
        <v>0</v>
      </c>
      <c r="V123" s="2">
        <f t="shared" si="56"/>
        <v>0</v>
      </c>
      <c r="W123" s="126">
        <f t="shared" ca="1" si="57"/>
        <v>0</v>
      </c>
      <c r="X123" s="127"/>
      <c r="Y123" s="12">
        <f t="shared" ca="1" si="58"/>
        <v>0</v>
      </c>
      <c r="Z123" s="2">
        <f t="shared" si="59"/>
        <v>0</v>
      </c>
      <c r="AA123" s="126">
        <f t="shared" ca="1" si="60"/>
        <v>0</v>
      </c>
      <c r="AB123" s="127"/>
      <c r="AC123" s="12">
        <f t="shared" ca="1" si="61"/>
        <v>0</v>
      </c>
      <c r="AD123" s="140"/>
      <c r="AE123" s="140"/>
      <c r="AF123" s="140"/>
      <c r="AG123" s="140"/>
      <c r="AH123" s="113"/>
      <c r="AI123" s="136"/>
      <c r="AJ123" s="136"/>
    </row>
    <row r="124" spans="1:36" x14ac:dyDescent="0.25">
      <c r="A124" s="137"/>
      <c r="B124" s="2">
        <f t="shared" si="42"/>
        <v>0</v>
      </c>
      <c r="C124" s="126">
        <f t="shared" ca="1" si="43"/>
        <v>0</v>
      </c>
      <c r="D124" s="127"/>
      <c r="E124" s="13">
        <f t="shared" ca="1" si="44"/>
        <v>0</v>
      </c>
      <c r="F124" s="2">
        <f t="shared" si="45"/>
        <v>0</v>
      </c>
      <c r="G124" s="126">
        <f t="shared" ca="1" si="46"/>
        <v>0</v>
      </c>
      <c r="H124" s="127"/>
      <c r="I124" s="12">
        <f t="shared" ca="1" si="47"/>
        <v>0</v>
      </c>
      <c r="J124" s="2">
        <f t="shared" si="48"/>
        <v>0</v>
      </c>
      <c r="K124" s="126">
        <f t="shared" ca="1" si="49"/>
        <v>0</v>
      </c>
      <c r="L124" s="127"/>
      <c r="M124" s="12">
        <f t="shared" ca="1" si="50"/>
        <v>0</v>
      </c>
      <c r="N124" s="2">
        <f t="shared" si="51"/>
        <v>0</v>
      </c>
      <c r="O124" s="126">
        <f t="shared" ca="1" si="52"/>
        <v>0</v>
      </c>
      <c r="P124" s="127"/>
      <c r="Q124" s="12"/>
      <c r="R124" s="2">
        <f t="shared" si="53"/>
        <v>0</v>
      </c>
      <c r="S124" s="126">
        <f t="shared" ca="1" si="54"/>
        <v>0</v>
      </c>
      <c r="T124" s="127"/>
      <c r="U124" s="13">
        <f t="shared" ca="1" si="55"/>
        <v>0</v>
      </c>
      <c r="V124" s="2">
        <f t="shared" si="56"/>
        <v>0</v>
      </c>
      <c r="W124" s="126">
        <f t="shared" ca="1" si="57"/>
        <v>0</v>
      </c>
      <c r="X124" s="127"/>
      <c r="Y124" s="12">
        <f t="shared" ca="1" si="58"/>
        <v>0</v>
      </c>
      <c r="Z124" s="2">
        <f t="shared" si="59"/>
        <v>0</v>
      </c>
      <c r="AA124" s="126">
        <f t="shared" ca="1" si="60"/>
        <v>0</v>
      </c>
      <c r="AB124" s="127"/>
      <c r="AC124" s="12">
        <f t="shared" ca="1" si="61"/>
        <v>0</v>
      </c>
      <c r="AD124" s="140"/>
      <c r="AE124" s="140"/>
      <c r="AF124" s="140"/>
      <c r="AG124" s="140"/>
      <c r="AH124" s="113"/>
      <c r="AI124" s="136"/>
      <c r="AJ124" s="136"/>
    </row>
    <row r="125" spans="1:36" x14ac:dyDescent="0.25">
      <c r="A125" s="137"/>
      <c r="B125" s="2">
        <f t="shared" si="42"/>
        <v>0</v>
      </c>
      <c r="C125" s="126">
        <f t="shared" ca="1" si="43"/>
        <v>0</v>
      </c>
      <c r="D125" s="127"/>
      <c r="E125" s="13">
        <f t="shared" ca="1" si="44"/>
        <v>0</v>
      </c>
      <c r="F125" s="2">
        <f t="shared" si="45"/>
        <v>0</v>
      </c>
      <c r="G125" s="126">
        <f t="shared" ca="1" si="46"/>
        <v>0</v>
      </c>
      <c r="H125" s="127"/>
      <c r="I125" s="12">
        <f t="shared" ca="1" si="47"/>
        <v>0</v>
      </c>
      <c r="J125" s="2">
        <f t="shared" si="48"/>
        <v>0</v>
      </c>
      <c r="K125" s="126">
        <f t="shared" ca="1" si="49"/>
        <v>0</v>
      </c>
      <c r="L125" s="127"/>
      <c r="M125" s="12">
        <f t="shared" ca="1" si="50"/>
        <v>0</v>
      </c>
      <c r="N125" s="2">
        <f t="shared" si="51"/>
        <v>0</v>
      </c>
      <c r="O125" s="126">
        <f t="shared" ca="1" si="52"/>
        <v>0</v>
      </c>
      <c r="P125" s="127"/>
      <c r="Q125" s="12"/>
      <c r="R125" s="2">
        <f t="shared" si="53"/>
        <v>0</v>
      </c>
      <c r="S125" s="126">
        <f t="shared" ca="1" si="54"/>
        <v>0</v>
      </c>
      <c r="T125" s="127"/>
      <c r="U125" s="13">
        <f t="shared" ca="1" si="55"/>
        <v>0</v>
      </c>
      <c r="V125" s="2">
        <f t="shared" si="56"/>
        <v>0</v>
      </c>
      <c r="W125" s="126">
        <f t="shared" ca="1" si="57"/>
        <v>0</v>
      </c>
      <c r="X125" s="127"/>
      <c r="Y125" s="12">
        <f t="shared" ca="1" si="58"/>
        <v>0</v>
      </c>
      <c r="Z125" s="2">
        <f t="shared" si="59"/>
        <v>0</v>
      </c>
      <c r="AA125" s="126">
        <f t="shared" ca="1" si="60"/>
        <v>0</v>
      </c>
      <c r="AB125" s="127"/>
      <c r="AC125" s="12">
        <f t="shared" ca="1" si="61"/>
        <v>0</v>
      </c>
      <c r="AD125" s="140"/>
      <c r="AE125" s="140"/>
      <c r="AF125" s="140"/>
      <c r="AG125" s="140"/>
      <c r="AH125" s="113"/>
      <c r="AI125" s="136"/>
      <c r="AJ125" s="136"/>
    </row>
    <row r="126" spans="1:36" x14ac:dyDescent="0.25">
      <c r="A126" s="137"/>
      <c r="B126" s="2">
        <f t="shared" si="42"/>
        <v>0</v>
      </c>
      <c r="C126" s="126">
        <f t="shared" ca="1" si="43"/>
        <v>0</v>
      </c>
      <c r="D126" s="127"/>
      <c r="E126" s="13">
        <f t="shared" ca="1" si="44"/>
        <v>0</v>
      </c>
      <c r="F126" s="2">
        <f t="shared" si="45"/>
        <v>0</v>
      </c>
      <c r="G126" s="126">
        <f t="shared" ca="1" si="46"/>
        <v>0</v>
      </c>
      <c r="H126" s="127"/>
      <c r="I126" s="12">
        <f t="shared" ca="1" si="47"/>
        <v>0</v>
      </c>
      <c r="J126" s="2">
        <f t="shared" si="48"/>
        <v>0</v>
      </c>
      <c r="K126" s="126">
        <f t="shared" ca="1" si="49"/>
        <v>0</v>
      </c>
      <c r="L126" s="127"/>
      <c r="M126" s="12">
        <f t="shared" ca="1" si="50"/>
        <v>0</v>
      </c>
      <c r="N126" s="2">
        <f t="shared" si="51"/>
        <v>0</v>
      </c>
      <c r="O126" s="126">
        <f t="shared" ca="1" si="52"/>
        <v>0</v>
      </c>
      <c r="P126" s="127"/>
      <c r="Q126" s="12"/>
      <c r="R126" s="2">
        <f t="shared" si="53"/>
        <v>0</v>
      </c>
      <c r="S126" s="126">
        <f t="shared" ca="1" si="54"/>
        <v>0</v>
      </c>
      <c r="T126" s="127"/>
      <c r="U126" s="13">
        <f t="shared" ca="1" si="55"/>
        <v>0</v>
      </c>
      <c r="V126" s="2">
        <f t="shared" si="56"/>
        <v>0</v>
      </c>
      <c r="W126" s="126">
        <f t="shared" ca="1" si="57"/>
        <v>0</v>
      </c>
      <c r="X126" s="127"/>
      <c r="Y126" s="12">
        <f t="shared" ca="1" si="58"/>
        <v>0</v>
      </c>
      <c r="Z126" s="2">
        <f t="shared" si="59"/>
        <v>0</v>
      </c>
      <c r="AA126" s="126">
        <f t="shared" ca="1" si="60"/>
        <v>0</v>
      </c>
      <c r="AB126" s="127"/>
      <c r="AC126" s="12">
        <f t="shared" ca="1" si="61"/>
        <v>0</v>
      </c>
      <c r="AD126" s="140"/>
      <c r="AE126" s="140"/>
      <c r="AF126" s="140"/>
      <c r="AG126" s="140"/>
      <c r="AH126" s="113"/>
      <c r="AI126" s="136"/>
      <c r="AJ126" s="136"/>
    </row>
    <row r="127" spans="1:36" x14ac:dyDescent="0.25">
      <c r="A127" s="137"/>
      <c r="B127" s="2">
        <f t="shared" si="42"/>
        <v>0</v>
      </c>
      <c r="C127" s="126">
        <f t="shared" ca="1" si="43"/>
        <v>0</v>
      </c>
      <c r="D127" s="127"/>
      <c r="E127" s="13">
        <f t="shared" ca="1" si="44"/>
        <v>0</v>
      </c>
      <c r="F127" s="2">
        <f t="shared" si="45"/>
        <v>0</v>
      </c>
      <c r="G127" s="126">
        <f t="shared" ca="1" si="46"/>
        <v>0</v>
      </c>
      <c r="H127" s="127"/>
      <c r="I127" s="12">
        <f t="shared" ca="1" si="47"/>
        <v>0</v>
      </c>
      <c r="J127" s="2">
        <f t="shared" si="48"/>
        <v>0</v>
      </c>
      <c r="K127" s="126">
        <f t="shared" ca="1" si="49"/>
        <v>0</v>
      </c>
      <c r="L127" s="127"/>
      <c r="M127" s="12">
        <f t="shared" ca="1" si="50"/>
        <v>0</v>
      </c>
      <c r="N127" s="2">
        <f t="shared" si="51"/>
        <v>0</v>
      </c>
      <c r="O127" s="126">
        <f t="shared" ca="1" si="52"/>
        <v>0</v>
      </c>
      <c r="P127" s="127"/>
      <c r="Q127" s="12"/>
      <c r="R127" s="2">
        <f t="shared" si="53"/>
        <v>0</v>
      </c>
      <c r="S127" s="126">
        <f t="shared" ca="1" si="54"/>
        <v>0</v>
      </c>
      <c r="T127" s="127"/>
      <c r="U127" s="13">
        <f t="shared" ca="1" si="55"/>
        <v>0</v>
      </c>
      <c r="V127" s="2">
        <f t="shared" si="56"/>
        <v>0</v>
      </c>
      <c r="W127" s="126">
        <f t="shared" ca="1" si="57"/>
        <v>0</v>
      </c>
      <c r="X127" s="127"/>
      <c r="Y127" s="12">
        <f t="shared" ca="1" si="58"/>
        <v>0</v>
      </c>
      <c r="Z127" s="2">
        <f t="shared" si="59"/>
        <v>0</v>
      </c>
      <c r="AA127" s="126">
        <f t="shared" ca="1" si="60"/>
        <v>0</v>
      </c>
      <c r="AB127" s="127"/>
      <c r="AC127" s="12">
        <f t="shared" ca="1" si="61"/>
        <v>0</v>
      </c>
      <c r="AD127" s="140"/>
      <c r="AE127" s="140"/>
      <c r="AF127" s="140"/>
      <c r="AG127" s="140"/>
      <c r="AH127" s="113"/>
      <c r="AI127" s="136"/>
      <c r="AJ127" s="136"/>
    </row>
    <row r="128" spans="1:36" x14ac:dyDescent="0.25">
      <c r="A128" s="137"/>
      <c r="B128" s="2">
        <f t="shared" si="42"/>
        <v>0</v>
      </c>
      <c r="C128" s="126">
        <f t="shared" ca="1" si="43"/>
        <v>0</v>
      </c>
      <c r="D128" s="127"/>
      <c r="E128" s="13">
        <f t="shared" ca="1" si="44"/>
        <v>0</v>
      </c>
      <c r="F128" s="2">
        <f t="shared" si="45"/>
        <v>0</v>
      </c>
      <c r="G128" s="126">
        <f t="shared" ca="1" si="46"/>
        <v>0</v>
      </c>
      <c r="H128" s="127"/>
      <c r="I128" s="12">
        <f t="shared" ca="1" si="47"/>
        <v>0</v>
      </c>
      <c r="J128" s="2">
        <f t="shared" si="48"/>
        <v>0</v>
      </c>
      <c r="K128" s="126">
        <f t="shared" ca="1" si="49"/>
        <v>0</v>
      </c>
      <c r="L128" s="127"/>
      <c r="M128" s="12">
        <f t="shared" ca="1" si="50"/>
        <v>0</v>
      </c>
      <c r="N128" s="2">
        <f t="shared" si="51"/>
        <v>0</v>
      </c>
      <c r="O128" s="126">
        <f t="shared" ca="1" si="52"/>
        <v>0</v>
      </c>
      <c r="P128" s="127"/>
      <c r="Q128" s="12"/>
      <c r="R128" s="2">
        <f t="shared" si="53"/>
        <v>0</v>
      </c>
      <c r="S128" s="126">
        <f t="shared" ca="1" si="54"/>
        <v>0</v>
      </c>
      <c r="T128" s="127"/>
      <c r="U128" s="13">
        <f t="shared" ca="1" si="55"/>
        <v>0</v>
      </c>
      <c r="V128" s="2">
        <f t="shared" si="56"/>
        <v>0</v>
      </c>
      <c r="W128" s="126">
        <f t="shared" ca="1" si="57"/>
        <v>0</v>
      </c>
      <c r="X128" s="127"/>
      <c r="Y128" s="12">
        <f t="shared" ca="1" si="58"/>
        <v>0</v>
      </c>
      <c r="Z128" s="2">
        <f t="shared" si="59"/>
        <v>0</v>
      </c>
      <c r="AA128" s="126">
        <f t="shared" ca="1" si="60"/>
        <v>0</v>
      </c>
      <c r="AB128" s="127"/>
      <c r="AC128" s="12">
        <f t="shared" ca="1" si="61"/>
        <v>0</v>
      </c>
      <c r="AD128" s="140"/>
      <c r="AE128" s="140"/>
      <c r="AF128" s="140"/>
      <c r="AG128" s="140"/>
      <c r="AH128" s="113"/>
      <c r="AI128" s="136"/>
      <c r="AJ128" s="136"/>
    </row>
    <row r="129" spans="1:36" x14ac:dyDescent="0.25">
      <c r="A129" s="137"/>
      <c r="B129" s="2">
        <f t="shared" si="42"/>
        <v>0</v>
      </c>
      <c r="C129" s="126">
        <f t="shared" ca="1" si="43"/>
        <v>0</v>
      </c>
      <c r="D129" s="127"/>
      <c r="E129" s="13">
        <f t="shared" ca="1" si="44"/>
        <v>0</v>
      </c>
      <c r="F129" s="2">
        <f t="shared" si="45"/>
        <v>0</v>
      </c>
      <c r="G129" s="126">
        <f t="shared" ca="1" si="46"/>
        <v>0</v>
      </c>
      <c r="H129" s="127"/>
      <c r="I129" s="12">
        <f t="shared" ca="1" si="47"/>
        <v>0</v>
      </c>
      <c r="J129" s="2">
        <f t="shared" si="48"/>
        <v>0</v>
      </c>
      <c r="K129" s="126">
        <f t="shared" ca="1" si="49"/>
        <v>0</v>
      </c>
      <c r="L129" s="127"/>
      <c r="M129" s="12">
        <f t="shared" ca="1" si="50"/>
        <v>0</v>
      </c>
      <c r="N129" s="2">
        <f t="shared" si="51"/>
        <v>0</v>
      </c>
      <c r="O129" s="126">
        <f t="shared" ca="1" si="52"/>
        <v>0</v>
      </c>
      <c r="P129" s="127"/>
      <c r="Q129" s="12"/>
      <c r="R129" s="2" t="str">
        <f t="shared" si="53"/>
        <v>Press hombro mancuerna sentado</v>
      </c>
      <c r="S129" s="126">
        <f t="shared" ca="1" si="54"/>
        <v>0</v>
      </c>
      <c r="T129" s="127"/>
      <c r="U129" s="13">
        <f t="shared" ca="1" si="55"/>
        <v>0</v>
      </c>
      <c r="V129" s="2" t="str">
        <f t="shared" si="56"/>
        <v>Sentadilla barra libre</v>
      </c>
      <c r="W129" s="126">
        <f t="shared" ca="1" si="57"/>
        <v>0</v>
      </c>
      <c r="X129" s="127"/>
      <c r="Y129" s="12">
        <f t="shared" ca="1" si="58"/>
        <v>0</v>
      </c>
      <c r="Z129" s="2">
        <f>Z20</f>
        <v>0</v>
      </c>
      <c r="AA129" s="126">
        <f ca="1">IF(TODAY()=$A$114,AA20*AB20*AC20,AA129)</f>
        <v>0</v>
      </c>
      <c r="AB129" s="127"/>
      <c r="AC129" s="12">
        <f ca="1">IF(TODAY()=$A$114,AC20,AC129)</f>
        <v>0</v>
      </c>
      <c r="AD129" s="140"/>
      <c r="AE129" s="140"/>
      <c r="AF129" s="140"/>
      <c r="AG129" s="140"/>
      <c r="AH129" s="113"/>
      <c r="AI129" s="136"/>
      <c r="AJ129" s="136"/>
    </row>
    <row r="130" spans="1:36" x14ac:dyDescent="0.25">
      <c r="A130" s="137"/>
      <c r="B130" s="2">
        <f t="shared" si="42"/>
        <v>0</v>
      </c>
      <c r="C130" s="126">
        <f t="shared" ca="1" si="43"/>
        <v>0</v>
      </c>
      <c r="D130" s="127"/>
      <c r="E130" s="13">
        <f t="shared" ca="1" si="44"/>
        <v>0</v>
      </c>
      <c r="F130" s="2">
        <f t="shared" si="45"/>
        <v>0</v>
      </c>
      <c r="G130" s="126">
        <f t="shared" ca="1" si="46"/>
        <v>0</v>
      </c>
      <c r="H130" s="127"/>
      <c r="I130" s="12">
        <f t="shared" ca="1" si="47"/>
        <v>0</v>
      </c>
      <c r="J130" s="2">
        <f t="shared" si="48"/>
        <v>0</v>
      </c>
      <c r="K130" s="126">
        <f t="shared" ca="1" si="49"/>
        <v>0</v>
      </c>
      <c r="L130" s="127"/>
      <c r="M130" s="12">
        <f t="shared" ca="1" si="50"/>
        <v>0</v>
      </c>
      <c r="N130" s="2">
        <f t="shared" si="51"/>
        <v>0</v>
      </c>
      <c r="O130" s="126">
        <f t="shared" ca="1" si="52"/>
        <v>0</v>
      </c>
      <c r="P130" s="127"/>
      <c r="Q130" s="12"/>
      <c r="R130" s="2" t="str">
        <f t="shared" si="53"/>
        <v>Elevaciones laterales mancuerna banco inclinado</v>
      </c>
      <c r="S130" s="126">
        <f t="shared" ca="1" si="54"/>
        <v>0</v>
      </c>
      <c r="T130" s="127"/>
      <c r="U130" s="13">
        <f t="shared" ca="1" si="55"/>
        <v>0</v>
      </c>
      <c r="V130" s="2" t="str">
        <f t="shared" si="56"/>
        <v>Sentadilla sumo mancuerna</v>
      </c>
      <c r="W130" s="126">
        <f t="shared" ca="1" si="57"/>
        <v>0</v>
      </c>
      <c r="X130" s="127"/>
      <c r="Y130" s="12">
        <f t="shared" ca="1" si="58"/>
        <v>0</v>
      </c>
      <c r="Z130" s="2">
        <f>Z21</f>
        <v>0</v>
      </c>
      <c r="AA130" s="126">
        <f ca="1">IF(TODAY()=$A$114,AA21*AB21*AC21,AA130)</f>
        <v>0</v>
      </c>
      <c r="AB130" s="127"/>
      <c r="AC130" s="12">
        <f ca="1">IF(TODAY()=$A$114,AC21,AC130)</f>
        <v>0</v>
      </c>
      <c r="AD130" s="140"/>
      <c r="AE130" s="140"/>
      <c r="AF130" s="140"/>
      <c r="AG130" s="140"/>
      <c r="AH130" s="113"/>
      <c r="AI130" s="136"/>
      <c r="AJ130" s="136"/>
    </row>
    <row r="131" spans="1:36" x14ac:dyDescent="0.25">
      <c r="A131" s="137"/>
      <c r="B131" s="2">
        <f t="shared" si="42"/>
        <v>0</v>
      </c>
      <c r="C131" s="126">
        <f t="shared" ca="1" si="43"/>
        <v>0</v>
      </c>
      <c r="D131" s="127"/>
      <c r="E131" s="13">
        <f t="shared" ca="1" si="44"/>
        <v>0</v>
      </c>
      <c r="F131" s="2">
        <f t="shared" si="45"/>
        <v>0</v>
      </c>
      <c r="G131" s="126">
        <f t="shared" ca="1" si="46"/>
        <v>0</v>
      </c>
      <c r="H131" s="127"/>
      <c r="I131" s="12">
        <f t="shared" ca="1" si="47"/>
        <v>0</v>
      </c>
      <c r="J131" s="2">
        <f t="shared" si="48"/>
        <v>0</v>
      </c>
      <c r="K131" s="126">
        <f t="shared" ca="1" si="49"/>
        <v>0</v>
      </c>
      <c r="L131" s="127"/>
      <c r="M131" s="12">
        <f t="shared" ca="1" si="50"/>
        <v>0</v>
      </c>
      <c r="N131" s="2">
        <f t="shared" si="51"/>
        <v>0</v>
      </c>
      <c r="O131" s="126">
        <f t="shared" ca="1" si="52"/>
        <v>0</v>
      </c>
      <c r="P131" s="127"/>
      <c r="Q131" s="12"/>
      <c r="R131" s="2" t="str">
        <f t="shared" si="53"/>
        <v>Elevaciones frontales barra banco inclinado</v>
      </c>
      <c r="S131" s="126">
        <f t="shared" ca="1" si="54"/>
        <v>0</v>
      </c>
      <c r="T131" s="127"/>
      <c r="U131" s="13">
        <f t="shared" ca="1" si="55"/>
        <v>0</v>
      </c>
      <c r="V131" s="2" t="str">
        <f t="shared" si="56"/>
        <v>Peso muerto mancuerna</v>
      </c>
      <c r="W131" s="126">
        <f t="shared" ca="1" si="57"/>
        <v>0</v>
      </c>
      <c r="X131" s="127"/>
      <c r="Y131" s="12">
        <f t="shared" ca="1" si="58"/>
        <v>0</v>
      </c>
      <c r="Z131" s="2">
        <f>Z22</f>
        <v>0</v>
      </c>
      <c r="AA131" s="126">
        <f ca="1">IF(TODAY()=$A$114,AA22*AB22*AC22,AA131)</f>
        <v>0</v>
      </c>
      <c r="AB131" s="127"/>
      <c r="AC131" s="12">
        <f ca="1">IF(TODAY()=$A$114,AC22,AC131)</f>
        <v>0</v>
      </c>
      <c r="AD131" s="140"/>
      <c r="AE131" s="140"/>
      <c r="AF131" s="140"/>
      <c r="AG131" s="140"/>
      <c r="AH131" s="113"/>
      <c r="AI131" s="136"/>
      <c r="AJ131" s="136"/>
    </row>
    <row r="132" spans="1:36" x14ac:dyDescent="0.25">
      <c r="A132" s="137"/>
      <c r="B132" s="2">
        <f t="shared" si="42"/>
        <v>0</v>
      </c>
      <c r="C132" s="126">
        <f t="shared" ca="1" si="43"/>
        <v>0</v>
      </c>
      <c r="D132" s="127"/>
      <c r="E132" s="13">
        <f t="shared" ca="1" si="44"/>
        <v>0</v>
      </c>
      <c r="F132" s="2">
        <f t="shared" si="45"/>
        <v>0</v>
      </c>
      <c r="G132" s="126">
        <f t="shared" ca="1" si="46"/>
        <v>0</v>
      </c>
      <c r="H132" s="127"/>
      <c r="I132" s="12">
        <f t="shared" ca="1" si="47"/>
        <v>0</v>
      </c>
      <c r="J132" s="2">
        <f t="shared" si="48"/>
        <v>0</v>
      </c>
      <c r="K132" s="126">
        <f t="shared" ca="1" si="49"/>
        <v>0</v>
      </c>
      <c r="L132" s="127"/>
      <c r="M132" s="12">
        <f t="shared" ca="1" si="50"/>
        <v>0</v>
      </c>
      <c r="N132" s="2">
        <f t="shared" si="51"/>
        <v>0</v>
      </c>
      <c r="O132" s="126">
        <f t="shared" ca="1" si="52"/>
        <v>0</v>
      </c>
      <c r="P132" s="127"/>
      <c r="Q132" s="12"/>
      <c r="R132" s="2" t="str">
        <f t="shared" si="53"/>
        <v>Press arnold</v>
      </c>
      <c r="S132" s="126">
        <f t="shared" ca="1" si="54"/>
        <v>0</v>
      </c>
      <c r="T132" s="127"/>
      <c r="U132" s="13">
        <f t="shared" ca="1" si="55"/>
        <v>0</v>
      </c>
      <c r="V132" s="2" t="str">
        <f t="shared" si="56"/>
        <v>Press pierna máquina</v>
      </c>
      <c r="W132" s="126">
        <f t="shared" ca="1" si="57"/>
        <v>0</v>
      </c>
      <c r="X132" s="127"/>
      <c r="Y132" s="12">
        <f t="shared" ca="1" si="58"/>
        <v>0</v>
      </c>
      <c r="Z132" s="2">
        <f>Z23</f>
        <v>0</v>
      </c>
      <c r="AA132" s="126">
        <f ca="1">IF(TODAY()=$A$114,AA23*AB23*AC23,AA132)</f>
        <v>0</v>
      </c>
      <c r="AB132" s="127"/>
      <c r="AC132" s="12">
        <f ca="1">IF(TODAY()=$A$114,AC23,AC132)</f>
        <v>0</v>
      </c>
      <c r="AD132" s="140"/>
      <c r="AE132" s="140"/>
      <c r="AF132" s="140"/>
      <c r="AG132" s="140"/>
      <c r="AH132" s="113"/>
      <c r="AI132" s="136"/>
      <c r="AJ132" s="136"/>
    </row>
    <row r="133" spans="1:36" x14ac:dyDescent="0.25">
      <c r="A133" s="137"/>
      <c r="B133" s="2">
        <f t="shared" si="42"/>
        <v>0</v>
      </c>
      <c r="C133" s="126">
        <f t="shared" ca="1" si="43"/>
        <v>0</v>
      </c>
      <c r="D133" s="127"/>
      <c r="E133" s="13">
        <f t="shared" ca="1" si="44"/>
        <v>0</v>
      </c>
      <c r="F133" s="2">
        <f t="shared" si="45"/>
        <v>0</v>
      </c>
      <c r="G133" s="126">
        <f t="shared" ca="1" si="46"/>
        <v>0</v>
      </c>
      <c r="H133" s="127"/>
      <c r="I133" s="12">
        <f t="shared" ca="1" si="47"/>
        <v>0</v>
      </c>
      <c r="J133" s="2">
        <f t="shared" si="48"/>
        <v>0</v>
      </c>
      <c r="K133" s="126">
        <f t="shared" ca="1" si="49"/>
        <v>0</v>
      </c>
      <c r="L133" s="127"/>
      <c r="M133" s="12">
        <f t="shared" ca="1" si="50"/>
        <v>0</v>
      </c>
      <c r="N133" s="2">
        <f t="shared" si="51"/>
        <v>0</v>
      </c>
      <c r="O133" s="126">
        <f t="shared" ca="1" si="52"/>
        <v>0</v>
      </c>
      <c r="P133" s="127"/>
      <c r="Q133" s="12"/>
      <c r="R133" s="2">
        <f t="shared" si="53"/>
        <v>0</v>
      </c>
      <c r="S133" s="126">
        <f t="shared" ca="1" si="54"/>
        <v>0</v>
      </c>
      <c r="T133" s="127"/>
      <c r="U133" s="13">
        <f t="shared" ca="1" si="55"/>
        <v>0</v>
      </c>
      <c r="V133" s="2" t="str">
        <f t="shared" si="56"/>
        <v>Hip trust barra</v>
      </c>
      <c r="W133" s="126">
        <f t="shared" ca="1" si="57"/>
        <v>0</v>
      </c>
      <c r="X133" s="127"/>
      <c r="Y133" s="12">
        <f t="shared" ca="1" si="58"/>
        <v>0</v>
      </c>
      <c r="Z133" s="2">
        <f>Z24</f>
        <v>0</v>
      </c>
      <c r="AA133" s="126">
        <f ca="1">IF(TODAY()=$A$114,AA24*AB24*AC24,AA133)</f>
        <v>0</v>
      </c>
      <c r="AB133" s="127"/>
      <c r="AC133" s="12">
        <f ca="1">IF(TODAY()=$A$114,AC24,AC133)</f>
        <v>0</v>
      </c>
      <c r="AD133" s="140"/>
      <c r="AE133" s="140"/>
      <c r="AF133" s="140"/>
      <c r="AG133" s="140"/>
      <c r="AH133" s="113"/>
      <c r="AI133" s="136"/>
      <c r="AJ133" s="136"/>
    </row>
    <row r="134" spans="1:36" x14ac:dyDescent="0.25">
      <c r="A134" s="137"/>
      <c r="B134" s="2" t="str">
        <f t="shared" si="42"/>
        <v>Press plano</v>
      </c>
      <c r="C134" s="126">
        <f t="shared" ca="1" si="43"/>
        <v>0</v>
      </c>
      <c r="D134" s="127"/>
      <c r="E134" s="13">
        <f t="shared" ca="1" si="44"/>
        <v>0</v>
      </c>
      <c r="F134" s="2" t="str">
        <f t="shared" si="45"/>
        <v>Body ups</v>
      </c>
      <c r="G134" s="126">
        <f t="shared" ca="1" si="46"/>
        <v>0</v>
      </c>
      <c r="H134" s="127"/>
      <c r="I134" s="12">
        <f t="shared" ca="1" si="47"/>
        <v>0</v>
      </c>
      <c r="J134" s="2">
        <f t="shared" si="48"/>
        <v>0</v>
      </c>
      <c r="K134" s="126">
        <f t="shared" ca="1" si="49"/>
        <v>0</v>
      </c>
      <c r="L134" s="127"/>
      <c r="M134" s="12">
        <f t="shared" ca="1" si="50"/>
        <v>0</v>
      </c>
      <c r="N134" s="2">
        <f t="shared" si="51"/>
        <v>0</v>
      </c>
      <c r="O134" s="126">
        <f t="shared" ca="1" si="52"/>
        <v>0</v>
      </c>
      <c r="P134" s="127"/>
      <c r="Q134" s="12"/>
      <c r="R134" s="2">
        <f t="shared" si="53"/>
        <v>0</v>
      </c>
      <c r="S134" s="126">
        <f t="shared" ca="1" si="54"/>
        <v>0</v>
      </c>
      <c r="T134" s="127"/>
      <c r="U134" s="13">
        <f t="shared" ca="1" si="55"/>
        <v>0</v>
      </c>
      <c r="V134" s="2">
        <f t="shared" si="56"/>
        <v>0</v>
      </c>
      <c r="W134" s="126">
        <f t="shared" ca="1" si="57"/>
        <v>0</v>
      </c>
      <c r="X134" s="127"/>
      <c r="Y134" s="12">
        <f t="shared" ca="1" si="58"/>
        <v>0</v>
      </c>
      <c r="Z134" s="2">
        <f t="shared" si="59"/>
        <v>0</v>
      </c>
      <c r="AA134" s="126">
        <f t="shared" ca="1" si="60"/>
        <v>0</v>
      </c>
      <c r="AB134" s="127"/>
      <c r="AC134" s="12">
        <f t="shared" ca="1" si="61"/>
        <v>0</v>
      </c>
      <c r="AD134" s="140"/>
      <c r="AE134" s="140"/>
      <c r="AF134" s="140"/>
      <c r="AG134" s="140"/>
      <c r="AH134" s="113"/>
      <c r="AI134" s="136"/>
      <c r="AJ134" s="136"/>
    </row>
    <row r="135" spans="1:36" x14ac:dyDescent="0.25">
      <c r="A135" s="137"/>
      <c r="B135" s="2" t="str">
        <f t="shared" si="42"/>
        <v>Press plano mancuerna trifásico</v>
      </c>
      <c r="C135" s="126">
        <f t="shared" ca="1" si="43"/>
        <v>0</v>
      </c>
      <c r="D135" s="127"/>
      <c r="E135" s="13">
        <f t="shared" ca="1" si="44"/>
        <v>0</v>
      </c>
      <c r="F135" s="2" t="str">
        <f t="shared" si="45"/>
        <v>Fondos tríceps paralelas</v>
      </c>
      <c r="G135" s="126">
        <f t="shared" ca="1" si="46"/>
        <v>0</v>
      </c>
      <c r="H135" s="127"/>
      <c r="I135" s="12">
        <f t="shared" ca="1" si="47"/>
        <v>0</v>
      </c>
      <c r="J135" s="2">
        <f t="shared" si="48"/>
        <v>0</v>
      </c>
      <c r="K135" s="126">
        <f t="shared" ca="1" si="49"/>
        <v>0</v>
      </c>
      <c r="L135" s="127"/>
      <c r="M135" s="12">
        <f t="shared" ca="1" si="50"/>
        <v>0</v>
      </c>
      <c r="N135" s="2">
        <f t="shared" si="51"/>
        <v>0</v>
      </c>
      <c r="O135" s="126">
        <f t="shared" ca="1" si="52"/>
        <v>0</v>
      </c>
      <c r="P135" s="127"/>
      <c r="Q135" s="12"/>
      <c r="R135" s="2">
        <f t="shared" si="53"/>
        <v>0</v>
      </c>
      <c r="S135" s="126">
        <f t="shared" ca="1" si="54"/>
        <v>0</v>
      </c>
      <c r="T135" s="127"/>
      <c r="U135" s="13">
        <f t="shared" ca="1" si="55"/>
        <v>0</v>
      </c>
      <c r="V135" s="2">
        <f t="shared" si="56"/>
        <v>0</v>
      </c>
      <c r="W135" s="126">
        <f t="shared" ca="1" si="57"/>
        <v>0</v>
      </c>
      <c r="X135" s="127"/>
      <c r="Y135" s="12">
        <f t="shared" ca="1" si="58"/>
        <v>0</v>
      </c>
      <c r="Z135" s="2">
        <f t="shared" si="59"/>
        <v>0</v>
      </c>
      <c r="AA135" s="126">
        <f t="shared" ca="1" si="60"/>
        <v>0</v>
      </c>
      <c r="AB135" s="127"/>
      <c r="AC135" s="12">
        <f t="shared" ca="1" si="61"/>
        <v>0</v>
      </c>
      <c r="AD135" s="140"/>
      <c r="AE135" s="140"/>
      <c r="AF135" s="140"/>
      <c r="AG135" s="140"/>
      <c r="AH135" s="113"/>
      <c r="AI135" s="136"/>
      <c r="AJ135" s="136"/>
    </row>
    <row r="136" spans="1:36" x14ac:dyDescent="0.25">
      <c r="A136" s="137"/>
      <c r="B136" s="2" t="str">
        <f t="shared" si="42"/>
        <v>Press inclinado mancuerna</v>
      </c>
      <c r="C136" s="126">
        <f t="shared" ca="1" si="43"/>
        <v>0</v>
      </c>
      <c r="D136" s="127"/>
      <c r="E136" s="13">
        <f t="shared" ca="1" si="44"/>
        <v>0</v>
      </c>
      <c r="F136" s="2" t="str">
        <f t="shared" si="45"/>
        <v>Fondos máquina</v>
      </c>
      <c r="G136" s="126">
        <f t="shared" ca="1" si="46"/>
        <v>0</v>
      </c>
      <c r="H136" s="127"/>
      <c r="I136" s="12">
        <f t="shared" ca="1" si="47"/>
        <v>0</v>
      </c>
      <c r="J136" s="2">
        <f t="shared" si="48"/>
        <v>0</v>
      </c>
      <c r="K136" s="126">
        <f t="shared" ca="1" si="49"/>
        <v>0</v>
      </c>
      <c r="L136" s="127"/>
      <c r="M136" s="12">
        <f t="shared" ca="1" si="50"/>
        <v>0</v>
      </c>
      <c r="N136" s="2">
        <f t="shared" si="51"/>
        <v>0</v>
      </c>
      <c r="O136" s="126">
        <f t="shared" ca="1" si="52"/>
        <v>0</v>
      </c>
      <c r="P136" s="127"/>
      <c r="Q136" s="12"/>
      <c r="R136" s="2">
        <f t="shared" si="53"/>
        <v>0</v>
      </c>
      <c r="S136" s="126">
        <f t="shared" ca="1" si="54"/>
        <v>0</v>
      </c>
      <c r="T136" s="127"/>
      <c r="U136" s="13">
        <f t="shared" ca="1" si="55"/>
        <v>0</v>
      </c>
      <c r="V136" s="2">
        <f t="shared" si="56"/>
        <v>0</v>
      </c>
      <c r="W136" s="126">
        <f t="shared" ca="1" si="57"/>
        <v>0</v>
      </c>
      <c r="X136" s="127"/>
      <c r="Y136" s="12">
        <f t="shared" ca="1" si="58"/>
        <v>0</v>
      </c>
      <c r="Z136" s="2">
        <f t="shared" si="59"/>
        <v>0</v>
      </c>
      <c r="AA136" s="126">
        <f t="shared" ca="1" si="60"/>
        <v>0</v>
      </c>
      <c r="AB136" s="127"/>
      <c r="AC136" s="12">
        <f t="shared" ca="1" si="61"/>
        <v>0</v>
      </c>
      <c r="AD136" s="140"/>
      <c r="AE136" s="140"/>
      <c r="AF136" s="140"/>
      <c r="AG136" s="140"/>
      <c r="AH136" s="113"/>
      <c r="AI136" s="136"/>
      <c r="AJ136" s="136"/>
    </row>
    <row r="137" spans="1:36" x14ac:dyDescent="0.25">
      <c r="A137" s="137"/>
      <c r="B137" s="2" t="str">
        <f t="shared" si="42"/>
        <v>Vuelos máquina</v>
      </c>
      <c r="C137" s="126">
        <f t="shared" ca="1" si="43"/>
        <v>0</v>
      </c>
      <c r="D137" s="127"/>
      <c r="E137" s="13">
        <f t="shared" ca="1" si="44"/>
        <v>0</v>
      </c>
      <c r="F137" s="2" t="str">
        <f t="shared" si="45"/>
        <v>Extensión tríceps polea</v>
      </c>
      <c r="G137" s="126">
        <f t="shared" ca="1" si="46"/>
        <v>0</v>
      </c>
      <c r="H137" s="127"/>
      <c r="I137" s="12">
        <f t="shared" ca="1" si="47"/>
        <v>0</v>
      </c>
      <c r="J137" s="2">
        <f t="shared" si="48"/>
        <v>0</v>
      </c>
      <c r="K137" s="126">
        <f t="shared" ca="1" si="49"/>
        <v>0</v>
      </c>
      <c r="L137" s="127"/>
      <c r="M137" s="12">
        <f t="shared" ca="1" si="50"/>
        <v>0</v>
      </c>
      <c r="N137" s="2">
        <f t="shared" si="51"/>
        <v>0</v>
      </c>
      <c r="O137" s="126">
        <f t="shared" ca="1" si="52"/>
        <v>0</v>
      </c>
      <c r="P137" s="127"/>
      <c r="Q137" s="12"/>
      <c r="R137" s="2">
        <f t="shared" si="53"/>
        <v>0</v>
      </c>
      <c r="S137" s="126">
        <f t="shared" ca="1" si="54"/>
        <v>0</v>
      </c>
      <c r="T137" s="127"/>
      <c r="U137" s="13">
        <f t="shared" ca="1" si="55"/>
        <v>0</v>
      </c>
      <c r="V137" s="2">
        <f t="shared" si="56"/>
        <v>0</v>
      </c>
      <c r="W137" s="126">
        <f t="shared" ca="1" si="57"/>
        <v>0</v>
      </c>
      <c r="X137" s="127"/>
      <c r="Y137" s="12">
        <f t="shared" ca="1" si="58"/>
        <v>0</v>
      </c>
      <c r="Z137" s="2">
        <f t="shared" si="59"/>
        <v>0</v>
      </c>
      <c r="AA137" s="126">
        <f t="shared" ca="1" si="60"/>
        <v>0</v>
      </c>
      <c r="AB137" s="127"/>
      <c r="AC137" s="12">
        <f t="shared" ca="1" si="61"/>
        <v>0</v>
      </c>
      <c r="AD137" s="140"/>
      <c r="AE137" s="140"/>
      <c r="AF137" s="140"/>
      <c r="AG137" s="140"/>
      <c r="AH137" s="113"/>
      <c r="AI137" s="136"/>
      <c r="AJ137" s="136"/>
    </row>
    <row r="138" spans="1:36" x14ac:dyDescent="0.25">
      <c r="A138" s="137"/>
      <c r="B138" s="2" t="str">
        <f t="shared" si="42"/>
        <v>Pullover pecho mancuerna</v>
      </c>
      <c r="C138" s="126">
        <f t="shared" ca="1" si="43"/>
        <v>0</v>
      </c>
      <c r="D138" s="127"/>
      <c r="E138" s="13">
        <f t="shared" ca="1" si="44"/>
        <v>0</v>
      </c>
      <c r="F138" s="2">
        <f t="shared" si="45"/>
        <v>0</v>
      </c>
      <c r="G138" s="126">
        <f t="shared" ca="1" si="46"/>
        <v>0</v>
      </c>
      <c r="H138" s="127"/>
      <c r="I138" s="12">
        <f t="shared" ca="1" si="47"/>
        <v>0</v>
      </c>
      <c r="J138" s="2">
        <f t="shared" si="48"/>
        <v>0</v>
      </c>
      <c r="K138" s="126">
        <f t="shared" ca="1" si="49"/>
        <v>0</v>
      </c>
      <c r="L138" s="127"/>
      <c r="M138" s="12">
        <f t="shared" ca="1" si="50"/>
        <v>0</v>
      </c>
      <c r="N138" s="2">
        <f t="shared" si="51"/>
        <v>0</v>
      </c>
      <c r="O138" s="126">
        <f t="shared" ca="1" si="52"/>
        <v>0</v>
      </c>
      <c r="P138" s="127"/>
      <c r="Q138" s="12"/>
      <c r="R138" s="2">
        <f t="shared" si="53"/>
        <v>0</v>
      </c>
      <c r="S138" s="126">
        <f t="shared" ca="1" si="54"/>
        <v>0</v>
      </c>
      <c r="T138" s="127"/>
      <c r="U138" s="13">
        <f t="shared" ca="1" si="55"/>
        <v>0</v>
      </c>
      <c r="V138" s="2">
        <f t="shared" si="56"/>
        <v>0</v>
      </c>
      <c r="W138" s="126">
        <f t="shared" ca="1" si="57"/>
        <v>0</v>
      </c>
      <c r="X138" s="127"/>
      <c r="Y138" s="12">
        <f t="shared" ca="1" si="58"/>
        <v>0</v>
      </c>
      <c r="Z138" s="2">
        <f t="shared" si="59"/>
        <v>0</v>
      </c>
      <c r="AA138" s="126">
        <f t="shared" ca="1" si="60"/>
        <v>0</v>
      </c>
      <c r="AB138" s="127"/>
      <c r="AC138" s="12">
        <f t="shared" ca="1" si="61"/>
        <v>0</v>
      </c>
      <c r="AD138" s="140"/>
      <c r="AE138" s="140"/>
      <c r="AF138" s="140"/>
      <c r="AG138" s="140"/>
      <c r="AH138" s="113"/>
      <c r="AI138" s="136"/>
      <c r="AJ138" s="136"/>
    </row>
    <row r="139" spans="1:36" x14ac:dyDescent="0.25">
      <c r="A139" s="137"/>
      <c r="B139" s="2">
        <f t="shared" si="42"/>
        <v>0</v>
      </c>
      <c r="C139" s="126">
        <f t="shared" ca="1" si="43"/>
        <v>0</v>
      </c>
      <c r="D139" s="127"/>
      <c r="E139" s="13">
        <f t="shared" ca="1" si="44"/>
        <v>0</v>
      </c>
      <c r="F139" s="2">
        <f t="shared" si="45"/>
        <v>0</v>
      </c>
      <c r="G139" s="126">
        <f t="shared" ca="1" si="46"/>
        <v>0</v>
      </c>
      <c r="H139" s="127"/>
      <c r="I139" s="12">
        <f t="shared" ca="1" si="47"/>
        <v>0</v>
      </c>
      <c r="J139" s="2" t="str">
        <f t="shared" si="48"/>
        <v>Pullups</v>
      </c>
      <c r="K139" s="126">
        <f t="shared" ca="1" si="49"/>
        <v>0</v>
      </c>
      <c r="L139" s="127"/>
      <c r="M139" s="12">
        <f t="shared" ca="1" si="50"/>
        <v>0</v>
      </c>
      <c r="N139" s="2" t="str">
        <f t="shared" si="51"/>
        <v>Curl spider</v>
      </c>
      <c r="O139" s="126">
        <f t="shared" ca="1" si="52"/>
        <v>0</v>
      </c>
      <c r="P139" s="127"/>
      <c r="Q139" s="12"/>
      <c r="R139" s="2">
        <f t="shared" si="53"/>
        <v>0</v>
      </c>
      <c r="S139" s="126">
        <f t="shared" ca="1" si="54"/>
        <v>0</v>
      </c>
      <c r="T139" s="127"/>
      <c r="U139" s="13">
        <f t="shared" ca="1" si="55"/>
        <v>0</v>
      </c>
      <c r="V139" s="2">
        <f t="shared" si="56"/>
        <v>0</v>
      </c>
      <c r="W139" s="126">
        <f t="shared" ca="1" si="57"/>
        <v>0</v>
      </c>
      <c r="X139" s="127"/>
      <c r="Y139" s="12">
        <f t="shared" ca="1" si="58"/>
        <v>0</v>
      </c>
      <c r="Z139" s="2">
        <f t="shared" si="59"/>
        <v>0</v>
      </c>
      <c r="AA139" s="126">
        <f t="shared" ca="1" si="60"/>
        <v>0</v>
      </c>
      <c r="AB139" s="127"/>
      <c r="AC139" s="12">
        <f t="shared" ca="1" si="61"/>
        <v>0</v>
      </c>
      <c r="AD139" s="140"/>
      <c r="AE139" s="140"/>
      <c r="AF139" s="140"/>
      <c r="AG139" s="140"/>
      <c r="AH139" s="113"/>
      <c r="AI139" s="136"/>
      <c r="AJ139" s="136"/>
    </row>
    <row r="140" spans="1:36" x14ac:dyDescent="0.25">
      <c r="A140" s="137"/>
      <c r="B140" s="2">
        <f t="shared" si="42"/>
        <v>0</v>
      </c>
      <c r="C140" s="126">
        <f t="shared" ca="1" si="43"/>
        <v>0</v>
      </c>
      <c r="D140" s="127"/>
      <c r="E140" s="13">
        <f t="shared" ca="1" si="44"/>
        <v>0</v>
      </c>
      <c r="F140" s="2">
        <f t="shared" si="45"/>
        <v>0</v>
      </c>
      <c r="G140" s="126">
        <f t="shared" ca="1" si="46"/>
        <v>0</v>
      </c>
      <c r="H140" s="127"/>
      <c r="I140" s="12">
        <f t="shared" ca="1" si="47"/>
        <v>0</v>
      </c>
      <c r="J140" s="2" t="str">
        <f t="shared" si="48"/>
        <v>Remo mancuerna banco inclinado</v>
      </c>
      <c r="K140" s="126">
        <f t="shared" ca="1" si="49"/>
        <v>0</v>
      </c>
      <c r="L140" s="127"/>
      <c r="M140" s="12">
        <f t="shared" ca="1" si="50"/>
        <v>0</v>
      </c>
      <c r="N140" s="2" t="str">
        <f t="shared" si="51"/>
        <v>Curl invertido barra z</v>
      </c>
      <c r="O140" s="126">
        <f t="shared" ca="1" si="52"/>
        <v>0</v>
      </c>
      <c r="P140" s="127"/>
      <c r="Q140" s="12"/>
      <c r="R140" s="2">
        <f t="shared" si="53"/>
        <v>0</v>
      </c>
      <c r="S140" s="126">
        <f t="shared" ca="1" si="54"/>
        <v>0</v>
      </c>
      <c r="T140" s="127"/>
      <c r="U140" s="13">
        <f t="shared" ca="1" si="55"/>
        <v>0</v>
      </c>
      <c r="V140" s="2">
        <f t="shared" si="56"/>
        <v>0</v>
      </c>
      <c r="W140" s="126">
        <f t="shared" ca="1" si="57"/>
        <v>0</v>
      </c>
      <c r="X140" s="127"/>
      <c r="Y140" s="12">
        <f t="shared" ca="1" si="58"/>
        <v>0</v>
      </c>
      <c r="Z140" s="2">
        <f t="shared" si="59"/>
        <v>0</v>
      </c>
      <c r="AA140" s="126">
        <f t="shared" ca="1" si="60"/>
        <v>0</v>
      </c>
      <c r="AB140" s="127"/>
      <c r="AC140" s="12">
        <f t="shared" ca="1" si="61"/>
        <v>0</v>
      </c>
      <c r="AD140" s="140"/>
      <c r="AE140" s="140"/>
      <c r="AF140" s="140"/>
      <c r="AG140" s="140"/>
      <c r="AH140" s="113"/>
      <c r="AI140" s="136"/>
      <c r="AJ140" s="136"/>
    </row>
    <row r="141" spans="1:36" x14ac:dyDescent="0.25">
      <c r="A141" s="137"/>
      <c r="B141" s="2">
        <f t="shared" si="42"/>
        <v>0</v>
      </c>
      <c r="C141" s="126">
        <f t="shared" ca="1" si="43"/>
        <v>0</v>
      </c>
      <c r="D141" s="127"/>
      <c r="E141" s="13">
        <f t="shared" ca="1" si="44"/>
        <v>0</v>
      </c>
      <c r="F141" s="2">
        <f t="shared" si="45"/>
        <v>0</v>
      </c>
      <c r="G141" s="126">
        <f t="shared" ca="1" si="46"/>
        <v>0</v>
      </c>
      <c r="H141" s="127"/>
      <c r="I141" s="12">
        <f t="shared" ca="1" si="47"/>
        <v>0</v>
      </c>
      <c r="J141" s="2" t="str">
        <f t="shared" si="48"/>
        <v>Pulldown polea sentado agarre en v</v>
      </c>
      <c r="K141" s="126">
        <f t="shared" ca="1" si="49"/>
        <v>0</v>
      </c>
      <c r="L141" s="127"/>
      <c r="M141" s="12">
        <f t="shared" ca="1" si="50"/>
        <v>0</v>
      </c>
      <c r="N141" s="2" t="str">
        <f t="shared" si="51"/>
        <v>Predicador barra</v>
      </c>
      <c r="O141" s="126">
        <f t="shared" ca="1" si="52"/>
        <v>0</v>
      </c>
      <c r="P141" s="127"/>
      <c r="Q141" s="12"/>
      <c r="R141" s="2">
        <f t="shared" si="53"/>
        <v>0</v>
      </c>
      <c r="S141" s="126">
        <f t="shared" ca="1" si="54"/>
        <v>0</v>
      </c>
      <c r="T141" s="127"/>
      <c r="U141" s="13">
        <f t="shared" ca="1" si="55"/>
        <v>0</v>
      </c>
      <c r="V141" s="2">
        <f t="shared" si="56"/>
        <v>0</v>
      </c>
      <c r="W141" s="126">
        <f t="shared" ca="1" si="57"/>
        <v>0</v>
      </c>
      <c r="X141" s="127"/>
      <c r="Y141" s="12">
        <f t="shared" ca="1" si="58"/>
        <v>0</v>
      </c>
      <c r="Z141" s="2">
        <f t="shared" si="59"/>
        <v>0</v>
      </c>
      <c r="AA141" s="126">
        <f t="shared" ca="1" si="60"/>
        <v>0</v>
      </c>
      <c r="AB141" s="127"/>
      <c r="AC141" s="12">
        <f t="shared" ca="1" si="61"/>
        <v>0</v>
      </c>
      <c r="AD141" s="140"/>
      <c r="AE141" s="140"/>
      <c r="AF141" s="140"/>
      <c r="AG141" s="140"/>
      <c r="AH141" s="113"/>
      <c r="AI141" s="136"/>
      <c r="AJ141" s="136"/>
    </row>
    <row r="142" spans="1:36" x14ac:dyDescent="0.25">
      <c r="A142" s="137"/>
      <c r="B142" s="2">
        <f t="shared" si="42"/>
        <v>0</v>
      </c>
      <c r="C142" s="126">
        <f t="shared" ca="1" si="43"/>
        <v>0</v>
      </c>
      <c r="D142" s="127"/>
      <c r="E142" s="13">
        <f t="shared" ca="1" si="44"/>
        <v>0</v>
      </c>
      <c r="F142" s="2">
        <f t="shared" si="45"/>
        <v>0</v>
      </c>
      <c r="G142" s="126">
        <f t="shared" ca="1" si="46"/>
        <v>0</v>
      </c>
      <c r="H142" s="127"/>
      <c r="I142" s="12">
        <f t="shared" ca="1" si="47"/>
        <v>0</v>
      </c>
      <c r="J142" s="2" t="str">
        <f t="shared" si="48"/>
        <v>Remo landmine</v>
      </c>
      <c r="K142" s="126">
        <f t="shared" ca="1" si="49"/>
        <v>0</v>
      </c>
      <c r="L142" s="127"/>
      <c r="M142" s="12">
        <f t="shared" ca="1" si="50"/>
        <v>0</v>
      </c>
      <c r="N142" s="2" t="str">
        <f t="shared" si="51"/>
        <v>Curl mancuerna sentado inclinado</v>
      </c>
      <c r="O142" s="126">
        <f t="shared" ca="1" si="52"/>
        <v>0</v>
      </c>
      <c r="P142" s="127"/>
      <c r="Q142" s="12"/>
      <c r="R142" s="2">
        <f t="shared" si="53"/>
        <v>0</v>
      </c>
      <c r="S142" s="126">
        <f t="shared" ca="1" si="54"/>
        <v>0</v>
      </c>
      <c r="T142" s="127"/>
      <c r="U142" s="13">
        <f t="shared" ca="1" si="55"/>
        <v>0</v>
      </c>
      <c r="V142" s="2">
        <f t="shared" si="56"/>
        <v>0</v>
      </c>
      <c r="W142" s="126">
        <f t="shared" ca="1" si="57"/>
        <v>0</v>
      </c>
      <c r="X142" s="127"/>
      <c r="Y142" s="12">
        <f t="shared" ca="1" si="58"/>
        <v>0</v>
      </c>
      <c r="Z142" s="2">
        <f t="shared" si="59"/>
        <v>0</v>
      </c>
      <c r="AA142" s="126">
        <f t="shared" ca="1" si="60"/>
        <v>0</v>
      </c>
      <c r="AB142" s="127"/>
      <c r="AC142" s="12">
        <f t="shared" ca="1" si="61"/>
        <v>0</v>
      </c>
      <c r="AD142" s="140"/>
      <c r="AE142" s="140"/>
      <c r="AF142" s="140"/>
      <c r="AG142" s="140"/>
      <c r="AH142" s="113"/>
      <c r="AI142" s="136"/>
      <c r="AJ142" s="136"/>
    </row>
    <row r="143" spans="1:36" x14ac:dyDescent="0.25">
      <c r="A143" s="137"/>
      <c r="B143" s="2">
        <f t="shared" si="42"/>
        <v>0</v>
      </c>
      <c r="C143" s="126">
        <f t="shared" ca="1" si="43"/>
        <v>0</v>
      </c>
      <c r="D143" s="127"/>
      <c r="E143" s="13">
        <f t="shared" ca="1" si="44"/>
        <v>0</v>
      </c>
      <c r="F143" s="2">
        <f t="shared" si="45"/>
        <v>0</v>
      </c>
      <c r="G143" s="126">
        <f t="shared" ca="1" si="46"/>
        <v>0</v>
      </c>
      <c r="H143" s="127"/>
      <c r="I143" s="12">
        <f t="shared" ca="1" si="47"/>
        <v>0</v>
      </c>
      <c r="J143" s="2" t="str">
        <f t="shared" si="48"/>
        <v>Plancha paracaídas</v>
      </c>
      <c r="K143" s="126">
        <f t="shared" ca="1" si="49"/>
        <v>0</v>
      </c>
      <c r="L143" s="127"/>
      <c r="M143" s="12">
        <f t="shared" ca="1" si="50"/>
        <v>0</v>
      </c>
      <c r="N143" s="2">
        <f t="shared" si="51"/>
        <v>0</v>
      </c>
      <c r="O143" s="126">
        <f t="shared" ca="1" si="52"/>
        <v>0</v>
      </c>
      <c r="P143" s="127"/>
      <c r="Q143" s="12"/>
      <c r="R143" s="2">
        <f t="shared" si="53"/>
        <v>0</v>
      </c>
      <c r="S143" s="126">
        <f t="shared" ca="1" si="54"/>
        <v>0</v>
      </c>
      <c r="T143" s="127"/>
      <c r="U143" s="13">
        <f t="shared" ca="1" si="55"/>
        <v>0</v>
      </c>
      <c r="V143" s="2">
        <f t="shared" si="56"/>
        <v>0</v>
      </c>
      <c r="W143" s="126">
        <f t="shared" ca="1" si="57"/>
        <v>0</v>
      </c>
      <c r="X143" s="127"/>
      <c r="Y143" s="12">
        <f t="shared" ca="1" si="58"/>
        <v>0</v>
      </c>
      <c r="Z143" s="2">
        <f t="shared" si="59"/>
        <v>0</v>
      </c>
      <c r="AA143" s="126">
        <f t="shared" ca="1" si="60"/>
        <v>0</v>
      </c>
      <c r="AB143" s="127"/>
      <c r="AC143" s="12">
        <f t="shared" ca="1" si="61"/>
        <v>0</v>
      </c>
      <c r="AD143" s="140"/>
      <c r="AE143" s="140"/>
      <c r="AF143" s="140"/>
      <c r="AG143" s="140"/>
      <c r="AH143" s="113"/>
      <c r="AI143" s="136"/>
      <c r="AJ143" s="136"/>
    </row>
    <row r="144" spans="1:36" x14ac:dyDescent="0.25">
      <c r="A144" s="137"/>
      <c r="B144" s="2">
        <f t="shared" si="42"/>
        <v>0</v>
      </c>
      <c r="C144" s="126">
        <f t="shared" ca="1" si="43"/>
        <v>0</v>
      </c>
      <c r="D144" s="127"/>
      <c r="E144" s="13">
        <f t="shared" ca="1" si="44"/>
        <v>0</v>
      </c>
      <c r="F144" s="2">
        <f t="shared" si="45"/>
        <v>0</v>
      </c>
      <c r="G144" s="126">
        <f t="shared" ca="1" si="46"/>
        <v>0</v>
      </c>
      <c r="H144" s="127"/>
      <c r="I144" s="12">
        <f t="shared" ca="1" si="47"/>
        <v>0</v>
      </c>
      <c r="J144" s="2">
        <f t="shared" si="48"/>
        <v>0</v>
      </c>
      <c r="K144" s="126">
        <f t="shared" ca="1" si="49"/>
        <v>0</v>
      </c>
      <c r="L144" s="127"/>
      <c r="M144" s="12">
        <f t="shared" ca="1" si="50"/>
        <v>0</v>
      </c>
      <c r="N144" s="2">
        <f t="shared" si="51"/>
        <v>0</v>
      </c>
      <c r="O144" s="126">
        <f t="shared" ca="1" si="52"/>
        <v>0</v>
      </c>
      <c r="P144" s="127"/>
      <c r="Q144" s="12"/>
      <c r="R144" s="2" t="str">
        <f t="shared" si="53"/>
        <v>Press hombro mancuerna sentado</v>
      </c>
      <c r="S144" s="126">
        <f t="shared" ca="1" si="54"/>
        <v>0</v>
      </c>
      <c r="T144" s="127"/>
      <c r="U144" s="13">
        <f t="shared" ca="1" si="55"/>
        <v>0</v>
      </c>
      <c r="V144" s="2">
        <f t="shared" si="56"/>
        <v>0</v>
      </c>
      <c r="W144" s="126">
        <f t="shared" ca="1" si="57"/>
        <v>0</v>
      </c>
      <c r="X144" s="127"/>
      <c r="Y144" s="12">
        <f t="shared" ca="1" si="58"/>
        <v>0</v>
      </c>
      <c r="Z144" s="2" t="str">
        <f>Z35</f>
        <v>Otis-up</v>
      </c>
      <c r="AA144" s="126">
        <f ca="1">IF(TODAY()=$A$114,AA35*AB35*AC35,AA144)</f>
        <v>0</v>
      </c>
      <c r="AB144" s="127"/>
      <c r="AC144" s="12">
        <f ca="1">IF(TODAY()=$A$114,AC35,AC144)</f>
        <v>0</v>
      </c>
      <c r="AD144" s="140"/>
      <c r="AE144" s="140"/>
      <c r="AF144" s="140"/>
      <c r="AG144" s="140"/>
      <c r="AH144" s="113"/>
      <c r="AI144" s="136"/>
      <c r="AJ144" s="136"/>
    </row>
    <row r="145" spans="1:36" x14ac:dyDescent="0.25">
      <c r="A145" s="137"/>
      <c r="B145" s="2">
        <f t="shared" si="42"/>
        <v>0</v>
      </c>
      <c r="C145" s="126">
        <f t="shared" ca="1" si="43"/>
        <v>0</v>
      </c>
      <c r="D145" s="127"/>
      <c r="E145" s="13">
        <f t="shared" ca="1" si="44"/>
        <v>0</v>
      </c>
      <c r="F145" s="2">
        <f t="shared" si="45"/>
        <v>0</v>
      </c>
      <c r="G145" s="126">
        <f t="shared" ca="1" si="46"/>
        <v>0</v>
      </c>
      <c r="H145" s="127"/>
      <c r="I145" s="12">
        <f t="shared" ca="1" si="47"/>
        <v>0</v>
      </c>
      <c r="J145" s="2">
        <f t="shared" si="48"/>
        <v>0</v>
      </c>
      <c r="K145" s="126">
        <f t="shared" ca="1" si="49"/>
        <v>0</v>
      </c>
      <c r="L145" s="127"/>
      <c r="M145" s="12">
        <f t="shared" ca="1" si="50"/>
        <v>0</v>
      </c>
      <c r="N145" s="2">
        <f t="shared" si="51"/>
        <v>0</v>
      </c>
      <c r="O145" s="126">
        <f t="shared" ca="1" si="52"/>
        <v>0</v>
      </c>
      <c r="P145" s="127"/>
      <c r="Q145" s="12"/>
      <c r="R145" s="2" t="str">
        <f t="shared" si="53"/>
        <v>Elevaciones laterales mancuerna banco inclinado</v>
      </c>
      <c r="S145" s="126">
        <f t="shared" ca="1" si="54"/>
        <v>0</v>
      </c>
      <c r="T145" s="127"/>
      <c r="U145" s="13">
        <f t="shared" ca="1" si="55"/>
        <v>0</v>
      </c>
      <c r="V145" s="2">
        <f t="shared" si="56"/>
        <v>0</v>
      </c>
      <c r="W145" s="126">
        <f t="shared" ca="1" si="57"/>
        <v>0</v>
      </c>
      <c r="X145" s="127"/>
      <c r="Y145" s="12">
        <f t="shared" ca="1" si="58"/>
        <v>0</v>
      </c>
      <c r="Z145" s="2" t="str">
        <f>Z36</f>
        <v>V-ups</v>
      </c>
      <c r="AA145" s="126">
        <f ca="1">IF(TODAY()=$A$114,AA36*AB36*AC36,AA145)</f>
        <v>0</v>
      </c>
      <c r="AB145" s="127"/>
      <c r="AC145" s="12">
        <f ca="1">IF(TODAY()=$A$114,AC36,AC145)</f>
        <v>0</v>
      </c>
      <c r="AD145" s="140"/>
      <c r="AE145" s="140"/>
      <c r="AF145" s="140"/>
      <c r="AG145" s="140"/>
      <c r="AH145" s="113"/>
      <c r="AI145" s="136"/>
      <c r="AJ145" s="136"/>
    </row>
    <row r="146" spans="1:36" x14ac:dyDescent="0.25">
      <c r="A146" s="137"/>
      <c r="B146" s="2">
        <f t="shared" si="42"/>
        <v>0</v>
      </c>
      <c r="C146" s="126">
        <f t="shared" ca="1" si="43"/>
        <v>0</v>
      </c>
      <c r="D146" s="127"/>
      <c r="E146" s="13">
        <f t="shared" ca="1" si="44"/>
        <v>0</v>
      </c>
      <c r="F146" s="2">
        <f t="shared" si="45"/>
        <v>0</v>
      </c>
      <c r="G146" s="126">
        <f t="shared" ca="1" si="46"/>
        <v>0</v>
      </c>
      <c r="H146" s="127"/>
      <c r="I146" s="12">
        <f t="shared" ca="1" si="47"/>
        <v>0</v>
      </c>
      <c r="J146" s="2">
        <f t="shared" si="48"/>
        <v>0</v>
      </c>
      <c r="K146" s="126">
        <f t="shared" ca="1" si="49"/>
        <v>0</v>
      </c>
      <c r="L146" s="127"/>
      <c r="M146" s="12">
        <f t="shared" ca="1" si="50"/>
        <v>0</v>
      </c>
      <c r="N146" s="2">
        <f t="shared" si="51"/>
        <v>0</v>
      </c>
      <c r="O146" s="126">
        <f t="shared" ca="1" si="52"/>
        <v>0</v>
      </c>
      <c r="P146" s="127"/>
      <c r="Q146" s="12"/>
      <c r="R146" s="2" t="str">
        <f t="shared" si="53"/>
        <v>Elevaciones frontales barra banco inclinado</v>
      </c>
      <c r="S146" s="126">
        <f t="shared" ca="1" si="54"/>
        <v>0</v>
      </c>
      <c r="T146" s="127"/>
      <c r="U146" s="13">
        <f t="shared" ca="1" si="55"/>
        <v>0</v>
      </c>
      <c r="V146" s="2">
        <f t="shared" si="56"/>
        <v>0</v>
      </c>
      <c r="W146" s="126">
        <f t="shared" ca="1" si="57"/>
        <v>0</v>
      </c>
      <c r="X146" s="127"/>
      <c r="Y146" s="12">
        <f t="shared" ca="1" si="58"/>
        <v>0</v>
      </c>
      <c r="Z146" s="2" t="str">
        <f>Z37</f>
        <v>Butt-ups</v>
      </c>
      <c r="AA146" s="126">
        <f ca="1">IF(TODAY()=$A$114,AA37*AB37*AC37,AA146)</f>
        <v>0</v>
      </c>
      <c r="AB146" s="127"/>
      <c r="AC146" s="12">
        <f ca="1">IF(TODAY()=$A$114,AC37,AC146)</f>
        <v>0</v>
      </c>
      <c r="AD146" s="140"/>
      <c r="AE146" s="140"/>
      <c r="AF146" s="140"/>
      <c r="AG146" s="140"/>
      <c r="AH146" s="113"/>
      <c r="AI146" s="136"/>
      <c r="AJ146" s="136"/>
    </row>
    <row r="147" spans="1:36" x14ac:dyDescent="0.25">
      <c r="A147" s="137"/>
      <c r="B147" s="2">
        <f t="shared" si="42"/>
        <v>0</v>
      </c>
      <c r="C147" s="126">
        <f t="shared" ca="1" si="43"/>
        <v>0</v>
      </c>
      <c r="D147" s="127"/>
      <c r="E147" s="13">
        <f t="shared" ca="1" si="44"/>
        <v>0</v>
      </c>
      <c r="F147" s="2">
        <f t="shared" si="45"/>
        <v>0</v>
      </c>
      <c r="G147" s="126">
        <f t="shared" ca="1" si="46"/>
        <v>0</v>
      </c>
      <c r="H147" s="127"/>
      <c r="I147" s="12">
        <f t="shared" ca="1" si="47"/>
        <v>0</v>
      </c>
      <c r="J147" s="2">
        <f t="shared" si="48"/>
        <v>0</v>
      </c>
      <c r="K147" s="126">
        <f t="shared" ca="1" si="49"/>
        <v>0</v>
      </c>
      <c r="L147" s="127"/>
      <c r="M147" s="12">
        <f t="shared" ca="1" si="50"/>
        <v>0</v>
      </c>
      <c r="N147" s="2">
        <f t="shared" si="51"/>
        <v>0</v>
      </c>
      <c r="O147" s="126">
        <f t="shared" ca="1" si="52"/>
        <v>0</v>
      </c>
      <c r="P147" s="127"/>
      <c r="Q147" s="12"/>
      <c r="R147" s="2" t="str">
        <f t="shared" si="53"/>
        <v>Press arnold</v>
      </c>
      <c r="S147" s="126">
        <f t="shared" ca="1" si="54"/>
        <v>0</v>
      </c>
      <c r="T147" s="127"/>
      <c r="U147" s="13">
        <f t="shared" ca="1" si="55"/>
        <v>0</v>
      </c>
      <c r="V147" s="2">
        <f t="shared" si="56"/>
        <v>0</v>
      </c>
      <c r="W147" s="126">
        <f t="shared" ca="1" si="57"/>
        <v>0</v>
      </c>
      <c r="X147" s="127"/>
      <c r="Y147" s="12">
        <f t="shared" ca="1" si="58"/>
        <v>0</v>
      </c>
      <c r="Z147" s="2" t="str">
        <f>Z38</f>
        <v>Full moon</v>
      </c>
      <c r="AA147" s="126">
        <f ca="1">IF(TODAY()=$A$114,AA38*AB38*AC38,AA147)</f>
        <v>0</v>
      </c>
      <c r="AB147" s="127"/>
      <c r="AC147" s="12">
        <f ca="1">IF(TODAY()=$A$114,AC38,AC147)</f>
        <v>0</v>
      </c>
      <c r="AD147" s="140"/>
      <c r="AE147" s="140"/>
      <c r="AF147" s="140"/>
      <c r="AG147" s="140"/>
      <c r="AH147" s="113"/>
      <c r="AI147" s="136"/>
      <c r="AJ147" s="136"/>
    </row>
    <row r="148" spans="1:36" x14ac:dyDescent="0.25">
      <c r="A148" s="138"/>
      <c r="B148" s="2">
        <f t="shared" si="42"/>
        <v>0</v>
      </c>
      <c r="C148" s="126">
        <f t="shared" ca="1" si="43"/>
        <v>0</v>
      </c>
      <c r="D148" s="127"/>
      <c r="E148" s="13">
        <f t="shared" ca="1" si="44"/>
        <v>0</v>
      </c>
      <c r="F148" s="2">
        <f t="shared" si="45"/>
        <v>0</v>
      </c>
      <c r="G148" s="126">
        <f t="shared" ca="1" si="46"/>
        <v>0</v>
      </c>
      <c r="H148" s="127"/>
      <c r="I148" s="12">
        <f t="shared" ca="1" si="47"/>
        <v>0</v>
      </c>
      <c r="J148" s="2">
        <f t="shared" si="48"/>
        <v>0</v>
      </c>
      <c r="K148" s="126">
        <f t="shared" ca="1" si="49"/>
        <v>0</v>
      </c>
      <c r="L148" s="127"/>
      <c r="M148" s="12">
        <f t="shared" ca="1" si="50"/>
        <v>0</v>
      </c>
      <c r="N148" s="2">
        <f t="shared" si="51"/>
        <v>0</v>
      </c>
      <c r="O148" s="126">
        <f t="shared" ca="1" si="52"/>
        <v>0</v>
      </c>
      <c r="P148" s="127"/>
      <c r="Q148" s="12"/>
      <c r="R148" s="2">
        <f t="shared" si="53"/>
        <v>0</v>
      </c>
      <c r="S148" s="126">
        <f t="shared" ca="1" si="54"/>
        <v>0</v>
      </c>
      <c r="T148" s="127"/>
      <c r="U148" s="13">
        <f t="shared" ca="1" si="55"/>
        <v>0</v>
      </c>
      <c r="V148" s="2">
        <f t="shared" si="56"/>
        <v>0</v>
      </c>
      <c r="W148" s="126">
        <f t="shared" ca="1" si="57"/>
        <v>0</v>
      </c>
      <c r="X148" s="127"/>
      <c r="Y148" s="12">
        <f t="shared" ca="1" si="58"/>
        <v>0</v>
      </c>
      <c r="Z148" s="2" t="str">
        <f>Z39</f>
        <v>Plancha</v>
      </c>
      <c r="AA148" s="126">
        <f ca="1">IF(TODAY()=$A$114,AA39*AB39*AC39,AA148)</f>
        <v>0</v>
      </c>
      <c r="AB148" s="127"/>
      <c r="AC148" s="12">
        <f ca="1">IF(TODAY()=$A$114,AC39,AC148)</f>
        <v>0</v>
      </c>
      <c r="AD148" s="140"/>
      <c r="AE148" s="140"/>
      <c r="AF148" s="140"/>
      <c r="AG148" s="140"/>
      <c r="AH148" s="113"/>
      <c r="AI148" s="136"/>
      <c r="AJ148" s="136"/>
    </row>
    <row r="149" spans="1:36" x14ac:dyDescent="0.25">
      <c r="A149" s="137">
        <v>44618</v>
      </c>
      <c r="B149" s="2" t="str">
        <f t="shared" ref="B149:B183" si="63">B5</f>
        <v>Press plano</v>
      </c>
      <c r="C149" s="126">
        <f t="shared" ref="C149:C183" ca="1" si="64">IF(TODAY()=$A$149,C5*D5*E5,C149)</f>
        <v>0</v>
      </c>
      <c r="D149" s="127"/>
      <c r="E149" s="13">
        <f t="shared" ref="E149:E183" ca="1" si="65">IF(TODAY()=$A$149,E5,E149)</f>
        <v>0</v>
      </c>
      <c r="F149" s="2" t="str">
        <f t="shared" ref="F149:F183" si="66">F5</f>
        <v>Body ups</v>
      </c>
      <c r="G149" s="126">
        <f t="shared" ref="G149:G183" ca="1" si="67">IF(TODAY()=$A$149,G5*H5*I5,G149)</f>
        <v>0</v>
      </c>
      <c r="H149" s="127"/>
      <c r="I149" s="12">
        <f t="shared" ref="I149:I183" ca="1" si="68">IF(TODAY()=$A$149,I5,I149)</f>
        <v>0</v>
      </c>
      <c r="J149" s="2">
        <f t="shared" ref="J149:J183" si="69">J5</f>
        <v>0</v>
      </c>
      <c r="K149" s="126">
        <f t="shared" ref="K149:K183" ca="1" si="70">IF(TODAY()=$A$149,K5*L5*M5,K149)</f>
        <v>0</v>
      </c>
      <c r="L149" s="127"/>
      <c r="M149" s="12">
        <f ca="1">IF(TODAY()=$A$149,M5,M149)</f>
        <v>0</v>
      </c>
      <c r="N149" s="2">
        <f t="shared" ref="N149:N183" si="71">N5</f>
        <v>0</v>
      </c>
      <c r="O149" s="126">
        <f t="shared" ref="O149:O183" ca="1" si="72">IF(TODAY()=$A$149,O5*P5*Q5,O149)</f>
        <v>0</v>
      </c>
      <c r="P149" s="127"/>
      <c r="Q149" s="12"/>
      <c r="R149" s="2">
        <f t="shared" ref="R149:R183" si="73">R5</f>
        <v>0</v>
      </c>
      <c r="S149" s="126">
        <f t="shared" ref="S149:S183" ca="1" si="74">IF(TODAY()=$A$149,S5*T5*U5,S149)</f>
        <v>0</v>
      </c>
      <c r="T149" s="127"/>
      <c r="U149" s="13">
        <f t="shared" ref="U149:U183" ca="1" si="75">IF(TODAY()=$A$149,U5,U149)</f>
        <v>0</v>
      </c>
      <c r="V149" s="2">
        <f t="shared" ref="V149:V183" si="76">V5</f>
        <v>0</v>
      </c>
      <c r="W149" s="126">
        <f t="shared" ref="W149:W183" ca="1" si="77">IF(TODAY()=$A$149,W5*X5*Y5,W149)</f>
        <v>0</v>
      </c>
      <c r="X149" s="127"/>
      <c r="Y149" s="12">
        <f t="shared" ref="Y149:Y183" ca="1" si="78">IF(TODAY()=$A$149,Y5,Y149)</f>
        <v>0</v>
      </c>
      <c r="Z149" s="2">
        <f t="shared" ref="Z149:Z178" si="79">Z5</f>
        <v>0</v>
      </c>
      <c r="AA149" s="126">
        <f t="shared" ref="AA149:AA178" ca="1" si="80">IF(TODAY()=$A$149,AA5*AB5*AC5,AA149)</f>
        <v>0</v>
      </c>
      <c r="AB149" s="127"/>
      <c r="AC149" s="12">
        <f t="shared" ref="AC149:AC178" ca="1" si="81">IF(TODAY()=$A$149,AC5,AC149)</f>
        <v>0</v>
      </c>
      <c r="AD149" s="139">
        <f ca="1">SUM(C149:E183,G149:I183,K149:M183,O149:Q183,S149:U183,W149:Y183,AA149:AC183)</f>
        <v>0</v>
      </c>
      <c r="AE149" s="139"/>
      <c r="AF149" s="139"/>
      <c r="AG149" s="139"/>
      <c r="AH149" s="112" t="e">
        <f t="shared" ref="AH149" ca="1" si="82">(AD149-AD114)/AD114</f>
        <v>#DIV/0!</v>
      </c>
      <c r="AI149" s="135"/>
      <c r="AJ149" s="135"/>
    </row>
    <row r="150" spans="1:36" x14ac:dyDescent="0.25">
      <c r="A150" s="137"/>
      <c r="B150" s="2" t="str">
        <f t="shared" si="63"/>
        <v>Press plano mancuerna trifásico</v>
      </c>
      <c r="C150" s="126">
        <f t="shared" ca="1" si="64"/>
        <v>0</v>
      </c>
      <c r="D150" s="127"/>
      <c r="E150" s="13">
        <f t="shared" ca="1" si="65"/>
        <v>0</v>
      </c>
      <c r="F150" s="2" t="str">
        <f t="shared" si="66"/>
        <v>Fondos tríceps paralelas</v>
      </c>
      <c r="G150" s="126">
        <f t="shared" ca="1" si="67"/>
        <v>0</v>
      </c>
      <c r="H150" s="127"/>
      <c r="I150" s="12">
        <f t="shared" ca="1" si="68"/>
        <v>0</v>
      </c>
      <c r="J150" s="2">
        <f t="shared" si="69"/>
        <v>0</v>
      </c>
      <c r="K150" s="126">
        <f t="shared" ca="1" si="70"/>
        <v>0</v>
      </c>
      <c r="L150" s="127"/>
      <c r="M150" s="12"/>
      <c r="N150" s="2">
        <f t="shared" si="71"/>
        <v>0</v>
      </c>
      <c r="O150" s="126">
        <f t="shared" ca="1" si="72"/>
        <v>0</v>
      </c>
      <c r="P150" s="127"/>
      <c r="Q150" s="12">
        <f t="shared" ref="Q150:Q183" ca="1" si="83">IF(TODAY()=$A$149,Q6,Q150)</f>
        <v>0</v>
      </c>
      <c r="R150" s="2">
        <f t="shared" si="73"/>
        <v>0</v>
      </c>
      <c r="S150" s="126">
        <f t="shared" ca="1" si="74"/>
        <v>0</v>
      </c>
      <c r="T150" s="127"/>
      <c r="U150" s="13">
        <f t="shared" ca="1" si="75"/>
        <v>0</v>
      </c>
      <c r="V150" s="2">
        <f t="shared" si="76"/>
        <v>0</v>
      </c>
      <c r="W150" s="126">
        <f t="shared" ca="1" si="77"/>
        <v>0</v>
      </c>
      <c r="X150" s="127"/>
      <c r="Y150" s="12">
        <f t="shared" ca="1" si="78"/>
        <v>0</v>
      </c>
      <c r="Z150" s="2">
        <f t="shared" si="79"/>
        <v>0</v>
      </c>
      <c r="AA150" s="126">
        <f t="shared" ca="1" si="80"/>
        <v>0</v>
      </c>
      <c r="AB150" s="127"/>
      <c r="AC150" s="12">
        <f t="shared" ca="1" si="81"/>
        <v>0</v>
      </c>
      <c r="AD150" s="140"/>
      <c r="AE150" s="140"/>
      <c r="AF150" s="140"/>
      <c r="AG150" s="140"/>
      <c r="AH150" s="113"/>
      <c r="AI150" s="136"/>
      <c r="AJ150" s="136"/>
    </row>
    <row r="151" spans="1:36" x14ac:dyDescent="0.25">
      <c r="A151" s="137"/>
      <c r="B151" s="2" t="str">
        <f t="shared" si="63"/>
        <v>Press inclinado mancuerna</v>
      </c>
      <c r="C151" s="126">
        <f t="shared" ca="1" si="64"/>
        <v>0</v>
      </c>
      <c r="D151" s="127"/>
      <c r="E151" s="13">
        <f t="shared" ca="1" si="65"/>
        <v>0</v>
      </c>
      <c r="F151" s="2" t="str">
        <f t="shared" si="66"/>
        <v>Fondos máquina</v>
      </c>
      <c r="G151" s="126">
        <f t="shared" ca="1" si="67"/>
        <v>0</v>
      </c>
      <c r="H151" s="127"/>
      <c r="I151" s="12">
        <f t="shared" ca="1" si="68"/>
        <v>0</v>
      </c>
      <c r="J151" s="2">
        <f t="shared" si="69"/>
        <v>0</v>
      </c>
      <c r="K151" s="126">
        <f t="shared" ca="1" si="70"/>
        <v>0</v>
      </c>
      <c r="L151" s="127"/>
      <c r="M151" s="12"/>
      <c r="N151" s="2">
        <f t="shared" si="71"/>
        <v>0</v>
      </c>
      <c r="O151" s="126">
        <f t="shared" ca="1" si="72"/>
        <v>0</v>
      </c>
      <c r="P151" s="127"/>
      <c r="Q151" s="12">
        <f t="shared" ca="1" si="83"/>
        <v>0</v>
      </c>
      <c r="R151" s="2">
        <f t="shared" si="73"/>
        <v>0</v>
      </c>
      <c r="S151" s="126">
        <f t="shared" ca="1" si="74"/>
        <v>0</v>
      </c>
      <c r="T151" s="127"/>
      <c r="U151" s="13">
        <f t="shared" ca="1" si="75"/>
        <v>0</v>
      </c>
      <c r="V151" s="2">
        <f t="shared" si="76"/>
        <v>0</v>
      </c>
      <c r="W151" s="126">
        <f t="shared" ca="1" si="77"/>
        <v>0</v>
      </c>
      <c r="X151" s="127"/>
      <c r="Y151" s="12">
        <f t="shared" ca="1" si="78"/>
        <v>0</v>
      </c>
      <c r="Z151" s="2">
        <f t="shared" si="79"/>
        <v>0</v>
      </c>
      <c r="AA151" s="126">
        <f t="shared" ca="1" si="80"/>
        <v>0</v>
      </c>
      <c r="AB151" s="127"/>
      <c r="AC151" s="12">
        <f t="shared" ca="1" si="81"/>
        <v>0</v>
      </c>
      <c r="AD151" s="140"/>
      <c r="AE151" s="140"/>
      <c r="AF151" s="140"/>
      <c r="AG151" s="140"/>
      <c r="AH151" s="113"/>
      <c r="AI151" s="136"/>
      <c r="AJ151" s="136"/>
    </row>
    <row r="152" spans="1:36" x14ac:dyDescent="0.25">
      <c r="A152" s="137"/>
      <c r="B152" s="2" t="str">
        <f t="shared" si="63"/>
        <v>Vuelos máquina</v>
      </c>
      <c r="C152" s="126">
        <f t="shared" ca="1" si="64"/>
        <v>0</v>
      </c>
      <c r="D152" s="127"/>
      <c r="E152" s="13">
        <f t="shared" ca="1" si="65"/>
        <v>0</v>
      </c>
      <c r="F152" s="2" t="str">
        <f t="shared" si="66"/>
        <v>Extensión tríceps polea</v>
      </c>
      <c r="G152" s="126">
        <f t="shared" ca="1" si="67"/>
        <v>0</v>
      </c>
      <c r="H152" s="127"/>
      <c r="I152" s="12">
        <f t="shared" ca="1" si="68"/>
        <v>0</v>
      </c>
      <c r="J152" s="2">
        <f t="shared" si="69"/>
        <v>0</v>
      </c>
      <c r="K152" s="126">
        <f t="shared" ca="1" si="70"/>
        <v>0</v>
      </c>
      <c r="L152" s="127"/>
      <c r="M152" s="12"/>
      <c r="N152" s="2">
        <f t="shared" si="71"/>
        <v>0</v>
      </c>
      <c r="O152" s="126">
        <f t="shared" ca="1" si="72"/>
        <v>0</v>
      </c>
      <c r="P152" s="127"/>
      <c r="Q152" s="12">
        <f t="shared" ca="1" si="83"/>
        <v>0</v>
      </c>
      <c r="R152" s="2">
        <f t="shared" si="73"/>
        <v>0</v>
      </c>
      <c r="S152" s="126">
        <f t="shared" ca="1" si="74"/>
        <v>0</v>
      </c>
      <c r="T152" s="127"/>
      <c r="U152" s="13">
        <f t="shared" ca="1" si="75"/>
        <v>0</v>
      </c>
      <c r="V152" s="2">
        <f t="shared" si="76"/>
        <v>0</v>
      </c>
      <c r="W152" s="126">
        <f t="shared" ca="1" si="77"/>
        <v>0</v>
      </c>
      <c r="X152" s="127"/>
      <c r="Y152" s="12">
        <f t="shared" ca="1" si="78"/>
        <v>0</v>
      </c>
      <c r="Z152" s="2">
        <f t="shared" si="79"/>
        <v>0</v>
      </c>
      <c r="AA152" s="126">
        <f t="shared" ca="1" si="80"/>
        <v>0</v>
      </c>
      <c r="AB152" s="127"/>
      <c r="AC152" s="12">
        <f t="shared" ca="1" si="81"/>
        <v>0</v>
      </c>
      <c r="AD152" s="140"/>
      <c r="AE152" s="140"/>
      <c r="AF152" s="140"/>
      <c r="AG152" s="140"/>
      <c r="AH152" s="113"/>
      <c r="AI152" s="136"/>
      <c r="AJ152" s="136"/>
    </row>
    <row r="153" spans="1:36" x14ac:dyDescent="0.25">
      <c r="A153" s="137"/>
      <c r="B153" s="2" t="str">
        <f t="shared" si="63"/>
        <v>Pullover pecho mancuerna</v>
      </c>
      <c r="C153" s="126">
        <f t="shared" ca="1" si="64"/>
        <v>0</v>
      </c>
      <c r="D153" s="127"/>
      <c r="E153" s="13">
        <f t="shared" ca="1" si="65"/>
        <v>0</v>
      </c>
      <c r="F153" s="2">
        <f t="shared" si="66"/>
        <v>0</v>
      </c>
      <c r="G153" s="126">
        <f t="shared" ca="1" si="67"/>
        <v>0</v>
      </c>
      <c r="H153" s="127"/>
      <c r="I153" s="12">
        <f t="shared" ca="1" si="68"/>
        <v>0</v>
      </c>
      <c r="J153" s="2">
        <f t="shared" si="69"/>
        <v>0</v>
      </c>
      <c r="K153" s="126">
        <f t="shared" ca="1" si="70"/>
        <v>0</v>
      </c>
      <c r="L153" s="127"/>
      <c r="M153" s="12"/>
      <c r="N153" s="2">
        <f t="shared" si="71"/>
        <v>0</v>
      </c>
      <c r="O153" s="126">
        <f t="shared" ca="1" si="72"/>
        <v>0</v>
      </c>
      <c r="P153" s="127"/>
      <c r="Q153" s="12">
        <f t="shared" ca="1" si="83"/>
        <v>0</v>
      </c>
      <c r="R153" s="2">
        <f t="shared" si="73"/>
        <v>0</v>
      </c>
      <c r="S153" s="126">
        <f t="shared" ca="1" si="74"/>
        <v>0</v>
      </c>
      <c r="T153" s="127"/>
      <c r="U153" s="13">
        <f t="shared" ca="1" si="75"/>
        <v>0</v>
      </c>
      <c r="V153" s="2">
        <f t="shared" si="76"/>
        <v>0</v>
      </c>
      <c r="W153" s="126">
        <f t="shared" ca="1" si="77"/>
        <v>0</v>
      </c>
      <c r="X153" s="127"/>
      <c r="Y153" s="12">
        <f t="shared" ca="1" si="78"/>
        <v>0</v>
      </c>
      <c r="Z153" s="2">
        <f t="shared" si="79"/>
        <v>0</v>
      </c>
      <c r="AA153" s="126">
        <f t="shared" ca="1" si="80"/>
        <v>0</v>
      </c>
      <c r="AB153" s="127"/>
      <c r="AC153" s="12">
        <f t="shared" ca="1" si="81"/>
        <v>0</v>
      </c>
      <c r="AD153" s="140"/>
      <c r="AE153" s="140"/>
      <c r="AF153" s="140"/>
      <c r="AG153" s="140"/>
      <c r="AH153" s="113"/>
      <c r="AI153" s="136"/>
      <c r="AJ153" s="136"/>
    </row>
    <row r="154" spans="1:36" x14ac:dyDescent="0.25">
      <c r="A154" s="137"/>
      <c r="B154" s="2">
        <f t="shared" si="63"/>
        <v>0</v>
      </c>
      <c r="C154" s="126">
        <f t="shared" ca="1" si="64"/>
        <v>0</v>
      </c>
      <c r="D154" s="127"/>
      <c r="E154" s="13">
        <f t="shared" ca="1" si="65"/>
        <v>0</v>
      </c>
      <c r="F154" s="2">
        <f t="shared" si="66"/>
        <v>0</v>
      </c>
      <c r="G154" s="126">
        <f t="shared" ca="1" si="67"/>
        <v>0</v>
      </c>
      <c r="H154" s="127"/>
      <c r="I154" s="12">
        <f t="shared" ca="1" si="68"/>
        <v>0</v>
      </c>
      <c r="J154" s="2" t="str">
        <f t="shared" si="69"/>
        <v>Pullups</v>
      </c>
      <c r="K154" s="126">
        <f t="shared" ca="1" si="70"/>
        <v>0</v>
      </c>
      <c r="L154" s="127"/>
      <c r="M154" s="12"/>
      <c r="N154" s="2" t="str">
        <f t="shared" si="71"/>
        <v>Curl spider</v>
      </c>
      <c r="O154" s="126">
        <f t="shared" ca="1" si="72"/>
        <v>0</v>
      </c>
      <c r="P154" s="127"/>
      <c r="Q154" s="12">
        <f t="shared" ca="1" si="83"/>
        <v>0</v>
      </c>
      <c r="R154" s="2">
        <f t="shared" si="73"/>
        <v>0</v>
      </c>
      <c r="S154" s="126">
        <f t="shared" ca="1" si="74"/>
        <v>0</v>
      </c>
      <c r="T154" s="127"/>
      <c r="U154" s="13">
        <f t="shared" ca="1" si="75"/>
        <v>0</v>
      </c>
      <c r="V154" s="2">
        <f t="shared" si="76"/>
        <v>0</v>
      </c>
      <c r="W154" s="126">
        <f t="shared" ca="1" si="77"/>
        <v>0</v>
      </c>
      <c r="X154" s="127"/>
      <c r="Y154" s="12">
        <f t="shared" ca="1" si="78"/>
        <v>0</v>
      </c>
      <c r="Z154" s="2">
        <f t="shared" si="79"/>
        <v>0</v>
      </c>
      <c r="AA154" s="126">
        <f t="shared" ca="1" si="80"/>
        <v>0</v>
      </c>
      <c r="AB154" s="127"/>
      <c r="AC154" s="12">
        <f t="shared" ca="1" si="81"/>
        <v>0</v>
      </c>
      <c r="AD154" s="140"/>
      <c r="AE154" s="140"/>
      <c r="AF154" s="140"/>
      <c r="AG154" s="140"/>
      <c r="AH154" s="113"/>
      <c r="AI154" s="136"/>
      <c r="AJ154" s="136"/>
    </row>
    <row r="155" spans="1:36" x14ac:dyDescent="0.25">
      <c r="A155" s="137"/>
      <c r="B155" s="2">
        <f t="shared" si="63"/>
        <v>0</v>
      </c>
      <c r="C155" s="126">
        <f t="shared" ca="1" si="64"/>
        <v>0</v>
      </c>
      <c r="D155" s="127"/>
      <c r="E155" s="13">
        <f t="shared" ca="1" si="65"/>
        <v>0</v>
      </c>
      <c r="F155" s="2">
        <f t="shared" si="66"/>
        <v>0</v>
      </c>
      <c r="G155" s="126">
        <f t="shared" ca="1" si="67"/>
        <v>0</v>
      </c>
      <c r="H155" s="127"/>
      <c r="I155" s="12">
        <f t="shared" ca="1" si="68"/>
        <v>0</v>
      </c>
      <c r="J155" s="2" t="str">
        <f t="shared" si="69"/>
        <v>Remo mancuerna banco inclinado</v>
      </c>
      <c r="K155" s="126">
        <f t="shared" ca="1" si="70"/>
        <v>0</v>
      </c>
      <c r="L155" s="127"/>
      <c r="M155" s="12"/>
      <c r="N155" s="2" t="str">
        <f t="shared" si="71"/>
        <v>Curl invertido barra z</v>
      </c>
      <c r="O155" s="126">
        <f t="shared" ca="1" si="72"/>
        <v>0</v>
      </c>
      <c r="P155" s="127"/>
      <c r="Q155" s="12">
        <f t="shared" ca="1" si="83"/>
        <v>0</v>
      </c>
      <c r="R155" s="2">
        <f t="shared" si="73"/>
        <v>0</v>
      </c>
      <c r="S155" s="126">
        <f t="shared" ca="1" si="74"/>
        <v>0</v>
      </c>
      <c r="T155" s="127"/>
      <c r="U155" s="13">
        <f t="shared" ca="1" si="75"/>
        <v>0</v>
      </c>
      <c r="V155" s="2">
        <f t="shared" si="76"/>
        <v>0</v>
      </c>
      <c r="W155" s="126">
        <f t="shared" ca="1" si="77"/>
        <v>0</v>
      </c>
      <c r="X155" s="127"/>
      <c r="Y155" s="12">
        <f t="shared" ca="1" si="78"/>
        <v>0</v>
      </c>
      <c r="Z155" s="2">
        <f t="shared" si="79"/>
        <v>0</v>
      </c>
      <c r="AA155" s="126">
        <f t="shared" ca="1" si="80"/>
        <v>0</v>
      </c>
      <c r="AB155" s="127"/>
      <c r="AC155" s="12">
        <f t="shared" ca="1" si="81"/>
        <v>0</v>
      </c>
      <c r="AD155" s="140"/>
      <c r="AE155" s="140"/>
      <c r="AF155" s="140"/>
      <c r="AG155" s="140"/>
      <c r="AH155" s="113"/>
      <c r="AI155" s="136"/>
      <c r="AJ155" s="136"/>
    </row>
    <row r="156" spans="1:36" x14ac:dyDescent="0.25">
      <c r="A156" s="137"/>
      <c r="B156" s="2">
        <f t="shared" si="63"/>
        <v>0</v>
      </c>
      <c r="C156" s="126">
        <f t="shared" ca="1" si="64"/>
        <v>0</v>
      </c>
      <c r="D156" s="127"/>
      <c r="E156" s="13">
        <f t="shared" ca="1" si="65"/>
        <v>0</v>
      </c>
      <c r="F156" s="2">
        <f t="shared" si="66"/>
        <v>0</v>
      </c>
      <c r="G156" s="126">
        <f t="shared" ca="1" si="67"/>
        <v>0</v>
      </c>
      <c r="H156" s="127"/>
      <c r="I156" s="12">
        <f t="shared" ca="1" si="68"/>
        <v>0</v>
      </c>
      <c r="J156" s="2" t="str">
        <f t="shared" si="69"/>
        <v>Pulldown polea sentado agarre en v</v>
      </c>
      <c r="K156" s="126">
        <f t="shared" ca="1" si="70"/>
        <v>0</v>
      </c>
      <c r="L156" s="127"/>
      <c r="M156" s="12"/>
      <c r="N156" s="2" t="str">
        <f t="shared" si="71"/>
        <v>Predicador barra</v>
      </c>
      <c r="O156" s="126">
        <f t="shared" ca="1" si="72"/>
        <v>0</v>
      </c>
      <c r="P156" s="127"/>
      <c r="Q156" s="12">
        <f t="shared" ca="1" si="83"/>
        <v>0</v>
      </c>
      <c r="R156" s="2">
        <f t="shared" si="73"/>
        <v>0</v>
      </c>
      <c r="S156" s="126">
        <f t="shared" ca="1" si="74"/>
        <v>0</v>
      </c>
      <c r="T156" s="127"/>
      <c r="U156" s="13">
        <f t="shared" ca="1" si="75"/>
        <v>0</v>
      </c>
      <c r="V156" s="2">
        <f t="shared" si="76"/>
        <v>0</v>
      </c>
      <c r="W156" s="126">
        <f t="shared" ca="1" si="77"/>
        <v>0</v>
      </c>
      <c r="X156" s="127"/>
      <c r="Y156" s="12">
        <f t="shared" ca="1" si="78"/>
        <v>0</v>
      </c>
      <c r="Z156" s="2">
        <f t="shared" si="79"/>
        <v>0</v>
      </c>
      <c r="AA156" s="126">
        <f t="shared" ca="1" si="80"/>
        <v>0</v>
      </c>
      <c r="AB156" s="127"/>
      <c r="AC156" s="12">
        <f t="shared" ca="1" si="81"/>
        <v>0</v>
      </c>
      <c r="AD156" s="140"/>
      <c r="AE156" s="140"/>
      <c r="AF156" s="140"/>
      <c r="AG156" s="140"/>
      <c r="AH156" s="113"/>
      <c r="AI156" s="136"/>
      <c r="AJ156" s="136"/>
    </row>
    <row r="157" spans="1:36" x14ac:dyDescent="0.25">
      <c r="A157" s="137"/>
      <c r="B157" s="2">
        <f t="shared" si="63"/>
        <v>0</v>
      </c>
      <c r="C157" s="126">
        <f t="shared" ca="1" si="64"/>
        <v>0</v>
      </c>
      <c r="D157" s="127"/>
      <c r="E157" s="13">
        <f t="shared" ca="1" si="65"/>
        <v>0</v>
      </c>
      <c r="F157" s="2">
        <f t="shared" si="66"/>
        <v>0</v>
      </c>
      <c r="G157" s="126">
        <f t="shared" ca="1" si="67"/>
        <v>0</v>
      </c>
      <c r="H157" s="127"/>
      <c r="I157" s="12">
        <f t="shared" ca="1" si="68"/>
        <v>0</v>
      </c>
      <c r="J157" s="2" t="str">
        <f t="shared" si="69"/>
        <v>Remo landmine</v>
      </c>
      <c r="K157" s="126">
        <f t="shared" ca="1" si="70"/>
        <v>0</v>
      </c>
      <c r="L157" s="127"/>
      <c r="M157" s="12"/>
      <c r="N157" s="2" t="str">
        <f t="shared" si="71"/>
        <v>Curl mancuerna sentado inclinado</v>
      </c>
      <c r="O157" s="126">
        <f t="shared" ca="1" si="72"/>
        <v>0</v>
      </c>
      <c r="P157" s="127"/>
      <c r="Q157" s="12">
        <f t="shared" ca="1" si="83"/>
        <v>0</v>
      </c>
      <c r="R157" s="2">
        <f t="shared" si="73"/>
        <v>0</v>
      </c>
      <c r="S157" s="126">
        <f t="shared" ca="1" si="74"/>
        <v>0</v>
      </c>
      <c r="T157" s="127"/>
      <c r="U157" s="13">
        <f t="shared" ca="1" si="75"/>
        <v>0</v>
      </c>
      <c r="V157" s="2">
        <f t="shared" si="76"/>
        <v>0</v>
      </c>
      <c r="W157" s="126">
        <f t="shared" ca="1" si="77"/>
        <v>0</v>
      </c>
      <c r="X157" s="127"/>
      <c r="Y157" s="12">
        <f t="shared" ca="1" si="78"/>
        <v>0</v>
      </c>
      <c r="Z157" s="2">
        <f t="shared" si="79"/>
        <v>0</v>
      </c>
      <c r="AA157" s="126">
        <f t="shared" ca="1" si="80"/>
        <v>0</v>
      </c>
      <c r="AB157" s="127"/>
      <c r="AC157" s="12">
        <f t="shared" ca="1" si="81"/>
        <v>0</v>
      </c>
      <c r="AD157" s="140"/>
      <c r="AE157" s="140"/>
      <c r="AF157" s="140"/>
      <c r="AG157" s="140"/>
      <c r="AH157" s="113"/>
      <c r="AI157" s="136"/>
      <c r="AJ157" s="136"/>
    </row>
    <row r="158" spans="1:36" x14ac:dyDescent="0.25">
      <c r="A158" s="137"/>
      <c r="B158" s="2">
        <f t="shared" si="63"/>
        <v>0</v>
      </c>
      <c r="C158" s="126">
        <f t="shared" ca="1" si="64"/>
        <v>0</v>
      </c>
      <c r="D158" s="127"/>
      <c r="E158" s="13">
        <f t="shared" ca="1" si="65"/>
        <v>0</v>
      </c>
      <c r="F158" s="2">
        <f t="shared" si="66"/>
        <v>0</v>
      </c>
      <c r="G158" s="126">
        <f t="shared" ca="1" si="67"/>
        <v>0</v>
      </c>
      <c r="H158" s="127"/>
      <c r="I158" s="12">
        <f t="shared" ca="1" si="68"/>
        <v>0</v>
      </c>
      <c r="J158" s="2" t="str">
        <f t="shared" si="69"/>
        <v>Plancha paracaídas</v>
      </c>
      <c r="K158" s="126">
        <f t="shared" ca="1" si="70"/>
        <v>0</v>
      </c>
      <c r="L158" s="127"/>
      <c r="M158" s="12"/>
      <c r="N158" s="2">
        <f t="shared" si="71"/>
        <v>0</v>
      </c>
      <c r="O158" s="126">
        <f t="shared" ca="1" si="72"/>
        <v>0</v>
      </c>
      <c r="P158" s="127"/>
      <c r="Q158" s="12">
        <f t="shared" ca="1" si="83"/>
        <v>0</v>
      </c>
      <c r="R158" s="2">
        <f t="shared" si="73"/>
        <v>0</v>
      </c>
      <c r="S158" s="126">
        <f t="shared" ca="1" si="74"/>
        <v>0</v>
      </c>
      <c r="T158" s="127"/>
      <c r="U158" s="13">
        <f t="shared" ca="1" si="75"/>
        <v>0</v>
      </c>
      <c r="V158" s="2">
        <f t="shared" si="76"/>
        <v>0</v>
      </c>
      <c r="W158" s="126">
        <f t="shared" ca="1" si="77"/>
        <v>0</v>
      </c>
      <c r="X158" s="127"/>
      <c r="Y158" s="12">
        <f t="shared" ca="1" si="78"/>
        <v>0</v>
      </c>
      <c r="Z158" s="2">
        <f t="shared" si="79"/>
        <v>0</v>
      </c>
      <c r="AA158" s="126">
        <f t="shared" ca="1" si="80"/>
        <v>0</v>
      </c>
      <c r="AB158" s="127"/>
      <c r="AC158" s="12">
        <f t="shared" ca="1" si="81"/>
        <v>0</v>
      </c>
      <c r="AD158" s="140"/>
      <c r="AE158" s="140"/>
      <c r="AF158" s="140"/>
      <c r="AG158" s="140"/>
      <c r="AH158" s="113"/>
      <c r="AI158" s="136"/>
      <c r="AJ158" s="136"/>
    </row>
    <row r="159" spans="1:36" x14ac:dyDescent="0.25">
      <c r="A159" s="137"/>
      <c r="B159" s="2">
        <f t="shared" si="63"/>
        <v>0</v>
      </c>
      <c r="C159" s="126">
        <f t="shared" ca="1" si="64"/>
        <v>0</v>
      </c>
      <c r="D159" s="127"/>
      <c r="E159" s="13">
        <f t="shared" ca="1" si="65"/>
        <v>0</v>
      </c>
      <c r="F159" s="2">
        <f t="shared" si="66"/>
        <v>0</v>
      </c>
      <c r="G159" s="126">
        <f t="shared" ca="1" si="67"/>
        <v>0</v>
      </c>
      <c r="H159" s="127"/>
      <c r="I159" s="12">
        <f t="shared" ca="1" si="68"/>
        <v>0</v>
      </c>
      <c r="J159" s="2">
        <f t="shared" si="69"/>
        <v>0</v>
      </c>
      <c r="K159" s="126">
        <f t="shared" ca="1" si="70"/>
        <v>0</v>
      </c>
      <c r="L159" s="127"/>
      <c r="M159" s="12"/>
      <c r="N159" s="2">
        <f t="shared" si="71"/>
        <v>0</v>
      </c>
      <c r="O159" s="126">
        <f t="shared" ca="1" si="72"/>
        <v>0</v>
      </c>
      <c r="P159" s="127"/>
      <c r="Q159" s="12">
        <f t="shared" ca="1" si="83"/>
        <v>0</v>
      </c>
      <c r="R159" s="2">
        <f t="shared" si="73"/>
        <v>0</v>
      </c>
      <c r="S159" s="126">
        <f t="shared" ca="1" si="74"/>
        <v>0</v>
      </c>
      <c r="T159" s="127"/>
      <c r="U159" s="13">
        <f t="shared" ca="1" si="75"/>
        <v>0</v>
      </c>
      <c r="V159" s="2">
        <f t="shared" si="76"/>
        <v>0</v>
      </c>
      <c r="W159" s="126">
        <f t="shared" ca="1" si="77"/>
        <v>0</v>
      </c>
      <c r="X159" s="127"/>
      <c r="Y159" s="12">
        <f t="shared" ca="1" si="78"/>
        <v>0</v>
      </c>
      <c r="Z159" s="2">
        <f t="shared" si="79"/>
        <v>0</v>
      </c>
      <c r="AA159" s="126">
        <f t="shared" ca="1" si="80"/>
        <v>0</v>
      </c>
      <c r="AB159" s="127"/>
      <c r="AC159" s="12">
        <f t="shared" ca="1" si="81"/>
        <v>0</v>
      </c>
      <c r="AD159" s="140"/>
      <c r="AE159" s="140"/>
      <c r="AF159" s="140"/>
      <c r="AG159" s="140"/>
      <c r="AH159" s="113"/>
      <c r="AI159" s="136"/>
      <c r="AJ159" s="136"/>
    </row>
    <row r="160" spans="1:36" x14ac:dyDescent="0.25">
      <c r="A160" s="137"/>
      <c r="B160" s="2">
        <f t="shared" si="63"/>
        <v>0</v>
      </c>
      <c r="C160" s="126">
        <f t="shared" ca="1" si="64"/>
        <v>0</v>
      </c>
      <c r="D160" s="127"/>
      <c r="E160" s="13">
        <f t="shared" ca="1" si="65"/>
        <v>0</v>
      </c>
      <c r="F160" s="2">
        <f t="shared" si="66"/>
        <v>0</v>
      </c>
      <c r="G160" s="126">
        <f t="shared" ca="1" si="67"/>
        <v>0</v>
      </c>
      <c r="H160" s="127"/>
      <c r="I160" s="12">
        <f t="shared" ca="1" si="68"/>
        <v>0</v>
      </c>
      <c r="J160" s="2">
        <f t="shared" si="69"/>
        <v>0</v>
      </c>
      <c r="K160" s="126">
        <f t="shared" ca="1" si="70"/>
        <v>0</v>
      </c>
      <c r="L160" s="127"/>
      <c r="M160" s="12"/>
      <c r="N160" s="2">
        <f t="shared" si="71"/>
        <v>0</v>
      </c>
      <c r="O160" s="126">
        <f t="shared" ca="1" si="72"/>
        <v>0</v>
      </c>
      <c r="P160" s="127"/>
      <c r="Q160" s="12">
        <f t="shared" ca="1" si="83"/>
        <v>0</v>
      </c>
      <c r="R160" s="2">
        <f t="shared" si="73"/>
        <v>0</v>
      </c>
      <c r="S160" s="126">
        <f t="shared" ca="1" si="74"/>
        <v>0</v>
      </c>
      <c r="T160" s="127"/>
      <c r="U160" s="13">
        <f t="shared" ca="1" si="75"/>
        <v>0</v>
      </c>
      <c r="V160" s="2">
        <f t="shared" si="76"/>
        <v>0</v>
      </c>
      <c r="W160" s="126">
        <f t="shared" ca="1" si="77"/>
        <v>0</v>
      </c>
      <c r="X160" s="127"/>
      <c r="Y160" s="12">
        <f t="shared" ca="1" si="78"/>
        <v>0</v>
      </c>
      <c r="Z160" s="2">
        <f t="shared" si="79"/>
        <v>0</v>
      </c>
      <c r="AA160" s="126">
        <f t="shared" ca="1" si="80"/>
        <v>0</v>
      </c>
      <c r="AB160" s="127"/>
      <c r="AC160" s="12">
        <f t="shared" ca="1" si="81"/>
        <v>0</v>
      </c>
      <c r="AD160" s="140"/>
      <c r="AE160" s="140"/>
      <c r="AF160" s="140"/>
      <c r="AG160" s="140"/>
      <c r="AH160" s="113"/>
      <c r="AI160" s="136"/>
      <c r="AJ160" s="136"/>
    </row>
    <row r="161" spans="1:36" x14ac:dyDescent="0.25">
      <c r="A161" s="137"/>
      <c r="B161" s="2">
        <f t="shared" si="63"/>
        <v>0</v>
      </c>
      <c r="C161" s="126">
        <f t="shared" ca="1" si="64"/>
        <v>0</v>
      </c>
      <c r="D161" s="127"/>
      <c r="E161" s="13">
        <f t="shared" ca="1" si="65"/>
        <v>0</v>
      </c>
      <c r="F161" s="2">
        <f t="shared" si="66"/>
        <v>0</v>
      </c>
      <c r="G161" s="126">
        <f t="shared" ca="1" si="67"/>
        <v>0</v>
      </c>
      <c r="H161" s="127"/>
      <c r="I161" s="12">
        <f t="shared" ca="1" si="68"/>
        <v>0</v>
      </c>
      <c r="J161" s="2">
        <f t="shared" si="69"/>
        <v>0</v>
      </c>
      <c r="K161" s="126">
        <f t="shared" ca="1" si="70"/>
        <v>0</v>
      </c>
      <c r="L161" s="127"/>
      <c r="M161" s="12"/>
      <c r="N161" s="2">
        <f t="shared" si="71"/>
        <v>0</v>
      </c>
      <c r="O161" s="126">
        <f t="shared" ca="1" si="72"/>
        <v>0</v>
      </c>
      <c r="P161" s="127"/>
      <c r="Q161" s="12">
        <f t="shared" ca="1" si="83"/>
        <v>0</v>
      </c>
      <c r="R161" s="2">
        <f t="shared" si="73"/>
        <v>0</v>
      </c>
      <c r="S161" s="126">
        <f t="shared" ca="1" si="74"/>
        <v>0</v>
      </c>
      <c r="T161" s="127"/>
      <c r="U161" s="13">
        <f t="shared" ca="1" si="75"/>
        <v>0</v>
      </c>
      <c r="V161" s="2">
        <f t="shared" si="76"/>
        <v>0</v>
      </c>
      <c r="W161" s="126">
        <f t="shared" ca="1" si="77"/>
        <v>0</v>
      </c>
      <c r="X161" s="127"/>
      <c r="Y161" s="12">
        <f t="shared" ca="1" si="78"/>
        <v>0</v>
      </c>
      <c r="Z161" s="2">
        <f t="shared" si="79"/>
        <v>0</v>
      </c>
      <c r="AA161" s="126">
        <f t="shared" ca="1" si="80"/>
        <v>0</v>
      </c>
      <c r="AB161" s="127"/>
      <c r="AC161" s="12">
        <f t="shared" ca="1" si="81"/>
        <v>0</v>
      </c>
      <c r="AD161" s="140"/>
      <c r="AE161" s="140"/>
      <c r="AF161" s="140"/>
      <c r="AG161" s="140"/>
      <c r="AH161" s="113"/>
      <c r="AI161" s="136"/>
      <c r="AJ161" s="136"/>
    </row>
    <row r="162" spans="1:36" x14ac:dyDescent="0.25">
      <c r="A162" s="137"/>
      <c r="B162" s="2">
        <f t="shared" si="63"/>
        <v>0</v>
      </c>
      <c r="C162" s="126">
        <f t="shared" ca="1" si="64"/>
        <v>0</v>
      </c>
      <c r="D162" s="127"/>
      <c r="E162" s="13">
        <f t="shared" ca="1" si="65"/>
        <v>0</v>
      </c>
      <c r="F162" s="2">
        <f t="shared" si="66"/>
        <v>0</v>
      </c>
      <c r="G162" s="126">
        <f t="shared" ca="1" si="67"/>
        <v>0</v>
      </c>
      <c r="H162" s="127"/>
      <c r="I162" s="12">
        <f t="shared" ca="1" si="68"/>
        <v>0</v>
      </c>
      <c r="J162" s="2">
        <f t="shared" si="69"/>
        <v>0</v>
      </c>
      <c r="K162" s="126">
        <f t="shared" ca="1" si="70"/>
        <v>0</v>
      </c>
      <c r="L162" s="127"/>
      <c r="M162" s="12"/>
      <c r="N162" s="2">
        <f t="shared" si="71"/>
        <v>0</v>
      </c>
      <c r="O162" s="126">
        <f t="shared" ca="1" si="72"/>
        <v>0</v>
      </c>
      <c r="P162" s="127"/>
      <c r="Q162" s="12">
        <f t="shared" ca="1" si="83"/>
        <v>0</v>
      </c>
      <c r="R162" s="2">
        <f t="shared" si="73"/>
        <v>0</v>
      </c>
      <c r="S162" s="126">
        <f t="shared" ca="1" si="74"/>
        <v>0</v>
      </c>
      <c r="T162" s="127"/>
      <c r="U162" s="13">
        <f t="shared" ca="1" si="75"/>
        <v>0</v>
      </c>
      <c r="V162" s="2">
        <f t="shared" si="76"/>
        <v>0</v>
      </c>
      <c r="W162" s="126">
        <f t="shared" ca="1" si="77"/>
        <v>0</v>
      </c>
      <c r="X162" s="127"/>
      <c r="Y162" s="12">
        <f t="shared" ca="1" si="78"/>
        <v>0</v>
      </c>
      <c r="Z162" s="2">
        <f t="shared" si="79"/>
        <v>0</v>
      </c>
      <c r="AA162" s="126">
        <f t="shared" ca="1" si="80"/>
        <v>0</v>
      </c>
      <c r="AB162" s="127"/>
      <c r="AC162" s="12">
        <f t="shared" ca="1" si="81"/>
        <v>0</v>
      </c>
      <c r="AD162" s="140"/>
      <c r="AE162" s="140"/>
      <c r="AF162" s="140"/>
      <c r="AG162" s="140"/>
      <c r="AH162" s="113"/>
      <c r="AI162" s="136"/>
      <c r="AJ162" s="136"/>
    </row>
    <row r="163" spans="1:36" x14ac:dyDescent="0.25">
      <c r="A163" s="137"/>
      <c r="B163" s="2">
        <f t="shared" si="63"/>
        <v>0</v>
      </c>
      <c r="C163" s="126">
        <f t="shared" ca="1" si="64"/>
        <v>0</v>
      </c>
      <c r="D163" s="127"/>
      <c r="E163" s="13">
        <f t="shared" ca="1" si="65"/>
        <v>0</v>
      </c>
      <c r="F163" s="2">
        <f t="shared" si="66"/>
        <v>0</v>
      </c>
      <c r="G163" s="126">
        <f t="shared" ca="1" si="67"/>
        <v>0</v>
      </c>
      <c r="H163" s="127"/>
      <c r="I163" s="12">
        <f t="shared" ca="1" si="68"/>
        <v>0</v>
      </c>
      <c r="J163" s="2">
        <f t="shared" si="69"/>
        <v>0</v>
      </c>
      <c r="K163" s="126">
        <f t="shared" ca="1" si="70"/>
        <v>0</v>
      </c>
      <c r="L163" s="127"/>
      <c r="M163" s="12"/>
      <c r="N163" s="2">
        <f t="shared" si="71"/>
        <v>0</v>
      </c>
      <c r="O163" s="126">
        <f t="shared" ca="1" si="72"/>
        <v>0</v>
      </c>
      <c r="P163" s="127"/>
      <c r="Q163" s="12">
        <f t="shared" ca="1" si="83"/>
        <v>0</v>
      </c>
      <c r="R163" s="2">
        <f t="shared" si="73"/>
        <v>0</v>
      </c>
      <c r="S163" s="126">
        <f t="shared" ca="1" si="74"/>
        <v>0</v>
      </c>
      <c r="T163" s="127"/>
      <c r="U163" s="13">
        <f t="shared" ca="1" si="75"/>
        <v>0</v>
      </c>
      <c r="V163" s="2">
        <f t="shared" si="76"/>
        <v>0</v>
      </c>
      <c r="W163" s="126">
        <f t="shared" ca="1" si="77"/>
        <v>0</v>
      </c>
      <c r="X163" s="127"/>
      <c r="Y163" s="12">
        <f t="shared" ca="1" si="78"/>
        <v>0</v>
      </c>
      <c r="Z163" s="2">
        <f t="shared" si="79"/>
        <v>0</v>
      </c>
      <c r="AA163" s="126">
        <f t="shared" ca="1" si="80"/>
        <v>0</v>
      </c>
      <c r="AB163" s="127"/>
      <c r="AC163" s="12">
        <f t="shared" ca="1" si="81"/>
        <v>0</v>
      </c>
      <c r="AD163" s="140"/>
      <c r="AE163" s="140"/>
      <c r="AF163" s="140"/>
      <c r="AG163" s="140"/>
      <c r="AH163" s="113"/>
      <c r="AI163" s="136"/>
      <c r="AJ163" s="136"/>
    </row>
    <row r="164" spans="1:36" x14ac:dyDescent="0.25">
      <c r="A164" s="137"/>
      <c r="B164" s="2">
        <f t="shared" si="63"/>
        <v>0</v>
      </c>
      <c r="C164" s="126">
        <f t="shared" ca="1" si="64"/>
        <v>0</v>
      </c>
      <c r="D164" s="127"/>
      <c r="E164" s="13">
        <f t="shared" ca="1" si="65"/>
        <v>0</v>
      </c>
      <c r="F164" s="2">
        <f t="shared" si="66"/>
        <v>0</v>
      </c>
      <c r="G164" s="126">
        <f t="shared" ca="1" si="67"/>
        <v>0</v>
      </c>
      <c r="H164" s="127"/>
      <c r="I164" s="12">
        <f t="shared" ca="1" si="68"/>
        <v>0</v>
      </c>
      <c r="J164" s="2">
        <f t="shared" si="69"/>
        <v>0</v>
      </c>
      <c r="K164" s="126">
        <f t="shared" ca="1" si="70"/>
        <v>0</v>
      </c>
      <c r="L164" s="127"/>
      <c r="M164" s="12"/>
      <c r="N164" s="2">
        <f t="shared" si="71"/>
        <v>0</v>
      </c>
      <c r="O164" s="126">
        <f t="shared" ca="1" si="72"/>
        <v>0</v>
      </c>
      <c r="P164" s="127"/>
      <c r="Q164" s="12">
        <f t="shared" ca="1" si="83"/>
        <v>0</v>
      </c>
      <c r="R164" s="2" t="str">
        <f t="shared" si="73"/>
        <v>Press hombro mancuerna sentado</v>
      </c>
      <c r="S164" s="126">
        <f t="shared" ca="1" si="74"/>
        <v>0</v>
      </c>
      <c r="T164" s="127"/>
      <c r="U164" s="13">
        <f t="shared" ca="1" si="75"/>
        <v>0</v>
      </c>
      <c r="V164" s="2" t="str">
        <f t="shared" si="76"/>
        <v>Sentadilla barra libre</v>
      </c>
      <c r="W164" s="126">
        <f t="shared" ca="1" si="77"/>
        <v>0</v>
      </c>
      <c r="X164" s="127"/>
      <c r="Y164" s="12">
        <f t="shared" ca="1" si="78"/>
        <v>0</v>
      </c>
      <c r="Z164" s="2">
        <f>Z20</f>
        <v>0</v>
      </c>
      <c r="AA164" s="126">
        <f ca="1">IF(TODAY()=$A$149,AA20*AB20*AC20,AA164)</f>
        <v>0</v>
      </c>
      <c r="AB164" s="127"/>
      <c r="AC164" s="12">
        <f ca="1">IF(TODAY()=$A$149,AC20,AC164)</f>
        <v>0</v>
      </c>
      <c r="AD164" s="140"/>
      <c r="AE164" s="140"/>
      <c r="AF164" s="140"/>
      <c r="AG164" s="140"/>
      <c r="AH164" s="113"/>
      <c r="AI164" s="136"/>
      <c r="AJ164" s="136"/>
    </row>
    <row r="165" spans="1:36" x14ac:dyDescent="0.25">
      <c r="A165" s="137"/>
      <c r="B165" s="2">
        <f t="shared" si="63"/>
        <v>0</v>
      </c>
      <c r="C165" s="126">
        <f t="shared" ca="1" si="64"/>
        <v>0</v>
      </c>
      <c r="D165" s="127"/>
      <c r="E165" s="13">
        <f t="shared" ca="1" si="65"/>
        <v>0</v>
      </c>
      <c r="F165" s="2">
        <f t="shared" si="66"/>
        <v>0</v>
      </c>
      <c r="G165" s="126">
        <f t="shared" ca="1" si="67"/>
        <v>0</v>
      </c>
      <c r="H165" s="127"/>
      <c r="I165" s="12">
        <f t="shared" ca="1" si="68"/>
        <v>0</v>
      </c>
      <c r="J165" s="2">
        <f t="shared" si="69"/>
        <v>0</v>
      </c>
      <c r="K165" s="126">
        <f t="shared" ca="1" si="70"/>
        <v>0</v>
      </c>
      <c r="L165" s="127"/>
      <c r="M165" s="12"/>
      <c r="N165" s="2">
        <f t="shared" si="71"/>
        <v>0</v>
      </c>
      <c r="O165" s="126">
        <f t="shared" ca="1" si="72"/>
        <v>0</v>
      </c>
      <c r="P165" s="127"/>
      <c r="Q165" s="12">
        <f t="shared" ca="1" si="83"/>
        <v>0</v>
      </c>
      <c r="R165" s="2" t="str">
        <f t="shared" si="73"/>
        <v>Elevaciones laterales mancuerna banco inclinado</v>
      </c>
      <c r="S165" s="126">
        <f t="shared" ca="1" si="74"/>
        <v>0</v>
      </c>
      <c r="T165" s="127"/>
      <c r="U165" s="13">
        <f t="shared" ca="1" si="75"/>
        <v>0</v>
      </c>
      <c r="V165" s="2" t="str">
        <f t="shared" si="76"/>
        <v>Sentadilla sumo mancuerna</v>
      </c>
      <c r="W165" s="126">
        <f t="shared" ca="1" si="77"/>
        <v>0</v>
      </c>
      <c r="X165" s="127"/>
      <c r="Y165" s="12">
        <f t="shared" ca="1" si="78"/>
        <v>0</v>
      </c>
      <c r="Z165" s="2">
        <f>Z21</f>
        <v>0</v>
      </c>
      <c r="AA165" s="126">
        <f ca="1">IF(TODAY()=$A$149,AA21*AB21*AC21,AA165)</f>
        <v>0</v>
      </c>
      <c r="AB165" s="127"/>
      <c r="AC165" s="12">
        <f ca="1">IF(TODAY()=$A$149,AC21,AC165)</f>
        <v>0</v>
      </c>
      <c r="AD165" s="140"/>
      <c r="AE165" s="140"/>
      <c r="AF165" s="140"/>
      <c r="AG165" s="140"/>
      <c r="AH165" s="113"/>
      <c r="AI165" s="136"/>
      <c r="AJ165" s="136"/>
    </row>
    <row r="166" spans="1:36" x14ac:dyDescent="0.25">
      <c r="A166" s="137"/>
      <c r="B166" s="2">
        <f t="shared" si="63"/>
        <v>0</v>
      </c>
      <c r="C166" s="126">
        <f t="shared" ca="1" si="64"/>
        <v>0</v>
      </c>
      <c r="D166" s="127"/>
      <c r="E166" s="13">
        <f t="shared" ca="1" si="65"/>
        <v>0</v>
      </c>
      <c r="F166" s="2">
        <f t="shared" si="66"/>
        <v>0</v>
      </c>
      <c r="G166" s="126">
        <f t="shared" ca="1" si="67"/>
        <v>0</v>
      </c>
      <c r="H166" s="127"/>
      <c r="I166" s="12">
        <f t="shared" ca="1" si="68"/>
        <v>0</v>
      </c>
      <c r="J166" s="2">
        <f t="shared" si="69"/>
        <v>0</v>
      </c>
      <c r="K166" s="126">
        <f t="shared" ca="1" si="70"/>
        <v>0</v>
      </c>
      <c r="L166" s="127"/>
      <c r="M166" s="12"/>
      <c r="N166" s="2">
        <f t="shared" si="71"/>
        <v>0</v>
      </c>
      <c r="O166" s="126">
        <f t="shared" ca="1" si="72"/>
        <v>0</v>
      </c>
      <c r="P166" s="127"/>
      <c r="Q166" s="12">
        <f t="shared" ca="1" si="83"/>
        <v>0</v>
      </c>
      <c r="R166" s="2" t="str">
        <f t="shared" si="73"/>
        <v>Elevaciones frontales barra banco inclinado</v>
      </c>
      <c r="S166" s="126">
        <f t="shared" ca="1" si="74"/>
        <v>0</v>
      </c>
      <c r="T166" s="127"/>
      <c r="U166" s="13">
        <f t="shared" ca="1" si="75"/>
        <v>0</v>
      </c>
      <c r="V166" s="2" t="str">
        <f t="shared" si="76"/>
        <v>Peso muerto mancuerna</v>
      </c>
      <c r="W166" s="126">
        <f t="shared" ca="1" si="77"/>
        <v>0</v>
      </c>
      <c r="X166" s="127"/>
      <c r="Y166" s="12">
        <f t="shared" ca="1" si="78"/>
        <v>0</v>
      </c>
      <c r="Z166" s="2">
        <f>Z22</f>
        <v>0</v>
      </c>
      <c r="AA166" s="126">
        <f ca="1">IF(TODAY()=$A$149,AA22*AB22*AC22,AA166)</f>
        <v>0</v>
      </c>
      <c r="AB166" s="127"/>
      <c r="AC166" s="12">
        <f ca="1">IF(TODAY()=$A$149,AC22,AC166)</f>
        <v>0</v>
      </c>
      <c r="AD166" s="140"/>
      <c r="AE166" s="140"/>
      <c r="AF166" s="140"/>
      <c r="AG166" s="140"/>
      <c r="AH166" s="113"/>
      <c r="AI166" s="136"/>
      <c r="AJ166" s="136"/>
    </row>
    <row r="167" spans="1:36" x14ac:dyDescent="0.25">
      <c r="A167" s="137"/>
      <c r="B167" s="2">
        <f t="shared" si="63"/>
        <v>0</v>
      </c>
      <c r="C167" s="126">
        <f t="shared" ca="1" si="64"/>
        <v>0</v>
      </c>
      <c r="D167" s="127"/>
      <c r="E167" s="13">
        <f t="shared" ca="1" si="65"/>
        <v>0</v>
      </c>
      <c r="F167" s="2">
        <f t="shared" si="66"/>
        <v>0</v>
      </c>
      <c r="G167" s="126">
        <f t="shared" ca="1" si="67"/>
        <v>0</v>
      </c>
      <c r="H167" s="127"/>
      <c r="I167" s="12">
        <f t="shared" ca="1" si="68"/>
        <v>0</v>
      </c>
      <c r="J167" s="2">
        <f t="shared" si="69"/>
        <v>0</v>
      </c>
      <c r="K167" s="126">
        <f t="shared" ca="1" si="70"/>
        <v>0</v>
      </c>
      <c r="L167" s="127"/>
      <c r="M167" s="12"/>
      <c r="N167" s="2">
        <f t="shared" si="71"/>
        <v>0</v>
      </c>
      <c r="O167" s="126">
        <f t="shared" ca="1" si="72"/>
        <v>0</v>
      </c>
      <c r="P167" s="127"/>
      <c r="Q167" s="12">
        <f t="shared" ca="1" si="83"/>
        <v>0</v>
      </c>
      <c r="R167" s="2" t="str">
        <f t="shared" si="73"/>
        <v>Press arnold</v>
      </c>
      <c r="S167" s="126">
        <f t="shared" ca="1" si="74"/>
        <v>0</v>
      </c>
      <c r="T167" s="127"/>
      <c r="U167" s="13">
        <f t="shared" ca="1" si="75"/>
        <v>0</v>
      </c>
      <c r="V167" s="2" t="str">
        <f t="shared" si="76"/>
        <v>Press pierna máquina</v>
      </c>
      <c r="W167" s="126">
        <f t="shared" ca="1" si="77"/>
        <v>0</v>
      </c>
      <c r="X167" s="127"/>
      <c r="Y167" s="12">
        <f t="shared" ca="1" si="78"/>
        <v>0</v>
      </c>
      <c r="Z167" s="2">
        <f>Z23</f>
        <v>0</v>
      </c>
      <c r="AA167" s="126">
        <f ca="1">IF(TODAY()=$A$149,AA23*AB23*AC23,AA167)</f>
        <v>0</v>
      </c>
      <c r="AB167" s="127"/>
      <c r="AC167" s="12">
        <f ca="1">IF(TODAY()=$A$149,AC23,AC167)</f>
        <v>0</v>
      </c>
      <c r="AD167" s="140"/>
      <c r="AE167" s="140"/>
      <c r="AF167" s="140"/>
      <c r="AG167" s="140"/>
      <c r="AH167" s="113"/>
      <c r="AI167" s="136"/>
      <c r="AJ167" s="136"/>
    </row>
    <row r="168" spans="1:36" x14ac:dyDescent="0.25">
      <c r="A168" s="137"/>
      <c r="B168" s="2">
        <f t="shared" si="63"/>
        <v>0</v>
      </c>
      <c r="C168" s="126">
        <f t="shared" ca="1" si="64"/>
        <v>0</v>
      </c>
      <c r="D168" s="127"/>
      <c r="E168" s="13">
        <f t="shared" ca="1" si="65"/>
        <v>0</v>
      </c>
      <c r="F168" s="2">
        <f t="shared" si="66"/>
        <v>0</v>
      </c>
      <c r="G168" s="126">
        <f t="shared" ca="1" si="67"/>
        <v>0</v>
      </c>
      <c r="H168" s="127"/>
      <c r="I168" s="12">
        <f t="shared" ca="1" si="68"/>
        <v>0</v>
      </c>
      <c r="J168" s="2">
        <f t="shared" si="69"/>
        <v>0</v>
      </c>
      <c r="K168" s="126">
        <f t="shared" ca="1" si="70"/>
        <v>0</v>
      </c>
      <c r="L168" s="127"/>
      <c r="M168" s="12"/>
      <c r="N168" s="2">
        <f t="shared" si="71"/>
        <v>0</v>
      </c>
      <c r="O168" s="126">
        <f t="shared" ca="1" si="72"/>
        <v>0</v>
      </c>
      <c r="P168" s="127"/>
      <c r="Q168" s="12">
        <f t="shared" ca="1" si="83"/>
        <v>0</v>
      </c>
      <c r="R168" s="2">
        <f t="shared" si="73"/>
        <v>0</v>
      </c>
      <c r="S168" s="126">
        <f t="shared" ca="1" si="74"/>
        <v>0</v>
      </c>
      <c r="T168" s="127"/>
      <c r="U168" s="13">
        <f t="shared" ca="1" si="75"/>
        <v>0</v>
      </c>
      <c r="V168" s="2" t="str">
        <f t="shared" si="76"/>
        <v>Hip trust barra</v>
      </c>
      <c r="W168" s="126">
        <f t="shared" ca="1" si="77"/>
        <v>0</v>
      </c>
      <c r="X168" s="127"/>
      <c r="Y168" s="12">
        <f t="shared" ca="1" si="78"/>
        <v>0</v>
      </c>
      <c r="Z168" s="2">
        <f>Z24</f>
        <v>0</v>
      </c>
      <c r="AA168" s="126">
        <f ca="1">IF(TODAY()=$A$149,AA24*AB24*AC24,AA168)</f>
        <v>0</v>
      </c>
      <c r="AB168" s="127"/>
      <c r="AC168" s="12">
        <f ca="1">IF(TODAY()=$A$149,AC24,AC168)</f>
        <v>0</v>
      </c>
      <c r="AD168" s="140"/>
      <c r="AE168" s="140"/>
      <c r="AF168" s="140"/>
      <c r="AG168" s="140"/>
      <c r="AH168" s="113"/>
      <c r="AI168" s="136"/>
      <c r="AJ168" s="136"/>
    </row>
    <row r="169" spans="1:36" x14ac:dyDescent="0.25">
      <c r="A169" s="137"/>
      <c r="B169" s="2" t="str">
        <f t="shared" si="63"/>
        <v>Press plano</v>
      </c>
      <c r="C169" s="126">
        <f t="shared" ca="1" si="64"/>
        <v>0</v>
      </c>
      <c r="D169" s="127"/>
      <c r="E169" s="13">
        <f t="shared" ca="1" si="65"/>
        <v>0</v>
      </c>
      <c r="F169" s="2" t="str">
        <f t="shared" si="66"/>
        <v>Body ups</v>
      </c>
      <c r="G169" s="126">
        <f t="shared" ca="1" si="67"/>
        <v>0</v>
      </c>
      <c r="H169" s="127"/>
      <c r="I169" s="12">
        <f t="shared" ca="1" si="68"/>
        <v>0</v>
      </c>
      <c r="J169" s="2">
        <f t="shared" si="69"/>
        <v>0</v>
      </c>
      <c r="K169" s="126">
        <f t="shared" ca="1" si="70"/>
        <v>0</v>
      </c>
      <c r="L169" s="127"/>
      <c r="M169" s="12"/>
      <c r="N169" s="2">
        <f t="shared" si="71"/>
        <v>0</v>
      </c>
      <c r="O169" s="126">
        <f t="shared" ca="1" si="72"/>
        <v>0</v>
      </c>
      <c r="P169" s="127"/>
      <c r="Q169" s="12">
        <f t="shared" ca="1" si="83"/>
        <v>0</v>
      </c>
      <c r="R169" s="2">
        <f t="shared" si="73"/>
        <v>0</v>
      </c>
      <c r="S169" s="126">
        <f t="shared" ca="1" si="74"/>
        <v>0</v>
      </c>
      <c r="T169" s="127"/>
      <c r="U169" s="13">
        <f t="shared" ca="1" si="75"/>
        <v>0</v>
      </c>
      <c r="V169" s="2">
        <f t="shared" si="76"/>
        <v>0</v>
      </c>
      <c r="W169" s="126">
        <f t="shared" ca="1" si="77"/>
        <v>0</v>
      </c>
      <c r="X169" s="127"/>
      <c r="Y169" s="12">
        <f t="shared" ca="1" si="78"/>
        <v>0</v>
      </c>
      <c r="Z169" s="2">
        <f t="shared" si="79"/>
        <v>0</v>
      </c>
      <c r="AA169" s="126">
        <f t="shared" ca="1" si="80"/>
        <v>0</v>
      </c>
      <c r="AB169" s="127"/>
      <c r="AC169" s="12">
        <f t="shared" ca="1" si="81"/>
        <v>0</v>
      </c>
      <c r="AD169" s="140"/>
      <c r="AE169" s="140"/>
      <c r="AF169" s="140"/>
      <c r="AG169" s="140"/>
      <c r="AH169" s="113"/>
      <c r="AI169" s="136"/>
      <c r="AJ169" s="136"/>
    </row>
    <row r="170" spans="1:36" x14ac:dyDescent="0.25">
      <c r="A170" s="137"/>
      <c r="B170" s="2" t="str">
        <f t="shared" si="63"/>
        <v>Press plano mancuerna trifásico</v>
      </c>
      <c r="C170" s="126">
        <f t="shared" ca="1" si="64"/>
        <v>0</v>
      </c>
      <c r="D170" s="127"/>
      <c r="E170" s="13">
        <f t="shared" ca="1" si="65"/>
        <v>0</v>
      </c>
      <c r="F170" s="2" t="str">
        <f t="shared" si="66"/>
        <v>Fondos tríceps paralelas</v>
      </c>
      <c r="G170" s="126">
        <f t="shared" ca="1" si="67"/>
        <v>0</v>
      </c>
      <c r="H170" s="127"/>
      <c r="I170" s="12">
        <f t="shared" ca="1" si="68"/>
        <v>0</v>
      </c>
      <c r="J170" s="2">
        <f t="shared" si="69"/>
        <v>0</v>
      </c>
      <c r="K170" s="126">
        <f t="shared" ca="1" si="70"/>
        <v>0</v>
      </c>
      <c r="L170" s="127"/>
      <c r="M170" s="12"/>
      <c r="N170" s="2">
        <f t="shared" si="71"/>
        <v>0</v>
      </c>
      <c r="O170" s="126">
        <f t="shared" ca="1" si="72"/>
        <v>0</v>
      </c>
      <c r="P170" s="127"/>
      <c r="Q170" s="12">
        <f t="shared" ca="1" si="83"/>
        <v>0</v>
      </c>
      <c r="R170" s="2">
        <f t="shared" si="73"/>
        <v>0</v>
      </c>
      <c r="S170" s="126">
        <f t="shared" ca="1" si="74"/>
        <v>0</v>
      </c>
      <c r="T170" s="127"/>
      <c r="U170" s="13">
        <f t="shared" ca="1" si="75"/>
        <v>0</v>
      </c>
      <c r="V170" s="2">
        <f t="shared" si="76"/>
        <v>0</v>
      </c>
      <c r="W170" s="126">
        <f t="shared" ca="1" si="77"/>
        <v>0</v>
      </c>
      <c r="X170" s="127"/>
      <c r="Y170" s="12">
        <f t="shared" ca="1" si="78"/>
        <v>0</v>
      </c>
      <c r="Z170" s="2">
        <f t="shared" si="79"/>
        <v>0</v>
      </c>
      <c r="AA170" s="126">
        <f t="shared" ca="1" si="80"/>
        <v>0</v>
      </c>
      <c r="AB170" s="127"/>
      <c r="AC170" s="12">
        <f t="shared" ca="1" si="81"/>
        <v>0</v>
      </c>
      <c r="AD170" s="140"/>
      <c r="AE170" s="140"/>
      <c r="AF170" s="140"/>
      <c r="AG170" s="140"/>
      <c r="AH170" s="113"/>
      <c r="AI170" s="136"/>
      <c r="AJ170" s="136"/>
    </row>
    <row r="171" spans="1:36" x14ac:dyDescent="0.25">
      <c r="A171" s="137"/>
      <c r="B171" s="2" t="str">
        <f t="shared" si="63"/>
        <v>Press inclinado mancuerna</v>
      </c>
      <c r="C171" s="126">
        <f t="shared" ca="1" si="64"/>
        <v>0</v>
      </c>
      <c r="D171" s="127"/>
      <c r="E171" s="13">
        <f t="shared" ca="1" si="65"/>
        <v>0</v>
      </c>
      <c r="F171" s="2" t="str">
        <f t="shared" si="66"/>
        <v>Fondos máquina</v>
      </c>
      <c r="G171" s="126">
        <f t="shared" ca="1" si="67"/>
        <v>0</v>
      </c>
      <c r="H171" s="127"/>
      <c r="I171" s="12">
        <f t="shared" ca="1" si="68"/>
        <v>0</v>
      </c>
      <c r="J171" s="2">
        <f t="shared" si="69"/>
        <v>0</v>
      </c>
      <c r="K171" s="126">
        <f t="shared" ca="1" si="70"/>
        <v>0</v>
      </c>
      <c r="L171" s="127"/>
      <c r="M171" s="12"/>
      <c r="N171" s="2">
        <f t="shared" si="71"/>
        <v>0</v>
      </c>
      <c r="O171" s="126">
        <f t="shared" ca="1" si="72"/>
        <v>0</v>
      </c>
      <c r="P171" s="127"/>
      <c r="Q171" s="12">
        <f t="shared" ca="1" si="83"/>
        <v>0</v>
      </c>
      <c r="R171" s="2">
        <f t="shared" si="73"/>
        <v>0</v>
      </c>
      <c r="S171" s="126">
        <f t="shared" ca="1" si="74"/>
        <v>0</v>
      </c>
      <c r="T171" s="127"/>
      <c r="U171" s="13">
        <f t="shared" ca="1" si="75"/>
        <v>0</v>
      </c>
      <c r="V171" s="2">
        <f t="shared" si="76"/>
        <v>0</v>
      </c>
      <c r="W171" s="126">
        <f t="shared" ca="1" si="77"/>
        <v>0</v>
      </c>
      <c r="X171" s="127"/>
      <c r="Y171" s="12">
        <f t="shared" ca="1" si="78"/>
        <v>0</v>
      </c>
      <c r="Z171" s="2">
        <f t="shared" si="79"/>
        <v>0</v>
      </c>
      <c r="AA171" s="126">
        <f t="shared" ca="1" si="80"/>
        <v>0</v>
      </c>
      <c r="AB171" s="127"/>
      <c r="AC171" s="12">
        <f t="shared" ca="1" si="81"/>
        <v>0</v>
      </c>
      <c r="AD171" s="140"/>
      <c r="AE171" s="140"/>
      <c r="AF171" s="140"/>
      <c r="AG171" s="140"/>
      <c r="AH171" s="113"/>
      <c r="AI171" s="136"/>
      <c r="AJ171" s="136"/>
    </row>
    <row r="172" spans="1:36" x14ac:dyDescent="0.25">
      <c r="A172" s="137"/>
      <c r="B172" s="2" t="str">
        <f t="shared" si="63"/>
        <v>Vuelos máquina</v>
      </c>
      <c r="C172" s="126">
        <f t="shared" ca="1" si="64"/>
        <v>0</v>
      </c>
      <c r="D172" s="127"/>
      <c r="E172" s="13">
        <f t="shared" ca="1" si="65"/>
        <v>0</v>
      </c>
      <c r="F172" s="2" t="str">
        <f t="shared" si="66"/>
        <v>Extensión tríceps polea</v>
      </c>
      <c r="G172" s="126">
        <f t="shared" ca="1" si="67"/>
        <v>0</v>
      </c>
      <c r="H172" s="127"/>
      <c r="I172" s="12">
        <f t="shared" ca="1" si="68"/>
        <v>0</v>
      </c>
      <c r="J172" s="2">
        <f t="shared" si="69"/>
        <v>0</v>
      </c>
      <c r="K172" s="126">
        <f t="shared" ca="1" si="70"/>
        <v>0</v>
      </c>
      <c r="L172" s="127"/>
      <c r="M172" s="12"/>
      <c r="N172" s="2">
        <f t="shared" si="71"/>
        <v>0</v>
      </c>
      <c r="O172" s="126">
        <f t="shared" ca="1" si="72"/>
        <v>0</v>
      </c>
      <c r="P172" s="127"/>
      <c r="Q172" s="12">
        <f t="shared" ca="1" si="83"/>
        <v>0</v>
      </c>
      <c r="R172" s="2">
        <f t="shared" si="73"/>
        <v>0</v>
      </c>
      <c r="S172" s="126">
        <f t="shared" ca="1" si="74"/>
        <v>0</v>
      </c>
      <c r="T172" s="127"/>
      <c r="U172" s="13">
        <f t="shared" ca="1" si="75"/>
        <v>0</v>
      </c>
      <c r="V172" s="2">
        <f t="shared" si="76"/>
        <v>0</v>
      </c>
      <c r="W172" s="126">
        <f t="shared" ca="1" si="77"/>
        <v>0</v>
      </c>
      <c r="X172" s="127"/>
      <c r="Y172" s="12">
        <f t="shared" ca="1" si="78"/>
        <v>0</v>
      </c>
      <c r="Z172" s="2">
        <f t="shared" si="79"/>
        <v>0</v>
      </c>
      <c r="AA172" s="126">
        <f t="shared" ca="1" si="80"/>
        <v>0</v>
      </c>
      <c r="AB172" s="127"/>
      <c r="AC172" s="12">
        <f t="shared" ca="1" si="81"/>
        <v>0</v>
      </c>
      <c r="AD172" s="140"/>
      <c r="AE172" s="140"/>
      <c r="AF172" s="140"/>
      <c r="AG172" s="140"/>
      <c r="AH172" s="113"/>
      <c r="AI172" s="136"/>
      <c r="AJ172" s="136"/>
    </row>
    <row r="173" spans="1:36" x14ac:dyDescent="0.25">
      <c r="A173" s="137"/>
      <c r="B173" s="2" t="str">
        <f t="shared" si="63"/>
        <v>Pullover pecho mancuerna</v>
      </c>
      <c r="C173" s="126">
        <f t="shared" ca="1" si="64"/>
        <v>0</v>
      </c>
      <c r="D173" s="127"/>
      <c r="E173" s="13">
        <f t="shared" ca="1" si="65"/>
        <v>0</v>
      </c>
      <c r="F173" s="2">
        <f t="shared" si="66"/>
        <v>0</v>
      </c>
      <c r="G173" s="126">
        <f t="shared" ca="1" si="67"/>
        <v>0</v>
      </c>
      <c r="H173" s="127"/>
      <c r="I173" s="12">
        <f t="shared" ca="1" si="68"/>
        <v>0</v>
      </c>
      <c r="J173" s="2">
        <f t="shared" si="69"/>
        <v>0</v>
      </c>
      <c r="K173" s="126">
        <f t="shared" ca="1" si="70"/>
        <v>0</v>
      </c>
      <c r="L173" s="127"/>
      <c r="M173" s="12"/>
      <c r="N173" s="2">
        <f t="shared" si="71"/>
        <v>0</v>
      </c>
      <c r="O173" s="126">
        <f t="shared" ca="1" si="72"/>
        <v>0</v>
      </c>
      <c r="P173" s="127"/>
      <c r="Q173" s="12">
        <f t="shared" ca="1" si="83"/>
        <v>0</v>
      </c>
      <c r="R173" s="2">
        <f t="shared" si="73"/>
        <v>0</v>
      </c>
      <c r="S173" s="126">
        <f t="shared" ca="1" si="74"/>
        <v>0</v>
      </c>
      <c r="T173" s="127"/>
      <c r="U173" s="13">
        <f t="shared" ca="1" si="75"/>
        <v>0</v>
      </c>
      <c r="V173" s="2">
        <f t="shared" si="76"/>
        <v>0</v>
      </c>
      <c r="W173" s="126">
        <f t="shared" ca="1" si="77"/>
        <v>0</v>
      </c>
      <c r="X173" s="127"/>
      <c r="Y173" s="12">
        <f t="shared" ca="1" si="78"/>
        <v>0</v>
      </c>
      <c r="Z173" s="2">
        <f t="shared" si="79"/>
        <v>0</v>
      </c>
      <c r="AA173" s="126">
        <f t="shared" ca="1" si="80"/>
        <v>0</v>
      </c>
      <c r="AB173" s="127"/>
      <c r="AC173" s="12">
        <f t="shared" ca="1" si="81"/>
        <v>0</v>
      </c>
      <c r="AD173" s="140"/>
      <c r="AE173" s="140"/>
      <c r="AF173" s="140"/>
      <c r="AG173" s="140"/>
      <c r="AH173" s="113"/>
      <c r="AI173" s="136"/>
      <c r="AJ173" s="136"/>
    </row>
    <row r="174" spans="1:36" x14ac:dyDescent="0.25">
      <c r="A174" s="137"/>
      <c r="B174" s="2">
        <f t="shared" si="63"/>
        <v>0</v>
      </c>
      <c r="C174" s="126">
        <f t="shared" ca="1" si="64"/>
        <v>0</v>
      </c>
      <c r="D174" s="127"/>
      <c r="E174" s="13">
        <f t="shared" ca="1" si="65"/>
        <v>0</v>
      </c>
      <c r="F174" s="2">
        <f t="shared" si="66"/>
        <v>0</v>
      </c>
      <c r="G174" s="126">
        <f t="shared" ca="1" si="67"/>
        <v>0</v>
      </c>
      <c r="H174" s="127"/>
      <c r="I174" s="12">
        <f t="shared" ca="1" si="68"/>
        <v>0</v>
      </c>
      <c r="J174" s="2" t="str">
        <f t="shared" si="69"/>
        <v>Pullups</v>
      </c>
      <c r="K174" s="126">
        <f t="shared" ca="1" si="70"/>
        <v>0</v>
      </c>
      <c r="L174" s="127"/>
      <c r="M174" s="12"/>
      <c r="N174" s="2" t="str">
        <f t="shared" si="71"/>
        <v>Curl spider</v>
      </c>
      <c r="O174" s="126">
        <f t="shared" ca="1" si="72"/>
        <v>0</v>
      </c>
      <c r="P174" s="127"/>
      <c r="Q174" s="12">
        <f t="shared" ca="1" si="83"/>
        <v>0</v>
      </c>
      <c r="R174" s="2">
        <f t="shared" si="73"/>
        <v>0</v>
      </c>
      <c r="S174" s="126">
        <f t="shared" ca="1" si="74"/>
        <v>0</v>
      </c>
      <c r="T174" s="127"/>
      <c r="U174" s="13">
        <f t="shared" ca="1" si="75"/>
        <v>0</v>
      </c>
      <c r="V174" s="2">
        <f t="shared" si="76"/>
        <v>0</v>
      </c>
      <c r="W174" s="126">
        <f t="shared" ca="1" si="77"/>
        <v>0</v>
      </c>
      <c r="X174" s="127"/>
      <c r="Y174" s="12">
        <f t="shared" ca="1" si="78"/>
        <v>0</v>
      </c>
      <c r="Z174" s="2">
        <f t="shared" si="79"/>
        <v>0</v>
      </c>
      <c r="AA174" s="126">
        <f t="shared" ca="1" si="80"/>
        <v>0</v>
      </c>
      <c r="AB174" s="127"/>
      <c r="AC174" s="12">
        <f t="shared" ca="1" si="81"/>
        <v>0</v>
      </c>
      <c r="AD174" s="140"/>
      <c r="AE174" s="140"/>
      <c r="AF174" s="140"/>
      <c r="AG174" s="140"/>
      <c r="AH174" s="113"/>
      <c r="AI174" s="136"/>
      <c r="AJ174" s="136"/>
    </row>
    <row r="175" spans="1:36" x14ac:dyDescent="0.25">
      <c r="A175" s="137"/>
      <c r="B175" s="2">
        <f t="shared" si="63"/>
        <v>0</v>
      </c>
      <c r="C175" s="126">
        <f t="shared" ca="1" si="64"/>
        <v>0</v>
      </c>
      <c r="D175" s="127"/>
      <c r="E175" s="13">
        <f t="shared" ca="1" si="65"/>
        <v>0</v>
      </c>
      <c r="F175" s="2">
        <f t="shared" si="66"/>
        <v>0</v>
      </c>
      <c r="G175" s="126">
        <f t="shared" ca="1" si="67"/>
        <v>0</v>
      </c>
      <c r="H175" s="127"/>
      <c r="I175" s="12">
        <f t="shared" ca="1" si="68"/>
        <v>0</v>
      </c>
      <c r="J175" s="2" t="str">
        <f t="shared" si="69"/>
        <v>Remo mancuerna banco inclinado</v>
      </c>
      <c r="K175" s="126">
        <f t="shared" ca="1" si="70"/>
        <v>0</v>
      </c>
      <c r="L175" s="127"/>
      <c r="M175" s="12"/>
      <c r="N175" s="2" t="str">
        <f t="shared" si="71"/>
        <v>Curl invertido barra z</v>
      </c>
      <c r="O175" s="126">
        <f t="shared" ca="1" si="72"/>
        <v>0</v>
      </c>
      <c r="P175" s="127"/>
      <c r="Q175" s="12">
        <f t="shared" ca="1" si="83"/>
        <v>0</v>
      </c>
      <c r="R175" s="2">
        <f t="shared" si="73"/>
        <v>0</v>
      </c>
      <c r="S175" s="126">
        <f t="shared" ca="1" si="74"/>
        <v>0</v>
      </c>
      <c r="T175" s="127"/>
      <c r="U175" s="13">
        <f t="shared" ca="1" si="75"/>
        <v>0</v>
      </c>
      <c r="V175" s="2">
        <f t="shared" si="76"/>
        <v>0</v>
      </c>
      <c r="W175" s="126">
        <f t="shared" ca="1" si="77"/>
        <v>0</v>
      </c>
      <c r="X175" s="127"/>
      <c r="Y175" s="12">
        <f t="shared" ca="1" si="78"/>
        <v>0</v>
      </c>
      <c r="Z175" s="2">
        <f t="shared" si="79"/>
        <v>0</v>
      </c>
      <c r="AA175" s="126">
        <f t="shared" ca="1" si="80"/>
        <v>0</v>
      </c>
      <c r="AB175" s="127"/>
      <c r="AC175" s="12">
        <f t="shared" ca="1" si="81"/>
        <v>0</v>
      </c>
      <c r="AD175" s="140"/>
      <c r="AE175" s="140"/>
      <c r="AF175" s="140"/>
      <c r="AG175" s="140"/>
      <c r="AH175" s="113"/>
      <c r="AI175" s="136"/>
      <c r="AJ175" s="136"/>
    </row>
    <row r="176" spans="1:36" x14ac:dyDescent="0.25">
      <c r="A176" s="137"/>
      <c r="B176" s="2">
        <f t="shared" si="63"/>
        <v>0</v>
      </c>
      <c r="C176" s="126">
        <f t="shared" ca="1" si="64"/>
        <v>0</v>
      </c>
      <c r="D176" s="127"/>
      <c r="E176" s="13">
        <f t="shared" ca="1" si="65"/>
        <v>0</v>
      </c>
      <c r="F176" s="2">
        <f t="shared" si="66"/>
        <v>0</v>
      </c>
      <c r="G176" s="126">
        <f t="shared" ca="1" si="67"/>
        <v>0</v>
      </c>
      <c r="H176" s="127"/>
      <c r="I176" s="12">
        <f t="shared" ca="1" si="68"/>
        <v>0</v>
      </c>
      <c r="J176" s="2" t="str">
        <f t="shared" si="69"/>
        <v>Pulldown polea sentado agarre en v</v>
      </c>
      <c r="K176" s="126">
        <f t="shared" ca="1" si="70"/>
        <v>0</v>
      </c>
      <c r="L176" s="127"/>
      <c r="M176" s="12"/>
      <c r="N176" s="2" t="str">
        <f t="shared" si="71"/>
        <v>Predicador barra</v>
      </c>
      <c r="O176" s="126">
        <f t="shared" ca="1" si="72"/>
        <v>0</v>
      </c>
      <c r="P176" s="127"/>
      <c r="Q176" s="12">
        <f t="shared" ca="1" si="83"/>
        <v>0</v>
      </c>
      <c r="R176" s="2">
        <f t="shared" si="73"/>
        <v>0</v>
      </c>
      <c r="S176" s="126">
        <f t="shared" ca="1" si="74"/>
        <v>0</v>
      </c>
      <c r="T176" s="127"/>
      <c r="U176" s="13">
        <f t="shared" ca="1" si="75"/>
        <v>0</v>
      </c>
      <c r="V176" s="2">
        <f t="shared" si="76"/>
        <v>0</v>
      </c>
      <c r="W176" s="126">
        <f t="shared" ca="1" si="77"/>
        <v>0</v>
      </c>
      <c r="X176" s="127"/>
      <c r="Y176" s="12">
        <f t="shared" ca="1" si="78"/>
        <v>0</v>
      </c>
      <c r="Z176" s="2">
        <f t="shared" si="79"/>
        <v>0</v>
      </c>
      <c r="AA176" s="126">
        <f t="shared" ca="1" si="80"/>
        <v>0</v>
      </c>
      <c r="AB176" s="127"/>
      <c r="AC176" s="12">
        <f t="shared" ca="1" si="81"/>
        <v>0</v>
      </c>
      <c r="AD176" s="140"/>
      <c r="AE176" s="140"/>
      <c r="AF176" s="140"/>
      <c r="AG176" s="140"/>
      <c r="AH176" s="113"/>
      <c r="AI176" s="136"/>
      <c r="AJ176" s="136"/>
    </row>
    <row r="177" spans="1:36" x14ac:dyDescent="0.25">
      <c r="A177" s="137"/>
      <c r="B177" s="2">
        <f t="shared" si="63"/>
        <v>0</v>
      </c>
      <c r="C177" s="126">
        <f t="shared" ca="1" si="64"/>
        <v>0</v>
      </c>
      <c r="D177" s="127"/>
      <c r="E177" s="13">
        <f t="shared" ca="1" si="65"/>
        <v>0</v>
      </c>
      <c r="F177" s="2">
        <f t="shared" si="66"/>
        <v>0</v>
      </c>
      <c r="G177" s="126">
        <f t="shared" ca="1" si="67"/>
        <v>0</v>
      </c>
      <c r="H177" s="127"/>
      <c r="I177" s="12">
        <f t="shared" ca="1" si="68"/>
        <v>0</v>
      </c>
      <c r="J177" s="2" t="str">
        <f t="shared" si="69"/>
        <v>Remo landmine</v>
      </c>
      <c r="K177" s="126">
        <f t="shared" ca="1" si="70"/>
        <v>0</v>
      </c>
      <c r="L177" s="127"/>
      <c r="M177" s="12"/>
      <c r="N177" s="2" t="str">
        <f t="shared" si="71"/>
        <v>Curl mancuerna sentado inclinado</v>
      </c>
      <c r="O177" s="126">
        <f t="shared" ca="1" si="72"/>
        <v>0</v>
      </c>
      <c r="P177" s="127"/>
      <c r="Q177" s="12">
        <f t="shared" ca="1" si="83"/>
        <v>0</v>
      </c>
      <c r="R177" s="2">
        <f t="shared" si="73"/>
        <v>0</v>
      </c>
      <c r="S177" s="126">
        <f t="shared" ca="1" si="74"/>
        <v>0</v>
      </c>
      <c r="T177" s="127"/>
      <c r="U177" s="13">
        <f t="shared" ca="1" si="75"/>
        <v>0</v>
      </c>
      <c r="V177" s="2">
        <f t="shared" si="76"/>
        <v>0</v>
      </c>
      <c r="W177" s="126">
        <f t="shared" ca="1" si="77"/>
        <v>0</v>
      </c>
      <c r="X177" s="127"/>
      <c r="Y177" s="12">
        <f t="shared" ca="1" si="78"/>
        <v>0</v>
      </c>
      <c r="Z177" s="2">
        <f t="shared" si="79"/>
        <v>0</v>
      </c>
      <c r="AA177" s="126">
        <f t="shared" ca="1" si="80"/>
        <v>0</v>
      </c>
      <c r="AB177" s="127"/>
      <c r="AC177" s="12">
        <f t="shared" ca="1" si="81"/>
        <v>0</v>
      </c>
      <c r="AD177" s="140"/>
      <c r="AE177" s="140"/>
      <c r="AF177" s="140"/>
      <c r="AG177" s="140"/>
      <c r="AH177" s="113"/>
      <c r="AI177" s="136"/>
      <c r="AJ177" s="136"/>
    </row>
    <row r="178" spans="1:36" x14ac:dyDescent="0.25">
      <c r="A178" s="137"/>
      <c r="B178" s="2">
        <f t="shared" si="63"/>
        <v>0</v>
      </c>
      <c r="C178" s="126">
        <f t="shared" ca="1" si="64"/>
        <v>0</v>
      </c>
      <c r="D178" s="127"/>
      <c r="E178" s="13">
        <f t="shared" ca="1" si="65"/>
        <v>0</v>
      </c>
      <c r="F178" s="2">
        <f t="shared" si="66"/>
        <v>0</v>
      </c>
      <c r="G178" s="126">
        <f t="shared" ca="1" si="67"/>
        <v>0</v>
      </c>
      <c r="H178" s="127"/>
      <c r="I178" s="12">
        <f t="shared" ca="1" si="68"/>
        <v>0</v>
      </c>
      <c r="J178" s="2" t="str">
        <f t="shared" si="69"/>
        <v>Plancha paracaídas</v>
      </c>
      <c r="K178" s="126">
        <f t="shared" ca="1" si="70"/>
        <v>0</v>
      </c>
      <c r="L178" s="127"/>
      <c r="M178" s="12"/>
      <c r="N178" s="2">
        <f t="shared" si="71"/>
        <v>0</v>
      </c>
      <c r="O178" s="126">
        <f t="shared" ca="1" si="72"/>
        <v>0</v>
      </c>
      <c r="P178" s="127"/>
      <c r="Q178" s="12">
        <f t="shared" ca="1" si="83"/>
        <v>0</v>
      </c>
      <c r="R178" s="2">
        <f t="shared" si="73"/>
        <v>0</v>
      </c>
      <c r="S178" s="126">
        <f t="shared" ca="1" si="74"/>
        <v>0</v>
      </c>
      <c r="T178" s="127"/>
      <c r="U178" s="13">
        <f t="shared" ca="1" si="75"/>
        <v>0</v>
      </c>
      <c r="V178" s="2">
        <f t="shared" si="76"/>
        <v>0</v>
      </c>
      <c r="W178" s="126">
        <f t="shared" ca="1" si="77"/>
        <v>0</v>
      </c>
      <c r="X178" s="127"/>
      <c r="Y178" s="12">
        <f t="shared" ca="1" si="78"/>
        <v>0</v>
      </c>
      <c r="Z178" s="2">
        <f t="shared" si="79"/>
        <v>0</v>
      </c>
      <c r="AA178" s="126">
        <f t="shared" ca="1" si="80"/>
        <v>0</v>
      </c>
      <c r="AB178" s="127"/>
      <c r="AC178" s="12">
        <f t="shared" ca="1" si="81"/>
        <v>0</v>
      </c>
      <c r="AD178" s="140"/>
      <c r="AE178" s="140"/>
      <c r="AF178" s="140"/>
      <c r="AG178" s="140"/>
      <c r="AH178" s="113"/>
      <c r="AI178" s="136"/>
      <c r="AJ178" s="136"/>
    </row>
    <row r="179" spans="1:36" x14ac:dyDescent="0.25">
      <c r="A179" s="137"/>
      <c r="B179" s="2">
        <f t="shared" si="63"/>
        <v>0</v>
      </c>
      <c r="C179" s="126">
        <f t="shared" ca="1" si="64"/>
        <v>0</v>
      </c>
      <c r="D179" s="127"/>
      <c r="E179" s="13">
        <f t="shared" ca="1" si="65"/>
        <v>0</v>
      </c>
      <c r="F179" s="2">
        <f t="shared" si="66"/>
        <v>0</v>
      </c>
      <c r="G179" s="126">
        <f t="shared" ca="1" si="67"/>
        <v>0</v>
      </c>
      <c r="H179" s="127"/>
      <c r="I179" s="12">
        <f t="shared" ca="1" si="68"/>
        <v>0</v>
      </c>
      <c r="J179" s="2">
        <f t="shared" si="69"/>
        <v>0</v>
      </c>
      <c r="K179" s="126">
        <f t="shared" ca="1" si="70"/>
        <v>0</v>
      </c>
      <c r="L179" s="127"/>
      <c r="M179" s="12"/>
      <c r="N179" s="2">
        <f t="shared" si="71"/>
        <v>0</v>
      </c>
      <c r="O179" s="126">
        <f t="shared" ca="1" si="72"/>
        <v>0</v>
      </c>
      <c r="P179" s="127"/>
      <c r="Q179" s="12">
        <f t="shared" ca="1" si="83"/>
        <v>0</v>
      </c>
      <c r="R179" s="2" t="str">
        <f t="shared" si="73"/>
        <v>Press hombro mancuerna sentado</v>
      </c>
      <c r="S179" s="126">
        <f t="shared" ca="1" si="74"/>
        <v>0</v>
      </c>
      <c r="T179" s="127"/>
      <c r="U179" s="13">
        <f t="shared" ca="1" si="75"/>
        <v>0</v>
      </c>
      <c r="V179" s="2">
        <f t="shared" si="76"/>
        <v>0</v>
      </c>
      <c r="W179" s="126">
        <f t="shared" ca="1" si="77"/>
        <v>0</v>
      </c>
      <c r="X179" s="127"/>
      <c r="Y179" s="12">
        <f t="shared" ca="1" si="78"/>
        <v>0</v>
      </c>
      <c r="Z179" s="2" t="str">
        <f>Z35</f>
        <v>Otis-up</v>
      </c>
      <c r="AA179" s="126">
        <f ca="1">IF(TODAY()=$A$149,AA35*AB35*AC35,AA179)</f>
        <v>0</v>
      </c>
      <c r="AB179" s="127"/>
      <c r="AC179" s="12">
        <f ca="1">IF(TODAY()=$A$149,AC35,AC179)</f>
        <v>0</v>
      </c>
      <c r="AD179" s="140"/>
      <c r="AE179" s="140"/>
      <c r="AF179" s="140"/>
      <c r="AG179" s="140"/>
      <c r="AH179" s="113"/>
      <c r="AI179" s="136"/>
      <c r="AJ179" s="136"/>
    </row>
    <row r="180" spans="1:36" x14ac:dyDescent="0.25">
      <c r="A180" s="137"/>
      <c r="B180" s="2">
        <f t="shared" si="63"/>
        <v>0</v>
      </c>
      <c r="C180" s="126">
        <f t="shared" ca="1" si="64"/>
        <v>0</v>
      </c>
      <c r="D180" s="127"/>
      <c r="E180" s="13">
        <f t="shared" ca="1" si="65"/>
        <v>0</v>
      </c>
      <c r="F180" s="2">
        <f t="shared" si="66"/>
        <v>0</v>
      </c>
      <c r="G180" s="126">
        <f t="shared" ca="1" si="67"/>
        <v>0</v>
      </c>
      <c r="H180" s="127"/>
      <c r="I180" s="12">
        <f t="shared" ca="1" si="68"/>
        <v>0</v>
      </c>
      <c r="J180" s="2">
        <f t="shared" si="69"/>
        <v>0</v>
      </c>
      <c r="K180" s="126">
        <f t="shared" ca="1" si="70"/>
        <v>0</v>
      </c>
      <c r="L180" s="127"/>
      <c r="M180" s="12"/>
      <c r="N180" s="2">
        <f t="shared" si="71"/>
        <v>0</v>
      </c>
      <c r="O180" s="126">
        <f t="shared" ca="1" si="72"/>
        <v>0</v>
      </c>
      <c r="P180" s="127"/>
      <c r="Q180" s="12">
        <f t="shared" ca="1" si="83"/>
        <v>0</v>
      </c>
      <c r="R180" s="2" t="str">
        <f t="shared" si="73"/>
        <v>Elevaciones laterales mancuerna banco inclinado</v>
      </c>
      <c r="S180" s="126">
        <f t="shared" ca="1" si="74"/>
        <v>0</v>
      </c>
      <c r="T180" s="127"/>
      <c r="U180" s="13">
        <f t="shared" ca="1" si="75"/>
        <v>0</v>
      </c>
      <c r="V180" s="2">
        <f t="shared" si="76"/>
        <v>0</v>
      </c>
      <c r="W180" s="126">
        <f t="shared" ca="1" si="77"/>
        <v>0</v>
      </c>
      <c r="X180" s="127"/>
      <c r="Y180" s="12">
        <f t="shared" ca="1" si="78"/>
        <v>0</v>
      </c>
      <c r="Z180" s="2" t="str">
        <f>Z36</f>
        <v>V-ups</v>
      </c>
      <c r="AA180" s="126">
        <f ca="1">IF(TODAY()=$A$149,AA36*AB36*AC36,AA180)</f>
        <v>0</v>
      </c>
      <c r="AB180" s="127"/>
      <c r="AC180" s="12">
        <f ca="1">IF(TODAY()=$A$149,AC36,AC180)</f>
        <v>0</v>
      </c>
      <c r="AD180" s="140"/>
      <c r="AE180" s="140"/>
      <c r="AF180" s="140"/>
      <c r="AG180" s="140"/>
      <c r="AH180" s="113"/>
      <c r="AI180" s="136"/>
      <c r="AJ180" s="136"/>
    </row>
    <row r="181" spans="1:36" x14ac:dyDescent="0.25">
      <c r="A181" s="137"/>
      <c r="B181" s="2">
        <f t="shared" si="63"/>
        <v>0</v>
      </c>
      <c r="C181" s="126">
        <f t="shared" ca="1" si="64"/>
        <v>0</v>
      </c>
      <c r="D181" s="127"/>
      <c r="E181" s="13">
        <f t="shared" ca="1" si="65"/>
        <v>0</v>
      </c>
      <c r="F181" s="2">
        <f t="shared" si="66"/>
        <v>0</v>
      </c>
      <c r="G181" s="126">
        <f t="shared" ca="1" si="67"/>
        <v>0</v>
      </c>
      <c r="H181" s="127"/>
      <c r="I181" s="12">
        <f t="shared" ca="1" si="68"/>
        <v>0</v>
      </c>
      <c r="J181" s="2">
        <f t="shared" si="69"/>
        <v>0</v>
      </c>
      <c r="K181" s="126">
        <f t="shared" ca="1" si="70"/>
        <v>0</v>
      </c>
      <c r="L181" s="127"/>
      <c r="M181" s="12"/>
      <c r="N181" s="2">
        <f t="shared" si="71"/>
        <v>0</v>
      </c>
      <c r="O181" s="126">
        <f t="shared" ca="1" si="72"/>
        <v>0</v>
      </c>
      <c r="P181" s="127"/>
      <c r="Q181" s="12">
        <f t="shared" ca="1" si="83"/>
        <v>0</v>
      </c>
      <c r="R181" s="2" t="str">
        <f t="shared" si="73"/>
        <v>Elevaciones frontales barra banco inclinado</v>
      </c>
      <c r="S181" s="126">
        <f t="shared" ca="1" si="74"/>
        <v>0</v>
      </c>
      <c r="T181" s="127"/>
      <c r="U181" s="13">
        <f t="shared" ca="1" si="75"/>
        <v>0</v>
      </c>
      <c r="V181" s="2">
        <f t="shared" si="76"/>
        <v>0</v>
      </c>
      <c r="W181" s="126">
        <f t="shared" ca="1" si="77"/>
        <v>0</v>
      </c>
      <c r="X181" s="127"/>
      <c r="Y181" s="12">
        <f t="shared" ca="1" si="78"/>
        <v>0</v>
      </c>
      <c r="Z181" s="2" t="str">
        <f>Z37</f>
        <v>Butt-ups</v>
      </c>
      <c r="AA181" s="126">
        <f ca="1">IF(TODAY()=$A$149,AA37*AB37*AC37,AA181)</f>
        <v>0</v>
      </c>
      <c r="AB181" s="127"/>
      <c r="AC181" s="12">
        <f ca="1">IF(TODAY()=$A$149,AC37,AC181)</f>
        <v>0</v>
      </c>
      <c r="AD181" s="140"/>
      <c r="AE181" s="140"/>
      <c r="AF181" s="140"/>
      <c r="AG181" s="140"/>
      <c r="AH181" s="113"/>
      <c r="AI181" s="136"/>
      <c r="AJ181" s="136"/>
    </row>
    <row r="182" spans="1:36" x14ac:dyDescent="0.25">
      <c r="A182" s="137"/>
      <c r="B182" s="2">
        <f t="shared" si="63"/>
        <v>0</v>
      </c>
      <c r="C182" s="126">
        <f t="shared" ca="1" si="64"/>
        <v>0</v>
      </c>
      <c r="D182" s="127"/>
      <c r="E182" s="13">
        <f t="shared" ca="1" si="65"/>
        <v>0</v>
      </c>
      <c r="F182" s="2">
        <f t="shared" si="66"/>
        <v>0</v>
      </c>
      <c r="G182" s="126">
        <f t="shared" ca="1" si="67"/>
        <v>0</v>
      </c>
      <c r="H182" s="127"/>
      <c r="I182" s="12">
        <f t="shared" ca="1" si="68"/>
        <v>0</v>
      </c>
      <c r="J182" s="2">
        <f t="shared" si="69"/>
        <v>0</v>
      </c>
      <c r="K182" s="126">
        <f t="shared" ca="1" si="70"/>
        <v>0</v>
      </c>
      <c r="L182" s="127"/>
      <c r="M182" s="12"/>
      <c r="N182" s="2">
        <f t="shared" si="71"/>
        <v>0</v>
      </c>
      <c r="O182" s="126">
        <f t="shared" ca="1" si="72"/>
        <v>0</v>
      </c>
      <c r="P182" s="127"/>
      <c r="Q182" s="12">
        <f t="shared" ca="1" si="83"/>
        <v>0</v>
      </c>
      <c r="R182" s="2" t="str">
        <f t="shared" si="73"/>
        <v>Press arnold</v>
      </c>
      <c r="S182" s="126">
        <f t="shared" ca="1" si="74"/>
        <v>0</v>
      </c>
      <c r="T182" s="127"/>
      <c r="U182" s="13">
        <f t="shared" ca="1" si="75"/>
        <v>0</v>
      </c>
      <c r="V182" s="2">
        <f t="shared" si="76"/>
        <v>0</v>
      </c>
      <c r="W182" s="126">
        <f t="shared" ca="1" si="77"/>
        <v>0</v>
      </c>
      <c r="X182" s="127"/>
      <c r="Y182" s="12">
        <f t="shared" ca="1" si="78"/>
        <v>0</v>
      </c>
      <c r="Z182" s="2" t="str">
        <f>Z38</f>
        <v>Full moon</v>
      </c>
      <c r="AA182" s="126">
        <f ca="1">IF(TODAY()=$A$149,AA38*AB38*AC38,AA182)</f>
        <v>0</v>
      </c>
      <c r="AB182" s="127"/>
      <c r="AC182" s="12">
        <f ca="1">IF(TODAY()=$A$149,AC38,AC182)</f>
        <v>0</v>
      </c>
      <c r="AD182" s="140"/>
      <c r="AE182" s="140"/>
      <c r="AF182" s="140"/>
      <c r="AG182" s="140"/>
      <c r="AH182" s="113"/>
      <c r="AI182" s="136"/>
      <c r="AJ182" s="136"/>
    </row>
    <row r="183" spans="1:36" x14ac:dyDescent="0.25">
      <c r="A183" s="138"/>
      <c r="B183" s="2">
        <f t="shared" si="63"/>
        <v>0</v>
      </c>
      <c r="C183" s="126">
        <f t="shared" ca="1" si="64"/>
        <v>0</v>
      </c>
      <c r="D183" s="127"/>
      <c r="E183" s="13">
        <f t="shared" ca="1" si="65"/>
        <v>0</v>
      </c>
      <c r="F183" s="2">
        <f t="shared" si="66"/>
        <v>0</v>
      </c>
      <c r="G183" s="126">
        <f t="shared" ca="1" si="67"/>
        <v>0</v>
      </c>
      <c r="H183" s="127"/>
      <c r="I183" s="12">
        <f t="shared" ca="1" si="68"/>
        <v>0</v>
      </c>
      <c r="J183" s="2">
        <f t="shared" si="69"/>
        <v>0</v>
      </c>
      <c r="K183" s="126">
        <f t="shared" ca="1" si="70"/>
        <v>0</v>
      </c>
      <c r="L183" s="127"/>
      <c r="M183" s="12"/>
      <c r="N183" s="2">
        <f t="shared" si="71"/>
        <v>0</v>
      </c>
      <c r="O183" s="126">
        <f t="shared" ca="1" si="72"/>
        <v>0</v>
      </c>
      <c r="P183" s="127"/>
      <c r="Q183" s="12">
        <f t="shared" ca="1" si="83"/>
        <v>0</v>
      </c>
      <c r="R183" s="2">
        <f t="shared" si="73"/>
        <v>0</v>
      </c>
      <c r="S183" s="126">
        <f t="shared" ca="1" si="74"/>
        <v>0</v>
      </c>
      <c r="T183" s="127"/>
      <c r="U183" s="13">
        <f t="shared" ca="1" si="75"/>
        <v>0</v>
      </c>
      <c r="V183" s="2">
        <f t="shared" si="76"/>
        <v>0</v>
      </c>
      <c r="W183" s="126">
        <f t="shared" ca="1" si="77"/>
        <v>0</v>
      </c>
      <c r="X183" s="127"/>
      <c r="Y183" s="12">
        <f t="shared" ca="1" si="78"/>
        <v>0</v>
      </c>
      <c r="Z183" s="2" t="str">
        <f>Z39</f>
        <v>Plancha</v>
      </c>
      <c r="AA183" s="126">
        <f ca="1">IF(TODAY()=$A$149,AA39*AB39*AC39,AA183)</f>
        <v>0</v>
      </c>
      <c r="AB183" s="127"/>
      <c r="AC183" s="12">
        <f ca="1">IF(TODAY()=$A$149,AC39,AC183)</f>
        <v>0</v>
      </c>
      <c r="AD183" s="140"/>
      <c r="AE183" s="140"/>
      <c r="AF183" s="140"/>
      <c r="AG183" s="140"/>
      <c r="AH183" s="113"/>
      <c r="AI183" s="136"/>
      <c r="AJ183" s="136"/>
    </row>
    <row r="184" spans="1:36" x14ac:dyDescent="0.25">
      <c r="A184" s="137">
        <v>44632</v>
      </c>
      <c r="B184" s="2" t="str">
        <f t="shared" ref="B184:B218" si="84">B5</f>
        <v>Press plano</v>
      </c>
      <c r="C184" s="126">
        <f t="shared" ref="C184:C218" ca="1" si="85">IF(TODAY()=$A$184,C5*D5*E5,C184)</f>
        <v>0</v>
      </c>
      <c r="D184" s="127"/>
      <c r="E184" s="13">
        <f t="shared" ref="E184:E218" ca="1" si="86">IF(TODAY()=$A$184,E5,E184)</f>
        <v>0</v>
      </c>
      <c r="F184" s="2" t="str">
        <f t="shared" ref="F184:F218" si="87">F5</f>
        <v>Body ups</v>
      </c>
      <c r="G184" s="126">
        <f t="shared" ref="G184:G218" ca="1" si="88">IF(TODAY()=$A$184,G5*H5*I5,G184)</f>
        <v>0</v>
      </c>
      <c r="H184" s="127"/>
      <c r="I184" s="12">
        <f t="shared" ref="I184:I218" ca="1" si="89">IF(TODAY()=$A$184,I5,I184)</f>
        <v>0</v>
      </c>
      <c r="J184" s="2">
        <f t="shared" ref="J184:J218" si="90">J5</f>
        <v>0</v>
      </c>
      <c r="K184" s="126">
        <f t="shared" ref="K184:K218" ca="1" si="91">IF(TODAY()=$A$184,K5*L5*M5,K184)</f>
        <v>0</v>
      </c>
      <c r="L184" s="127"/>
      <c r="M184" s="12">
        <f t="shared" ref="M184:M218" ca="1" si="92">IF(TODAY()=$A$184,M5,M184)</f>
        <v>0</v>
      </c>
      <c r="N184" s="2">
        <f t="shared" ref="N184:N218" si="93">N5</f>
        <v>0</v>
      </c>
      <c r="O184" s="126">
        <f t="shared" ref="O184:O218" ca="1" si="94">IF(TODAY()=$A$184,O5*P5*Q5,O184)</f>
        <v>0</v>
      </c>
      <c r="P184" s="127"/>
      <c r="Q184" s="12">
        <f t="shared" ref="Q184:Q218" ca="1" si="95">IF(TODAY()=$A$184,Q5,Q184)</f>
        <v>0</v>
      </c>
      <c r="R184" s="2">
        <f t="shared" ref="R184:R218" si="96">R5</f>
        <v>0</v>
      </c>
      <c r="S184" s="126">
        <f t="shared" ref="S184:S218" ca="1" si="97">IF(TODAY()=$A$184,S5*T5*U5,S184)</f>
        <v>0</v>
      </c>
      <c r="T184" s="127"/>
      <c r="U184" s="13">
        <f t="shared" ref="U184:U218" ca="1" si="98">IF(TODAY()=$A$184,U5,U184)</f>
        <v>0</v>
      </c>
      <c r="V184" s="2">
        <f t="shared" ref="V184:V218" si="99">V5</f>
        <v>0</v>
      </c>
      <c r="W184" s="126">
        <f t="shared" ref="W184:W218" ca="1" si="100">IF(TODAY()=$A$184,W5*X5*Y5,W184)</f>
        <v>0</v>
      </c>
      <c r="X184" s="127"/>
      <c r="Y184" s="12">
        <f t="shared" ref="Y184:Y218" ca="1" si="101">IF(TODAY()=$A$184,Y5,Y184)</f>
        <v>0</v>
      </c>
      <c r="Z184" s="2">
        <f t="shared" ref="Z184:Z213" si="102">Z5</f>
        <v>0</v>
      </c>
      <c r="AA184" s="126">
        <f t="shared" ref="AA184:AA213" ca="1" si="103">IF(TODAY()=$A$184,AA5*AB5*AC5,AA184)</f>
        <v>0</v>
      </c>
      <c r="AB184" s="127"/>
      <c r="AC184" s="12">
        <f t="shared" ref="AC184:AC213" ca="1" si="104">IF(TODAY()=$A$184,AC5,AC184)</f>
        <v>0</v>
      </c>
      <c r="AD184" s="139">
        <f ca="1">SUM(C184:E218,G184:I218,K184:M218,O184:Q218,S184:U218,W184:Y218,AA184:AC218)</f>
        <v>0</v>
      </c>
      <c r="AE184" s="139"/>
      <c r="AF184" s="139"/>
      <c r="AG184" s="139"/>
      <c r="AH184" s="112" t="e">
        <f t="shared" ref="AH184" ca="1" si="105">(AD184-AD149)/AD149</f>
        <v>#DIV/0!</v>
      </c>
      <c r="AI184" s="135"/>
      <c r="AJ184" s="135"/>
    </row>
    <row r="185" spans="1:36" x14ac:dyDescent="0.25">
      <c r="A185" s="137"/>
      <c r="B185" s="2" t="str">
        <f t="shared" si="84"/>
        <v>Press plano mancuerna trifásico</v>
      </c>
      <c r="C185" s="126">
        <f t="shared" ca="1" si="85"/>
        <v>0</v>
      </c>
      <c r="D185" s="127"/>
      <c r="E185" s="13">
        <f t="shared" ca="1" si="86"/>
        <v>0</v>
      </c>
      <c r="F185" s="2" t="str">
        <f t="shared" si="87"/>
        <v>Fondos tríceps paralelas</v>
      </c>
      <c r="G185" s="126">
        <f t="shared" ca="1" si="88"/>
        <v>0</v>
      </c>
      <c r="H185" s="127"/>
      <c r="I185" s="12">
        <f t="shared" ca="1" si="89"/>
        <v>0</v>
      </c>
      <c r="J185" s="2">
        <f t="shared" si="90"/>
        <v>0</v>
      </c>
      <c r="K185" s="126">
        <f t="shared" ca="1" si="91"/>
        <v>0</v>
      </c>
      <c r="L185" s="127"/>
      <c r="M185" s="12">
        <f t="shared" ca="1" si="92"/>
        <v>0</v>
      </c>
      <c r="N185" s="2">
        <f t="shared" si="93"/>
        <v>0</v>
      </c>
      <c r="O185" s="126">
        <f t="shared" ca="1" si="94"/>
        <v>0</v>
      </c>
      <c r="P185" s="127"/>
      <c r="Q185" s="12">
        <f t="shared" ca="1" si="95"/>
        <v>0</v>
      </c>
      <c r="R185" s="2">
        <f t="shared" si="96"/>
        <v>0</v>
      </c>
      <c r="S185" s="126">
        <f t="shared" ca="1" si="97"/>
        <v>0</v>
      </c>
      <c r="T185" s="127"/>
      <c r="U185" s="13">
        <f t="shared" ca="1" si="98"/>
        <v>0</v>
      </c>
      <c r="V185" s="2">
        <f t="shared" si="99"/>
        <v>0</v>
      </c>
      <c r="W185" s="126">
        <f t="shared" ca="1" si="100"/>
        <v>0</v>
      </c>
      <c r="X185" s="127"/>
      <c r="Y185" s="12">
        <f t="shared" ca="1" si="101"/>
        <v>0</v>
      </c>
      <c r="Z185" s="2">
        <f t="shared" si="102"/>
        <v>0</v>
      </c>
      <c r="AA185" s="126">
        <f t="shared" ca="1" si="103"/>
        <v>0</v>
      </c>
      <c r="AB185" s="127"/>
      <c r="AC185" s="12">
        <f t="shared" ca="1" si="104"/>
        <v>0</v>
      </c>
      <c r="AD185" s="140"/>
      <c r="AE185" s="140"/>
      <c r="AF185" s="140"/>
      <c r="AG185" s="140"/>
      <c r="AH185" s="113"/>
      <c r="AI185" s="136"/>
      <c r="AJ185" s="136"/>
    </row>
    <row r="186" spans="1:36" x14ac:dyDescent="0.25">
      <c r="A186" s="137"/>
      <c r="B186" s="2" t="str">
        <f t="shared" si="84"/>
        <v>Press inclinado mancuerna</v>
      </c>
      <c r="C186" s="126">
        <f t="shared" ca="1" si="85"/>
        <v>0</v>
      </c>
      <c r="D186" s="127"/>
      <c r="E186" s="13">
        <f t="shared" ca="1" si="86"/>
        <v>0</v>
      </c>
      <c r="F186" s="2" t="str">
        <f t="shared" si="87"/>
        <v>Fondos máquina</v>
      </c>
      <c r="G186" s="126">
        <f t="shared" ca="1" si="88"/>
        <v>0</v>
      </c>
      <c r="H186" s="127"/>
      <c r="I186" s="12">
        <f t="shared" ca="1" si="89"/>
        <v>0</v>
      </c>
      <c r="J186" s="2">
        <f t="shared" si="90"/>
        <v>0</v>
      </c>
      <c r="K186" s="126">
        <f t="shared" ca="1" si="91"/>
        <v>0</v>
      </c>
      <c r="L186" s="127"/>
      <c r="M186" s="12">
        <f t="shared" ca="1" si="92"/>
        <v>0</v>
      </c>
      <c r="N186" s="2">
        <f t="shared" si="93"/>
        <v>0</v>
      </c>
      <c r="O186" s="126">
        <f t="shared" ca="1" si="94"/>
        <v>0</v>
      </c>
      <c r="P186" s="127"/>
      <c r="Q186" s="12">
        <f t="shared" ca="1" si="95"/>
        <v>0</v>
      </c>
      <c r="R186" s="2">
        <f t="shared" si="96"/>
        <v>0</v>
      </c>
      <c r="S186" s="126">
        <f t="shared" ca="1" si="97"/>
        <v>0</v>
      </c>
      <c r="T186" s="127"/>
      <c r="U186" s="13">
        <f t="shared" ca="1" si="98"/>
        <v>0</v>
      </c>
      <c r="V186" s="2">
        <f t="shared" si="99"/>
        <v>0</v>
      </c>
      <c r="W186" s="126">
        <f t="shared" ca="1" si="100"/>
        <v>0</v>
      </c>
      <c r="X186" s="127"/>
      <c r="Y186" s="12">
        <f t="shared" ca="1" si="101"/>
        <v>0</v>
      </c>
      <c r="Z186" s="2">
        <f t="shared" si="102"/>
        <v>0</v>
      </c>
      <c r="AA186" s="126">
        <f t="shared" ca="1" si="103"/>
        <v>0</v>
      </c>
      <c r="AB186" s="127"/>
      <c r="AC186" s="12">
        <f t="shared" ca="1" si="104"/>
        <v>0</v>
      </c>
      <c r="AD186" s="140"/>
      <c r="AE186" s="140"/>
      <c r="AF186" s="140"/>
      <c r="AG186" s="140"/>
      <c r="AH186" s="113"/>
      <c r="AI186" s="136"/>
      <c r="AJ186" s="136"/>
    </row>
    <row r="187" spans="1:36" x14ac:dyDescent="0.25">
      <c r="A187" s="137"/>
      <c r="B187" s="2" t="str">
        <f t="shared" si="84"/>
        <v>Vuelos máquina</v>
      </c>
      <c r="C187" s="126">
        <f t="shared" ca="1" si="85"/>
        <v>0</v>
      </c>
      <c r="D187" s="127"/>
      <c r="E187" s="13">
        <f t="shared" ca="1" si="86"/>
        <v>0</v>
      </c>
      <c r="F187" s="2" t="str">
        <f t="shared" si="87"/>
        <v>Extensión tríceps polea</v>
      </c>
      <c r="G187" s="126">
        <f t="shared" ca="1" si="88"/>
        <v>0</v>
      </c>
      <c r="H187" s="127"/>
      <c r="I187" s="12">
        <f t="shared" ca="1" si="89"/>
        <v>0</v>
      </c>
      <c r="J187" s="2">
        <f t="shared" si="90"/>
        <v>0</v>
      </c>
      <c r="K187" s="126">
        <f t="shared" ca="1" si="91"/>
        <v>0</v>
      </c>
      <c r="L187" s="127"/>
      <c r="M187" s="12">
        <f t="shared" ca="1" si="92"/>
        <v>0</v>
      </c>
      <c r="N187" s="2">
        <f t="shared" si="93"/>
        <v>0</v>
      </c>
      <c r="O187" s="126">
        <f t="shared" ca="1" si="94"/>
        <v>0</v>
      </c>
      <c r="P187" s="127"/>
      <c r="Q187" s="12">
        <f t="shared" ca="1" si="95"/>
        <v>0</v>
      </c>
      <c r="R187" s="2">
        <f t="shared" si="96"/>
        <v>0</v>
      </c>
      <c r="S187" s="126">
        <f t="shared" ca="1" si="97"/>
        <v>0</v>
      </c>
      <c r="T187" s="127"/>
      <c r="U187" s="13">
        <f t="shared" ca="1" si="98"/>
        <v>0</v>
      </c>
      <c r="V187" s="2">
        <f t="shared" si="99"/>
        <v>0</v>
      </c>
      <c r="W187" s="126">
        <f t="shared" ca="1" si="100"/>
        <v>0</v>
      </c>
      <c r="X187" s="127"/>
      <c r="Y187" s="12">
        <f t="shared" ca="1" si="101"/>
        <v>0</v>
      </c>
      <c r="Z187" s="2">
        <f t="shared" si="102"/>
        <v>0</v>
      </c>
      <c r="AA187" s="126">
        <f t="shared" ca="1" si="103"/>
        <v>0</v>
      </c>
      <c r="AB187" s="127"/>
      <c r="AC187" s="12">
        <f t="shared" ca="1" si="104"/>
        <v>0</v>
      </c>
      <c r="AD187" s="140"/>
      <c r="AE187" s="140"/>
      <c r="AF187" s="140"/>
      <c r="AG187" s="140"/>
      <c r="AH187" s="113"/>
      <c r="AI187" s="136"/>
      <c r="AJ187" s="136"/>
    </row>
    <row r="188" spans="1:36" x14ac:dyDescent="0.25">
      <c r="A188" s="137"/>
      <c r="B188" s="2" t="str">
        <f t="shared" si="84"/>
        <v>Pullover pecho mancuerna</v>
      </c>
      <c r="C188" s="126">
        <f t="shared" ca="1" si="85"/>
        <v>0</v>
      </c>
      <c r="D188" s="127"/>
      <c r="E188" s="13">
        <f t="shared" ca="1" si="86"/>
        <v>0</v>
      </c>
      <c r="F188" s="2">
        <f t="shared" si="87"/>
        <v>0</v>
      </c>
      <c r="G188" s="126">
        <f t="shared" ca="1" si="88"/>
        <v>0</v>
      </c>
      <c r="H188" s="127"/>
      <c r="I188" s="12">
        <f t="shared" ca="1" si="89"/>
        <v>0</v>
      </c>
      <c r="J188" s="2">
        <f t="shared" si="90"/>
        <v>0</v>
      </c>
      <c r="K188" s="126">
        <f t="shared" ca="1" si="91"/>
        <v>0</v>
      </c>
      <c r="L188" s="127"/>
      <c r="M188" s="12">
        <f t="shared" ca="1" si="92"/>
        <v>0</v>
      </c>
      <c r="N188" s="2">
        <f t="shared" si="93"/>
        <v>0</v>
      </c>
      <c r="O188" s="126">
        <f t="shared" ca="1" si="94"/>
        <v>0</v>
      </c>
      <c r="P188" s="127"/>
      <c r="Q188" s="12">
        <f t="shared" ca="1" si="95"/>
        <v>0</v>
      </c>
      <c r="R188" s="2">
        <f t="shared" si="96"/>
        <v>0</v>
      </c>
      <c r="S188" s="126">
        <f t="shared" ca="1" si="97"/>
        <v>0</v>
      </c>
      <c r="T188" s="127"/>
      <c r="U188" s="13">
        <f t="shared" ca="1" si="98"/>
        <v>0</v>
      </c>
      <c r="V188" s="2">
        <f t="shared" si="99"/>
        <v>0</v>
      </c>
      <c r="W188" s="126">
        <f t="shared" ca="1" si="100"/>
        <v>0</v>
      </c>
      <c r="X188" s="127"/>
      <c r="Y188" s="12">
        <f t="shared" ca="1" si="101"/>
        <v>0</v>
      </c>
      <c r="Z188" s="2">
        <f t="shared" si="102"/>
        <v>0</v>
      </c>
      <c r="AA188" s="126">
        <f t="shared" ca="1" si="103"/>
        <v>0</v>
      </c>
      <c r="AB188" s="127"/>
      <c r="AC188" s="12">
        <f t="shared" ca="1" si="104"/>
        <v>0</v>
      </c>
      <c r="AD188" s="140"/>
      <c r="AE188" s="140"/>
      <c r="AF188" s="140"/>
      <c r="AG188" s="140"/>
      <c r="AH188" s="113"/>
      <c r="AI188" s="136"/>
      <c r="AJ188" s="136"/>
    </row>
    <row r="189" spans="1:36" x14ac:dyDescent="0.25">
      <c r="A189" s="137"/>
      <c r="B189" s="2">
        <f t="shared" si="84"/>
        <v>0</v>
      </c>
      <c r="C189" s="126">
        <f t="shared" ca="1" si="85"/>
        <v>0</v>
      </c>
      <c r="D189" s="127"/>
      <c r="E189" s="13">
        <f t="shared" ca="1" si="86"/>
        <v>0</v>
      </c>
      <c r="F189" s="2">
        <f t="shared" si="87"/>
        <v>0</v>
      </c>
      <c r="G189" s="126">
        <f t="shared" ca="1" si="88"/>
        <v>0</v>
      </c>
      <c r="H189" s="127"/>
      <c r="I189" s="12">
        <f t="shared" ca="1" si="89"/>
        <v>0</v>
      </c>
      <c r="J189" s="2" t="str">
        <f t="shared" si="90"/>
        <v>Pullups</v>
      </c>
      <c r="K189" s="126">
        <f t="shared" ca="1" si="91"/>
        <v>0</v>
      </c>
      <c r="L189" s="127"/>
      <c r="M189" s="12">
        <f t="shared" ca="1" si="92"/>
        <v>0</v>
      </c>
      <c r="N189" s="2" t="str">
        <f t="shared" si="93"/>
        <v>Curl spider</v>
      </c>
      <c r="O189" s="126">
        <f t="shared" ca="1" si="94"/>
        <v>0</v>
      </c>
      <c r="P189" s="127"/>
      <c r="Q189" s="12">
        <f t="shared" ca="1" si="95"/>
        <v>0</v>
      </c>
      <c r="R189" s="2">
        <f t="shared" si="96"/>
        <v>0</v>
      </c>
      <c r="S189" s="126">
        <f t="shared" ca="1" si="97"/>
        <v>0</v>
      </c>
      <c r="T189" s="127"/>
      <c r="U189" s="13">
        <f t="shared" ca="1" si="98"/>
        <v>0</v>
      </c>
      <c r="V189" s="2">
        <f t="shared" si="99"/>
        <v>0</v>
      </c>
      <c r="W189" s="126">
        <f t="shared" ca="1" si="100"/>
        <v>0</v>
      </c>
      <c r="X189" s="127"/>
      <c r="Y189" s="12">
        <f t="shared" ca="1" si="101"/>
        <v>0</v>
      </c>
      <c r="Z189" s="2">
        <f t="shared" si="102"/>
        <v>0</v>
      </c>
      <c r="AA189" s="126">
        <f t="shared" ca="1" si="103"/>
        <v>0</v>
      </c>
      <c r="AB189" s="127"/>
      <c r="AC189" s="12">
        <f t="shared" ca="1" si="104"/>
        <v>0</v>
      </c>
      <c r="AD189" s="140"/>
      <c r="AE189" s="140"/>
      <c r="AF189" s="140"/>
      <c r="AG189" s="140"/>
      <c r="AH189" s="113"/>
      <c r="AI189" s="136"/>
      <c r="AJ189" s="136"/>
    </row>
    <row r="190" spans="1:36" x14ac:dyDescent="0.25">
      <c r="A190" s="137"/>
      <c r="B190" s="2">
        <f t="shared" si="84"/>
        <v>0</v>
      </c>
      <c r="C190" s="126">
        <f t="shared" ca="1" si="85"/>
        <v>0</v>
      </c>
      <c r="D190" s="127"/>
      <c r="E190" s="13">
        <f t="shared" ca="1" si="86"/>
        <v>0</v>
      </c>
      <c r="F190" s="2">
        <f t="shared" si="87"/>
        <v>0</v>
      </c>
      <c r="G190" s="126">
        <f t="shared" ca="1" si="88"/>
        <v>0</v>
      </c>
      <c r="H190" s="127"/>
      <c r="I190" s="12">
        <f t="shared" ca="1" si="89"/>
        <v>0</v>
      </c>
      <c r="J190" s="2" t="str">
        <f t="shared" si="90"/>
        <v>Remo mancuerna banco inclinado</v>
      </c>
      <c r="K190" s="126">
        <f t="shared" ca="1" si="91"/>
        <v>0</v>
      </c>
      <c r="L190" s="127"/>
      <c r="M190" s="12">
        <f t="shared" ca="1" si="92"/>
        <v>0</v>
      </c>
      <c r="N190" s="2" t="str">
        <f t="shared" si="93"/>
        <v>Curl invertido barra z</v>
      </c>
      <c r="O190" s="126">
        <f t="shared" ca="1" si="94"/>
        <v>0</v>
      </c>
      <c r="P190" s="127"/>
      <c r="Q190" s="12">
        <f t="shared" ca="1" si="95"/>
        <v>0</v>
      </c>
      <c r="R190" s="2">
        <f t="shared" si="96"/>
        <v>0</v>
      </c>
      <c r="S190" s="126">
        <f t="shared" ca="1" si="97"/>
        <v>0</v>
      </c>
      <c r="T190" s="127"/>
      <c r="U190" s="13">
        <f t="shared" ca="1" si="98"/>
        <v>0</v>
      </c>
      <c r="V190" s="2">
        <f t="shared" si="99"/>
        <v>0</v>
      </c>
      <c r="W190" s="126">
        <f t="shared" ca="1" si="100"/>
        <v>0</v>
      </c>
      <c r="X190" s="127"/>
      <c r="Y190" s="12">
        <f t="shared" ca="1" si="101"/>
        <v>0</v>
      </c>
      <c r="Z190" s="2">
        <f t="shared" si="102"/>
        <v>0</v>
      </c>
      <c r="AA190" s="126">
        <f t="shared" ca="1" si="103"/>
        <v>0</v>
      </c>
      <c r="AB190" s="127"/>
      <c r="AC190" s="12">
        <f t="shared" ca="1" si="104"/>
        <v>0</v>
      </c>
      <c r="AD190" s="140"/>
      <c r="AE190" s="140"/>
      <c r="AF190" s="140"/>
      <c r="AG190" s="140"/>
      <c r="AH190" s="113"/>
      <c r="AI190" s="136"/>
      <c r="AJ190" s="136"/>
    </row>
    <row r="191" spans="1:36" x14ac:dyDescent="0.25">
      <c r="A191" s="137"/>
      <c r="B191" s="2">
        <f t="shared" si="84"/>
        <v>0</v>
      </c>
      <c r="C191" s="126">
        <f t="shared" ca="1" si="85"/>
        <v>0</v>
      </c>
      <c r="D191" s="127"/>
      <c r="E191" s="13">
        <f t="shared" ca="1" si="86"/>
        <v>0</v>
      </c>
      <c r="F191" s="2">
        <f t="shared" si="87"/>
        <v>0</v>
      </c>
      <c r="G191" s="126">
        <f t="shared" ca="1" si="88"/>
        <v>0</v>
      </c>
      <c r="H191" s="127"/>
      <c r="I191" s="12">
        <f t="shared" ca="1" si="89"/>
        <v>0</v>
      </c>
      <c r="J191" s="2" t="str">
        <f t="shared" si="90"/>
        <v>Pulldown polea sentado agarre en v</v>
      </c>
      <c r="K191" s="126">
        <f t="shared" ca="1" si="91"/>
        <v>0</v>
      </c>
      <c r="L191" s="127"/>
      <c r="M191" s="12">
        <f t="shared" ca="1" si="92"/>
        <v>0</v>
      </c>
      <c r="N191" s="2" t="str">
        <f t="shared" si="93"/>
        <v>Predicador barra</v>
      </c>
      <c r="O191" s="126">
        <f t="shared" ca="1" si="94"/>
        <v>0</v>
      </c>
      <c r="P191" s="127"/>
      <c r="Q191" s="12">
        <f t="shared" ca="1" si="95"/>
        <v>0</v>
      </c>
      <c r="R191" s="2">
        <f t="shared" si="96"/>
        <v>0</v>
      </c>
      <c r="S191" s="126">
        <f t="shared" ca="1" si="97"/>
        <v>0</v>
      </c>
      <c r="T191" s="127"/>
      <c r="U191" s="13">
        <f t="shared" ca="1" si="98"/>
        <v>0</v>
      </c>
      <c r="V191" s="2">
        <f t="shared" si="99"/>
        <v>0</v>
      </c>
      <c r="W191" s="126">
        <f t="shared" ca="1" si="100"/>
        <v>0</v>
      </c>
      <c r="X191" s="127"/>
      <c r="Y191" s="12">
        <f t="shared" ca="1" si="101"/>
        <v>0</v>
      </c>
      <c r="Z191" s="2">
        <f t="shared" si="102"/>
        <v>0</v>
      </c>
      <c r="AA191" s="126">
        <f t="shared" ca="1" si="103"/>
        <v>0</v>
      </c>
      <c r="AB191" s="127"/>
      <c r="AC191" s="12">
        <f t="shared" ca="1" si="104"/>
        <v>0</v>
      </c>
      <c r="AD191" s="140"/>
      <c r="AE191" s="140"/>
      <c r="AF191" s="140"/>
      <c r="AG191" s="140"/>
      <c r="AH191" s="113"/>
      <c r="AI191" s="136"/>
      <c r="AJ191" s="136"/>
    </row>
    <row r="192" spans="1:36" x14ac:dyDescent="0.25">
      <c r="A192" s="137"/>
      <c r="B192" s="2">
        <f t="shared" si="84"/>
        <v>0</v>
      </c>
      <c r="C192" s="126">
        <f t="shared" ca="1" si="85"/>
        <v>0</v>
      </c>
      <c r="D192" s="127"/>
      <c r="E192" s="13">
        <f t="shared" ca="1" si="86"/>
        <v>0</v>
      </c>
      <c r="F192" s="2">
        <f t="shared" si="87"/>
        <v>0</v>
      </c>
      <c r="G192" s="126">
        <f t="shared" ca="1" si="88"/>
        <v>0</v>
      </c>
      <c r="H192" s="127"/>
      <c r="I192" s="12">
        <f t="shared" ca="1" si="89"/>
        <v>0</v>
      </c>
      <c r="J192" s="2" t="str">
        <f t="shared" si="90"/>
        <v>Remo landmine</v>
      </c>
      <c r="K192" s="126">
        <f t="shared" ca="1" si="91"/>
        <v>0</v>
      </c>
      <c r="L192" s="127"/>
      <c r="M192" s="12">
        <f t="shared" ca="1" si="92"/>
        <v>0</v>
      </c>
      <c r="N192" s="2" t="str">
        <f t="shared" si="93"/>
        <v>Curl mancuerna sentado inclinado</v>
      </c>
      <c r="O192" s="126">
        <f t="shared" ca="1" si="94"/>
        <v>0</v>
      </c>
      <c r="P192" s="127"/>
      <c r="Q192" s="12">
        <f t="shared" ca="1" si="95"/>
        <v>0</v>
      </c>
      <c r="R192" s="2">
        <f t="shared" si="96"/>
        <v>0</v>
      </c>
      <c r="S192" s="126">
        <f t="shared" ca="1" si="97"/>
        <v>0</v>
      </c>
      <c r="T192" s="127"/>
      <c r="U192" s="13">
        <f t="shared" ca="1" si="98"/>
        <v>0</v>
      </c>
      <c r="V192" s="2">
        <f t="shared" si="99"/>
        <v>0</v>
      </c>
      <c r="W192" s="126">
        <f t="shared" ca="1" si="100"/>
        <v>0</v>
      </c>
      <c r="X192" s="127"/>
      <c r="Y192" s="12">
        <f t="shared" ca="1" si="101"/>
        <v>0</v>
      </c>
      <c r="Z192" s="2">
        <f t="shared" si="102"/>
        <v>0</v>
      </c>
      <c r="AA192" s="126">
        <f t="shared" ca="1" si="103"/>
        <v>0</v>
      </c>
      <c r="AB192" s="127"/>
      <c r="AC192" s="12">
        <f t="shared" ca="1" si="104"/>
        <v>0</v>
      </c>
      <c r="AD192" s="140"/>
      <c r="AE192" s="140"/>
      <c r="AF192" s="140"/>
      <c r="AG192" s="140"/>
      <c r="AH192" s="113"/>
      <c r="AI192" s="136"/>
      <c r="AJ192" s="136"/>
    </row>
    <row r="193" spans="1:36" x14ac:dyDescent="0.25">
      <c r="A193" s="137"/>
      <c r="B193" s="2">
        <f t="shared" si="84"/>
        <v>0</v>
      </c>
      <c r="C193" s="126">
        <f t="shared" ca="1" si="85"/>
        <v>0</v>
      </c>
      <c r="D193" s="127"/>
      <c r="E193" s="13">
        <f t="shared" ca="1" si="86"/>
        <v>0</v>
      </c>
      <c r="F193" s="2">
        <f t="shared" si="87"/>
        <v>0</v>
      </c>
      <c r="G193" s="126">
        <f t="shared" ca="1" si="88"/>
        <v>0</v>
      </c>
      <c r="H193" s="127"/>
      <c r="I193" s="12">
        <f t="shared" ca="1" si="89"/>
        <v>0</v>
      </c>
      <c r="J193" s="2" t="str">
        <f t="shared" si="90"/>
        <v>Plancha paracaídas</v>
      </c>
      <c r="K193" s="126">
        <f t="shared" ca="1" si="91"/>
        <v>0</v>
      </c>
      <c r="L193" s="127"/>
      <c r="M193" s="12">
        <f t="shared" ca="1" si="92"/>
        <v>0</v>
      </c>
      <c r="N193" s="2">
        <f t="shared" si="93"/>
        <v>0</v>
      </c>
      <c r="O193" s="126">
        <f t="shared" ca="1" si="94"/>
        <v>0</v>
      </c>
      <c r="P193" s="127"/>
      <c r="Q193" s="12">
        <f t="shared" ca="1" si="95"/>
        <v>0</v>
      </c>
      <c r="R193" s="2">
        <f t="shared" si="96"/>
        <v>0</v>
      </c>
      <c r="S193" s="126">
        <f t="shared" ca="1" si="97"/>
        <v>0</v>
      </c>
      <c r="T193" s="127"/>
      <c r="U193" s="13">
        <f t="shared" ca="1" si="98"/>
        <v>0</v>
      </c>
      <c r="V193" s="2">
        <f t="shared" si="99"/>
        <v>0</v>
      </c>
      <c r="W193" s="126">
        <f t="shared" ca="1" si="100"/>
        <v>0</v>
      </c>
      <c r="X193" s="127"/>
      <c r="Y193" s="12">
        <f t="shared" ca="1" si="101"/>
        <v>0</v>
      </c>
      <c r="Z193" s="2">
        <f t="shared" si="102"/>
        <v>0</v>
      </c>
      <c r="AA193" s="126">
        <f t="shared" ca="1" si="103"/>
        <v>0</v>
      </c>
      <c r="AB193" s="127"/>
      <c r="AC193" s="12">
        <f t="shared" ca="1" si="104"/>
        <v>0</v>
      </c>
      <c r="AD193" s="140"/>
      <c r="AE193" s="140"/>
      <c r="AF193" s="140"/>
      <c r="AG193" s="140"/>
      <c r="AH193" s="113"/>
      <c r="AI193" s="136"/>
      <c r="AJ193" s="136"/>
    </row>
    <row r="194" spans="1:36" x14ac:dyDescent="0.25">
      <c r="A194" s="137"/>
      <c r="B194" s="2">
        <f t="shared" si="84"/>
        <v>0</v>
      </c>
      <c r="C194" s="126">
        <f t="shared" ca="1" si="85"/>
        <v>0</v>
      </c>
      <c r="D194" s="127"/>
      <c r="E194" s="13">
        <f t="shared" ca="1" si="86"/>
        <v>0</v>
      </c>
      <c r="F194" s="2">
        <f t="shared" si="87"/>
        <v>0</v>
      </c>
      <c r="G194" s="126">
        <f t="shared" ca="1" si="88"/>
        <v>0</v>
      </c>
      <c r="H194" s="127"/>
      <c r="I194" s="12">
        <f t="shared" ca="1" si="89"/>
        <v>0</v>
      </c>
      <c r="J194" s="2">
        <f t="shared" si="90"/>
        <v>0</v>
      </c>
      <c r="K194" s="126">
        <f t="shared" ca="1" si="91"/>
        <v>0</v>
      </c>
      <c r="L194" s="127"/>
      <c r="M194" s="12">
        <f t="shared" ca="1" si="92"/>
        <v>0</v>
      </c>
      <c r="N194" s="2">
        <f t="shared" si="93"/>
        <v>0</v>
      </c>
      <c r="O194" s="126">
        <f t="shared" ca="1" si="94"/>
        <v>0</v>
      </c>
      <c r="P194" s="127"/>
      <c r="Q194" s="12">
        <f t="shared" ca="1" si="95"/>
        <v>0</v>
      </c>
      <c r="R194" s="2">
        <f t="shared" si="96"/>
        <v>0</v>
      </c>
      <c r="S194" s="126">
        <f t="shared" ca="1" si="97"/>
        <v>0</v>
      </c>
      <c r="T194" s="127"/>
      <c r="U194" s="13">
        <f t="shared" ca="1" si="98"/>
        <v>0</v>
      </c>
      <c r="V194" s="2">
        <f t="shared" si="99"/>
        <v>0</v>
      </c>
      <c r="W194" s="126">
        <f t="shared" ca="1" si="100"/>
        <v>0</v>
      </c>
      <c r="X194" s="127"/>
      <c r="Y194" s="12">
        <f t="shared" ca="1" si="101"/>
        <v>0</v>
      </c>
      <c r="Z194" s="2">
        <f t="shared" si="102"/>
        <v>0</v>
      </c>
      <c r="AA194" s="126">
        <f t="shared" ca="1" si="103"/>
        <v>0</v>
      </c>
      <c r="AB194" s="127"/>
      <c r="AC194" s="12">
        <f t="shared" ca="1" si="104"/>
        <v>0</v>
      </c>
      <c r="AD194" s="140"/>
      <c r="AE194" s="140"/>
      <c r="AF194" s="140"/>
      <c r="AG194" s="140"/>
      <c r="AH194" s="113"/>
      <c r="AI194" s="136"/>
      <c r="AJ194" s="136"/>
    </row>
    <row r="195" spans="1:36" x14ac:dyDescent="0.25">
      <c r="A195" s="137"/>
      <c r="B195" s="2">
        <f t="shared" si="84"/>
        <v>0</v>
      </c>
      <c r="C195" s="126">
        <f t="shared" ca="1" si="85"/>
        <v>0</v>
      </c>
      <c r="D195" s="127"/>
      <c r="E195" s="13">
        <f t="shared" ca="1" si="86"/>
        <v>0</v>
      </c>
      <c r="F195" s="2">
        <f t="shared" si="87"/>
        <v>0</v>
      </c>
      <c r="G195" s="126">
        <f t="shared" ca="1" si="88"/>
        <v>0</v>
      </c>
      <c r="H195" s="127"/>
      <c r="I195" s="12">
        <f t="shared" ca="1" si="89"/>
        <v>0</v>
      </c>
      <c r="J195" s="2">
        <f t="shared" si="90"/>
        <v>0</v>
      </c>
      <c r="K195" s="126">
        <f t="shared" ca="1" si="91"/>
        <v>0</v>
      </c>
      <c r="L195" s="127"/>
      <c r="M195" s="12">
        <f t="shared" ca="1" si="92"/>
        <v>0</v>
      </c>
      <c r="N195" s="2">
        <f t="shared" si="93"/>
        <v>0</v>
      </c>
      <c r="O195" s="126">
        <f t="shared" ca="1" si="94"/>
        <v>0</v>
      </c>
      <c r="P195" s="127"/>
      <c r="Q195" s="12">
        <f t="shared" ca="1" si="95"/>
        <v>0</v>
      </c>
      <c r="R195" s="2">
        <f t="shared" si="96"/>
        <v>0</v>
      </c>
      <c r="S195" s="126">
        <f t="shared" ca="1" si="97"/>
        <v>0</v>
      </c>
      <c r="T195" s="127"/>
      <c r="U195" s="13">
        <f t="shared" ca="1" si="98"/>
        <v>0</v>
      </c>
      <c r="V195" s="2">
        <f t="shared" si="99"/>
        <v>0</v>
      </c>
      <c r="W195" s="126">
        <f t="shared" ca="1" si="100"/>
        <v>0</v>
      </c>
      <c r="X195" s="127"/>
      <c r="Y195" s="12">
        <f t="shared" ca="1" si="101"/>
        <v>0</v>
      </c>
      <c r="Z195" s="2">
        <f t="shared" si="102"/>
        <v>0</v>
      </c>
      <c r="AA195" s="126">
        <f t="shared" ca="1" si="103"/>
        <v>0</v>
      </c>
      <c r="AB195" s="127"/>
      <c r="AC195" s="12">
        <f t="shared" ca="1" si="104"/>
        <v>0</v>
      </c>
      <c r="AD195" s="140"/>
      <c r="AE195" s="140"/>
      <c r="AF195" s="140"/>
      <c r="AG195" s="140"/>
      <c r="AH195" s="113"/>
      <c r="AI195" s="136"/>
      <c r="AJ195" s="136"/>
    </row>
    <row r="196" spans="1:36" x14ac:dyDescent="0.25">
      <c r="A196" s="137"/>
      <c r="B196" s="2">
        <f t="shared" si="84"/>
        <v>0</v>
      </c>
      <c r="C196" s="126">
        <f t="shared" ca="1" si="85"/>
        <v>0</v>
      </c>
      <c r="D196" s="127"/>
      <c r="E196" s="13">
        <f t="shared" ca="1" si="86"/>
        <v>0</v>
      </c>
      <c r="F196" s="2">
        <f t="shared" si="87"/>
        <v>0</v>
      </c>
      <c r="G196" s="126">
        <f t="shared" ca="1" si="88"/>
        <v>0</v>
      </c>
      <c r="H196" s="127"/>
      <c r="I196" s="12">
        <f t="shared" ca="1" si="89"/>
        <v>0</v>
      </c>
      <c r="J196" s="2">
        <f t="shared" si="90"/>
        <v>0</v>
      </c>
      <c r="K196" s="126">
        <f t="shared" ca="1" si="91"/>
        <v>0</v>
      </c>
      <c r="L196" s="127"/>
      <c r="M196" s="12">
        <f t="shared" ca="1" si="92"/>
        <v>0</v>
      </c>
      <c r="N196" s="2">
        <f t="shared" si="93"/>
        <v>0</v>
      </c>
      <c r="O196" s="126">
        <f t="shared" ca="1" si="94"/>
        <v>0</v>
      </c>
      <c r="P196" s="127"/>
      <c r="Q196" s="12">
        <f t="shared" ca="1" si="95"/>
        <v>0</v>
      </c>
      <c r="R196" s="2">
        <f t="shared" si="96"/>
        <v>0</v>
      </c>
      <c r="S196" s="126">
        <f t="shared" ca="1" si="97"/>
        <v>0</v>
      </c>
      <c r="T196" s="127"/>
      <c r="U196" s="13">
        <f t="shared" ca="1" si="98"/>
        <v>0</v>
      </c>
      <c r="V196" s="2">
        <f t="shared" si="99"/>
        <v>0</v>
      </c>
      <c r="W196" s="126">
        <f t="shared" ca="1" si="100"/>
        <v>0</v>
      </c>
      <c r="X196" s="127"/>
      <c r="Y196" s="12">
        <f t="shared" ca="1" si="101"/>
        <v>0</v>
      </c>
      <c r="Z196" s="2">
        <f t="shared" si="102"/>
        <v>0</v>
      </c>
      <c r="AA196" s="126">
        <f t="shared" ca="1" si="103"/>
        <v>0</v>
      </c>
      <c r="AB196" s="127"/>
      <c r="AC196" s="12">
        <f t="shared" ca="1" si="104"/>
        <v>0</v>
      </c>
      <c r="AD196" s="140"/>
      <c r="AE196" s="140"/>
      <c r="AF196" s="140"/>
      <c r="AG196" s="140"/>
      <c r="AH196" s="113"/>
      <c r="AI196" s="136"/>
      <c r="AJ196" s="136"/>
    </row>
    <row r="197" spans="1:36" x14ac:dyDescent="0.25">
      <c r="A197" s="137"/>
      <c r="B197" s="2">
        <f t="shared" si="84"/>
        <v>0</v>
      </c>
      <c r="C197" s="126">
        <f t="shared" ca="1" si="85"/>
        <v>0</v>
      </c>
      <c r="D197" s="127"/>
      <c r="E197" s="13">
        <f t="shared" ca="1" si="86"/>
        <v>0</v>
      </c>
      <c r="F197" s="2">
        <f t="shared" si="87"/>
        <v>0</v>
      </c>
      <c r="G197" s="126">
        <f t="shared" ca="1" si="88"/>
        <v>0</v>
      </c>
      <c r="H197" s="127"/>
      <c r="I197" s="12">
        <f t="shared" ca="1" si="89"/>
        <v>0</v>
      </c>
      <c r="J197" s="2">
        <f t="shared" si="90"/>
        <v>0</v>
      </c>
      <c r="K197" s="126">
        <f t="shared" ca="1" si="91"/>
        <v>0</v>
      </c>
      <c r="L197" s="127"/>
      <c r="M197" s="12">
        <f t="shared" ca="1" si="92"/>
        <v>0</v>
      </c>
      <c r="N197" s="2">
        <f t="shared" si="93"/>
        <v>0</v>
      </c>
      <c r="O197" s="126">
        <f t="shared" ca="1" si="94"/>
        <v>0</v>
      </c>
      <c r="P197" s="127"/>
      <c r="Q197" s="12">
        <f t="shared" ca="1" si="95"/>
        <v>0</v>
      </c>
      <c r="R197" s="2">
        <f t="shared" si="96"/>
        <v>0</v>
      </c>
      <c r="S197" s="126">
        <f t="shared" ca="1" si="97"/>
        <v>0</v>
      </c>
      <c r="T197" s="127"/>
      <c r="U197" s="13">
        <f t="shared" ca="1" si="98"/>
        <v>0</v>
      </c>
      <c r="V197" s="2">
        <f t="shared" si="99"/>
        <v>0</v>
      </c>
      <c r="W197" s="126">
        <f t="shared" ca="1" si="100"/>
        <v>0</v>
      </c>
      <c r="X197" s="127"/>
      <c r="Y197" s="12">
        <f t="shared" ca="1" si="101"/>
        <v>0</v>
      </c>
      <c r="Z197" s="2">
        <f t="shared" si="102"/>
        <v>0</v>
      </c>
      <c r="AA197" s="126">
        <f t="shared" ca="1" si="103"/>
        <v>0</v>
      </c>
      <c r="AB197" s="127"/>
      <c r="AC197" s="12">
        <f t="shared" ca="1" si="104"/>
        <v>0</v>
      </c>
      <c r="AD197" s="140"/>
      <c r="AE197" s="140"/>
      <c r="AF197" s="140"/>
      <c r="AG197" s="140"/>
      <c r="AH197" s="113"/>
      <c r="AI197" s="136"/>
      <c r="AJ197" s="136"/>
    </row>
    <row r="198" spans="1:36" x14ac:dyDescent="0.25">
      <c r="A198" s="137"/>
      <c r="B198" s="2">
        <f t="shared" si="84"/>
        <v>0</v>
      </c>
      <c r="C198" s="126">
        <f t="shared" ca="1" si="85"/>
        <v>0</v>
      </c>
      <c r="D198" s="127"/>
      <c r="E198" s="13">
        <f t="shared" ca="1" si="86"/>
        <v>0</v>
      </c>
      <c r="F198" s="2">
        <f t="shared" si="87"/>
        <v>0</v>
      </c>
      <c r="G198" s="126">
        <f t="shared" ca="1" si="88"/>
        <v>0</v>
      </c>
      <c r="H198" s="127"/>
      <c r="I198" s="12">
        <f t="shared" ca="1" si="89"/>
        <v>0</v>
      </c>
      <c r="J198" s="2">
        <f t="shared" si="90"/>
        <v>0</v>
      </c>
      <c r="K198" s="126">
        <f t="shared" ca="1" si="91"/>
        <v>0</v>
      </c>
      <c r="L198" s="127"/>
      <c r="M198" s="12">
        <f t="shared" ca="1" si="92"/>
        <v>0</v>
      </c>
      <c r="N198" s="2">
        <f t="shared" si="93"/>
        <v>0</v>
      </c>
      <c r="O198" s="126">
        <f t="shared" ca="1" si="94"/>
        <v>0</v>
      </c>
      <c r="P198" s="127"/>
      <c r="Q198" s="12">
        <f t="shared" ca="1" si="95"/>
        <v>0</v>
      </c>
      <c r="R198" s="2">
        <f t="shared" si="96"/>
        <v>0</v>
      </c>
      <c r="S198" s="126">
        <f t="shared" ca="1" si="97"/>
        <v>0</v>
      </c>
      <c r="T198" s="127"/>
      <c r="U198" s="13">
        <f t="shared" ca="1" si="98"/>
        <v>0</v>
      </c>
      <c r="V198" s="2">
        <f t="shared" si="99"/>
        <v>0</v>
      </c>
      <c r="W198" s="126">
        <f t="shared" ca="1" si="100"/>
        <v>0</v>
      </c>
      <c r="X198" s="127"/>
      <c r="Y198" s="12">
        <f t="shared" ca="1" si="101"/>
        <v>0</v>
      </c>
      <c r="Z198" s="2">
        <f t="shared" si="102"/>
        <v>0</v>
      </c>
      <c r="AA198" s="126">
        <f t="shared" ca="1" si="103"/>
        <v>0</v>
      </c>
      <c r="AB198" s="127"/>
      <c r="AC198" s="12">
        <f t="shared" ca="1" si="104"/>
        <v>0</v>
      </c>
      <c r="AD198" s="140"/>
      <c r="AE198" s="140"/>
      <c r="AF198" s="140"/>
      <c r="AG198" s="140"/>
      <c r="AH198" s="113"/>
      <c r="AI198" s="136"/>
      <c r="AJ198" s="136"/>
    </row>
    <row r="199" spans="1:36" x14ac:dyDescent="0.25">
      <c r="A199" s="137"/>
      <c r="B199" s="2">
        <f t="shared" si="84"/>
        <v>0</v>
      </c>
      <c r="C199" s="126">
        <f t="shared" ca="1" si="85"/>
        <v>0</v>
      </c>
      <c r="D199" s="127"/>
      <c r="E199" s="13">
        <f t="shared" ca="1" si="86"/>
        <v>0</v>
      </c>
      <c r="F199" s="2">
        <f t="shared" si="87"/>
        <v>0</v>
      </c>
      <c r="G199" s="126">
        <f t="shared" ca="1" si="88"/>
        <v>0</v>
      </c>
      <c r="H199" s="127"/>
      <c r="I199" s="12">
        <f t="shared" ca="1" si="89"/>
        <v>0</v>
      </c>
      <c r="J199" s="2">
        <f t="shared" si="90"/>
        <v>0</v>
      </c>
      <c r="K199" s="126">
        <f t="shared" ca="1" si="91"/>
        <v>0</v>
      </c>
      <c r="L199" s="127"/>
      <c r="M199" s="12">
        <f t="shared" ca="1" si="92"/>
        <v>0</v>
      </c>
      <c r="N199" s="2">
        <f t="shared" si="93"/>
        <v>0</v>
      </c>
      <c r="O199" s="126">
        <f t="shared" ca="1" si="94"/>
        <v>0</v>
      </c>
      <c r="P199" s="127"/>
      <c r="Q199" s="12">
        <f t="shared" ca="1" si="95"/>
        <v>0</v>
      </c>
      <c r="R199" s="2" t="str">
        <f t="shared" si="96"/>
        <v>Press hombro mancuerna sentado</v>
      </c>
      <c r="S199" s="126">
        <f t="shared" ca="1" si="97"/>
        <v>0</v>
      </c>
      <c r="T199" s="127"/>
      <c r="U199" s="13">
        <f t="shared" ca="1" si="98"/>
        <v>0</v>
      </c>
      <c r="V199" s="2" t="str">
        <f t="shared" si="99"/>
        <v>Sentadilla barra libre</v>
      </c>
      <c r="W199" s="126">
        <f t="shared" ca="1" si="100"/>
        <v>0</v>
      </c>
      <c r="X199" s="127"/>
      <c r="Y199" s="12">
        <f t="shared" ca="1" si="101"/>
        <v>0</v>
      </c>
      <c r="Z199" s="2">
        <f>Z20</f>
        <v>0</v>
      </c>
      <c r="AA199" s="126">
        <f ca="1">IF(TODAY()=$A$184,AA20*AB20*AC20,AA199)</f>
        <v>0</v>
      </c>
      <c r="AB199" s="127"/>
      <c r="AC199" s="12">
        <f ca="1">IF(TODAY()=$A$184,AC20,AC199)</f>
        <v>0</v>
      </c>
      <c r="AD199" s="140"/>
      <c r="AE199" s="140"/>
      <c r="AF199" s="140"/>
      <c r="AG199" s="140"/>
      <c r="AH199" s="113"/>
      <c r="AI199" s="136"/>
      <c r="AJ199" s="136"/>
    </row>
    <row r="200" spans="1:36" x14ac:dyDescent="0.25">
      <c r="A200" s="137"/>
      <c r="B200" s="2">
        <f t="shared" si="84"/>
        <v>0</v>
      </c>
      <c r="C200" s="126">
        <f t="shared" ca="1" si="85"/>
        <v>0</v>
      </c>
      <c r="D200" s="127"/>
      <c r="E200" s="13">
        <f t="shared" ca="1" si="86"/>
        <v>0</v>
      </c>
      <c r="F200" s="2">
        <f t="shared" si="87"/>
        <v>0</v>
      </c>
      <c r="G200" s="126">
        <f t="shared" ca="1" si="88"/>
        <v>0</v>
      </c>
      <c r="H200" s="127"/>
      <c r="I200" s="12">
        <f t="shared" ca="1" si="89"/>
        <v>0</v>
      </c>
      <c r="J200" s="2">
        <f t="shared" si="90"/>
        <v>0</v>
      </c>
      <c r="K200" s="126">
        <f t="shared" ca="1" si="91"/>
        <v>0</v>
      </c>
      <c r="L200" s="127"/>
      <c r="M200" s="12">
        <f t="shared" ca="1" si="92"/>
        <v>0</v>
      </c>
      <c r="N200" s="2">
        <f t="shared" si="93"/>
        <v>0</v>
      </c>
      <c r="O200" s="126">
        <f t="shared" ca="1" si="94"/>
        <v>0</v>
      </c>
      <c r="P200" s="127"/>
      <c r="Q200" s="12">
        <f t="shared" ca="1" si="95"/>
        <v>0</v>
      </c>
      <c r="R200" s="2" t="str">
        <f t="shared" si="96"/>
        <v>Elevaciones laterales mancuerna banco inclinado</v>
      </c>
      <c r="S200" s="126">
        <f t="shared" ca="1" si="97"/>
        <v>0</v>
      </c>
      <c r="T200" s="127"/>
      <c r="U200" s="13">
        <f t="shared" ca="1" si="98"/>
        <v>0</v>
      </c>
      <c r="V200" s="2" t="str">
        <f t="shared" si="99"/>
        <v>Sentadilla sumo mancuerna</v>
      </c>
      <c r="W200" s="126">
        <f t="shared" ca="1" si="100"/>
        <v>0</v>
      </c>
      <c r="X200" s="127"/>
      <c r="Y200" s="12">
        <f t="shared" ca="1" si="101"/>
        <v>0</v>
      </c>
      <c r="Z200" s="2">
        <f>Z21</f>
        <v>0</v>
      </c>
      <c r="AA200" s="126">
        <f ca="1">IF(TODAY()=$A$184,AA21*AB21*AC21,AA200)</f>
        <v>0</v>
      </c>
      <c r="AB200" s="127"/>
      <c r="AC200" s="12">
        <f ca="1">IF(TODAY()=$A$184,AC21,AC200)</f>
        <v>0</v>
      </c>
      <c r="AD200" s="140"/>
      <c r="AE200" s="140"/>
      <c r="AF200" s="140"/>
      <c r="AG200" s="140"/>
      <c r="AH200" s="113"/>
      <c r="AI200" s="136"/>
      <c r="AJ200" s="136"/>
    </row>
    <row r="201" spans="1:36" x14ac:dyDescent="0.25">
      <c r="A201" s="137"/>
      <c r="B201" s="2">
        <f t="shared" si="84"/>
        <v>0</v>
      </c>
      <c r="C201" s="126">
        <f t="shared" ca="1" si="85"/>
        <v>0</v>
      </c>
      <c r="D201" s="127"/>
      <c r="E201" s="13">
        <f t="shared" ca="1" si="86"/>
        <v>0</v>
      </c>
      <c r="F201" s="2">
        <f t="shared" si="87"/>
        <v>0</v>
      </c>
      <c r="G201" s="126">
        <f t="shared" ca="1" si="88"/>
        <v>0</v>
      </c>
      <c r="H201" s="127"/>
      <c r="I201" s="12">
        <f t="shared" ca="1" si="89"/>
        <v>0</v>
      </c>
      <c r="J201" s="2">
        <f t="shared" si="90"/>
        <v>0</v>
      </c>
      <c r="K201" s="126">
        <f t="shared" ca="1" si="91"/>
        <v>0</v>
      </c>
      <c r="L201" s="127"/>
      <c r="M201" s="12">
        <f t="shared" ca="1" si="92"/>
        <v>0</v>
      </c>
      <c r="N201" s="2">
        <f t="shared" si="93"/>
        <v>0</v>
      </c>
      <c r="O201" s="126">
        <f t="shared" ca="1" si="94"/>
        <v>0</v>
      </c>
      <c r="P201" s="127"/>
      <c r="Q201" s="12">
        <f t="shared" ca="1" si="95"/>
        <v>0</v>
      </c>
      <c r="R201" s="2" t="str">
        <f t="shared" si="96"/>
        <v>Elevaciones frontales barra banco inclinado</v>
      </c>
      <c r="S201" s="126">
        <f t="shared" ca="1" si="97"/>
        <v>0</v>
      </c>
      <c r="T201" s="127"/>
      <c r="U201" s="13">
        <f t="shared" ca="1" si="98"/>
        <v>0</v>
      </c>
      <c r="V201" s="2" t="str">
        <f t="shared" si="99"/>
        <v>Peso muerto mancuerna</v>
      </c>
      <c r="W201" s="126">
        <f t="shared" ca="1" si="100"/>
        <v>0</v>
      </c>
      <c r="X201" s="127"/>
      <c r="Y201" s="12">
        <f t="shared" ca="1" si="101"/>
        <v>0</v>
      </c>
      <c r="Z201" s="2">
        <f>Z22</f>
        <v>0</v>
      </c>
      <c r="AA201" s="126">
        <f ca="1">IF(TODAY()=$A$184,AA22*AB22*AC22,AA201)</f>
        <v>0</v>
      </c>
      <c r="AB201" s="127"/>
      <c r="AC201" s="12">
        <f ca="1">IF(TODAY()=$A$184,AC22,AC201)</f>
        <v>0</v>
      </c>
      <c r="AD201" s="140"/>
      <c r="AE201" s="140"/>
      <c r="AF201" s="140"/>
      <c r="AG201" s="140"/>
      <c r="AH201" s="113"/>
      <c r="AI201" s="136"/>
      <c r="AJ201" s="136"/>
    </row>
    <row r="202" spans="1:36" x14ac:dyDescent="0.25">
      <c r="A202" s="137"/>
      <c r="B202" s="2">
        <f t="shared" si="84"/>
        <v>0</v>
      </c>
      <c r="C202" s="126">
        <f t="shared" ca="1" si="85"/>
        <v>0</v>
      </c>
      <c r="D202" s="127"/>
      <c r="E202" s="13">
        <f t="shared" ca="1" si="86"/>
        <v>0</v>
      </c>
      <c r="F202" s="2">
        <f t="shared" si="87"/>
        <v>0</v>
      </c>
      <c r="G202" s="126">
        <f t="shared" ca="1" si="88"/>
        <v>0</v>
      </c>
      <c r="H202" s="127"/>
      <c r="I202" s="12">
        <f t="shared" ca="1" si="89"/>
        <v>0</v>
      </c>
      <c r="J202" s="2">
        <f t="shared" si="90"/>
        <v>0</v>
      </c>
      <c r="K202" s="126">
        <f t="shared" ca="1" si="91"/>
        <v>0</v>
      </c>
      <c r="L202" s="127"/>
      <c r="M202" s="12">
        <f t="shared" ca="1" si="92"/>
        <v>0</v>
      </c>
      <c r="N202" s="2">
        <f t="shared" si="93"/>
        <v>0</v>
      </c>
      <c r="O202" s="126">
        <f t="shared" ca="1" si="94"/>
        <v>0</v>
      </c>
      <c r="P202" s="127"/>
      <c r="Q202" s="12">
        <f t="shared" ca="1" si="95"/>
        <v>0</v>
      </c>
      <c r="R202" s="2" t="str">
        <f t="shared" si="96"/>
        <v>Press arnold</v>
      </c>
      <c r="S202" s="126">
        <f t="shared" ca="1" si="97"/>
        <v>0</v>
      </c>
      <c r="T202" s="127"/>
      <c r="U202" s="13">
        <f t="shared" ca="1" si="98"/>
        <v>0</v>
      </c>
      <c r="V202" s="2" t="str">
        <f t="shared" si="99"/>
        <v>Press pierna máquina</v>
      </c>
      <c r="W202" s="126">
        <f t="shared" ca="1" si="100"/>
        <v>0</v>
      </c>
      <c r="X202" s="127"/>
      <c r="Y202" s="12">
        <f t="shared" ca="1" si="101"/>
        <v>0</v>
      </c>
      <c r="Z202" s="2">
        <f>Z23</f>
        <v>0</v>
      </c>
      <c r="AA202" s="126">
        <f ca="1">IF(TODAY()=$A$184,AA23*AB23*AC23,AA202)</f>
        <v>0</v>
      </c>
      <c r="AB202" s="127"/>
      <c r="AC202" s="12">
        <f ca="1">IF(TODAY()=$A$184,AC23,AC202)</f>
        <v>0</v>
      </c>
      <c r="AD202" s="140"/>
      <c r="AE202" s="140"/>
      <c r="AF202" s="140"/>
      <c r="AG202" s="140"/>
      <c r="AH202" s="113"/>
      <c r="AI202" s="136"/>
      <c r="AJ202" s="136"/>
    </row>
    <row r="203" spans="1:36" x14ac:dyDescent="0.25">
      <c r="A203" s="137"/>
      <c r="B203" s="2">
        <f t="shared" si="84"/>
        <v>0</v>
      </c>
      <c r="C203" s="126">
        <f t="shared" ca="1" si="85"/>
        <v>0</v>
      </c>
      <c r="D203" s="127"/>
      <c r="E203" s="13">
        <f t="shared" ca="1" si="86"/>
        <v>0</v>
      </c>
      <c r="F203" s="2">
        <f t="shared" si="87"/>
        <v>0</v>
      </c>
      <c r="G203" s="126">
        <f t="shared" ca="1" si="88"/>
        <v>0</v>
      </c>
      <c r="H203" s="127"/>
      <c r="I203" s="12">
        <f t="shared" ca="1" si="89"/>
        <v>0</v>
      </c>
      <c r="J203" s="2">
        <f t="shared" si="90"/>
        <v>0</v>
      </c>
      <c r="K203" s="126">
        <f t="shared" ca="1" si="91"/>
        <v>0</v>
      </c>
      <c r="L203" s="127"/>
      <c r="M203" s="12">
        <f t="shared" ca="1" si="92"/>
        <v>0</v>
      </c>
      <c r="N203" s="2">
        <f t="shared" si="93"/>
        <v>0</v>
      </c>
      <c r="O203" s="126">
        <f t="shared" ca="1" si="94"/>
        <v>0</v>
      </c>
      <c r="P203" s="127"/>
      <c r="Q203" s="12">
        <f t="shared" ca="1" si="95"/>
        <v>0</v>
      </c>
      <c r="R203" s="2">
        <f t="shared" si="96"/>
        <v>0</v>
      </c>
      <c r="S203" s="126">
        <f t="shared" ca="1" si="97"/>
        <v>0</v>
      </c>
      <c r="T203" s="127"/>
      <c r="U203" s="13">
        <f t="shared" ca="1" si="98"/>
        <v>0</v>
      </c>
      <c r="V203" s="2" t="str">
        <f t="shared" si="99"/>
        <v>Hip trust barra</v>
      </c>
      <c r="W203" s="126">
        <f t="shared" ca="1" si="100"/>
        <v>0</v>
      </c>
      <c r="X203" s="127"/>
      <c r="Y203" s="12">
        <f t="shared" ca="1" si="101"/>
        <v>0</v>
      </c>
      <c r="Z203" s="2">
        <f>Z24</f>
        <v>0</v>
      </c>
      <c r="AA203" s="126">
        <f ca="1">IF(TODAY()=$A$184,AA24*AB24*AC24,AA203)</f>
        <v>0</v>
      </c>
      <c r="AB203" s="127"/>
      <c r="AC203" s="12">
        <f ca="1">IF(TODAY()=$A$184,AC24,AC203)</f>
        <v>0</v>
      </c>
      <c r="AD203" s="140"/>
      <c r="AE203" s="140"/>
      <c r="AF203" s="140"/>
      <c r="AG203" s="140"/>
      <c r="AH203" s="113"/>
      <c r="AI203" s="136"/>
      <c r="AJ203" s="136"/>
    </row>
    <row r="204" spans="1:36" x14ac:dyDescent="0.25">
      <c r="A204" s="137"/>
      <c r="B204" s="2" t="str">
        <f t="shared" si="84"/>
        <v>Press plano</v>
      </c>
      <c r="C204" s="126">
        <f t="shared" ca="1" si="85"/>
        <v>0</v>
      </c>
      <c r="D204" s="127"/>
      <c r="E204" s="13">
        <f t="shared" ca="1" si="86"/>
        <v>0</v>
      </c>
      <c r="F204" s="2" t="str">
        <f t="shared" si="87"/>
        <v>Body ups</v>
      </c>
      <c r="G204" s="126">
        <f t="shared" ca="1" si="88"/>
        <v>0</v>
      </c>
      <c r="H204" s="127"/>
      <c r="I204" s="12">
        <f t="shared" ca="1" si="89"/>
        <v>0</v>
      </c>
      <c r="J204" s="2">
        <f t="shared" si="90"/>
        <v>0</v>
      </c>
      <c r="K204" s="126">
        <f t="shared" ca="1" si="91"/>
        <v>0</v>
      </c>
      <c r="L204" s="127"/>
      <c r="M204" s="12">
        <f t="shared" ca="1" si="92"/>
        <v>0</v>
      </c>
      <c r="N204" s="2">
        <f t="shared" si="93"/>
        <v>0</v>
      </c>
      <c r="O204" s="126">
        <f t="shared" ca="1" si="94"/>
        <v>0</v>
      </c>
      <c r="P204" s="127"/>
      <c r="Q204" s="12">
        <f t="shared" ca="1" si="95"/>
        <v>0</v>
      </c>
      <c r="R204" s="2">
        <f t="shared" si="96"/>
        <v>0</v>
      </c>
      <c r="S204" s="126">
        <f t="shared" ca="1" si="97"/>
        <v>0</v>
      </c>
      <c r="T204" s="127"/>
      <c r="U204" s="13">
        <f t="shared" ca="1" si="98"/>
        <v>0</v>
      </c>
      <c r="V204" s="2">
        <f t="shared" si="99"/>
        <v>0</v>
      </c>
      <c r="W204" s="126">
        <f t="shared" ca="1" si="100"/>
        <v>0</v>
      </c>
      <c r="X204" s="127"/>
      <c r="Y204" s="12">
        <f t="shared" ca="1" si="101"/>
        <v>0</v>
      </c>
      <c r="Z204" s="2">
        <f t="shared" si="102"/>
        <v>0</v>
      </c>
      <c r="AA204" s="126">
        <f t="shared" ca="1" si="103"/>
        <v>0</v>
      </c>
      <c r="AB204" s="127"/>
      <c r="AC204" s="12">
        <f t="shared" ca="1" si="104"/>
        <v>0</v>
      </c>
      <c r="AD204" s="140"/>
      <c r="AE204" s="140"/>
      <c r="AF204" s="140"/>
      <c r="AG204" s="140"/>
      <c r="AH204" s="113"/>
      <c r="AI204" s="136"/>
      <c r="AJ204" s="136"/>
    </row>
    <row r="205" spans="1:36" x14ac:dyDescent="0.25">
      <c r="A205" s="137"/>
      <c r="B205" s="2" t="str">
        <f t="shared" si="84"/>
        <v>Press plano mancuerna trifásico</v>
      </c>
      <c r="C205" s="126">
        <f t="shared" ca="1" si="85"/>
        <v>0</v>
      </c>
      <c r="D205" s="127"/>
      <c r="E205" s="13">
        <f t="shared" ca="1" si="86"/>
        <v>0</v>
      </c>
      <c r="F205" s="2" t="str">
        <f t="shared" si="87"/>
        <v>Fondos tríceps paralelas</v>
      </c>
      <c r="G205" s="126">
        <f t="shared" ca="1" si="88"/>
        <v>0</v>
      </c>
      <c r="H205" s="127"/>
      <c r="I205" s="12">
        <f t="shared" ca="1" si="89"/>
        <v>0</v>
      </c>
      <c r="J205" s="2">
        <f t="shared" si="90"/>
        <v>0</v>
      </c>
      <c r="K205" s="126">
        <f t="shared" ca="1" si="91"/>
        <v>0</v>
      </c>
      <c r="L205" s="127"/>
      <c r="M205" s="12">
        <f t="shared" ca="1" si="92"/>
        <v>0</v>
      </c>
      <c r="N205" s="2">
        <f t="shared" si="93"/>
        <v>0</v>
      </c>
      <c r="O205" s="126">
        <f t="shared" ca="1" si="94"/>
        <v>0</v>
      </c>
      <c r="P205" s="127"/>
      <c r="Q205" s="12">
        <f t="shared" ca="1" si="95"/>
        <v>0</v>
      </c>
      <c r="R205" s="2">
        <f t="shared" si="96"/>
        <v>0</v>
      </c>
      <c r="S205" s="126">
        <f t="shared" ca="1" si="97"/>
        <v>0</v>
      </c>
      <c r="T205" s="127"/>
      <c r="U205" s="13">
        <f t="shared" ca="1" si="98"/>
        <v>0</v>
      </c>
      <c r="V205" s="2">
        <f t="shared" si="99"/>
        <v>0</v>
      </c>
      <c r="W205" s="126">
        <f t="shared" ca="1" si="100"/>
        <v>0</v>
      </c>
      <c r="X205" s="127"/>
      <c r="Y205" s="12">
        <f t="shared" ca="1" si="101"/>
        <v>0</v>
      </c>
      <c r="Z205" s="2">
        <f t="shared" si="102"/>
        <v>0</v>
      </c>
      <c r="AA205" s="126">
        <f t="shared" ca="1" si="103"/>
        <v>0</v>
      </c>
      <c r="AB205" s="127"/>
      <c r="AC205" s="12">
        <f t="shared" ca="1" si="104"/>
        <v>0</v>
      </c>
      <c r="AD205" s="140"/>
      <c r="AE205" s="140"/>
      <c r="AF205" s="140"/>
      <c r="AG205" s="140"/>
      <c r="AH205" s="113"/>
      <c r="AI205" s="136"/>
      <c r="AJ205" s="136"/>
    </row>
    <row r="206" spans="1:36" x14ac:dyDescent="0.25">
      <c r="A206" s="137"/>
      <c r="B206" s="2" t="str">
        <f t="shared" si="84"/>
        <v>Press inclinado mancuerna</v>
      </c>
      <c r="C206" s="126">
        <f t="shared" ca="1" si="85"/>
        <v>0</v>
      </c>
      <c r="D206" s="127"/>
      <c r="E206" s="13">
        <f t="shared" ca="1" si="86"/>
        <v>0</v>
      </c>
      <c r="F206" s="2" t="str">
        <f t="shared" si="87"/>
        <v>Fondos máquina</v>
      </c>
      <c r="G206" s="126">
        <f t="shared" ca="1" si="88"/>
        <v>0</v>
      </c>
      <c r="H206" s="127"/>
      <c r="I206" s="12">
        <f t="shared" ca="1" si="89"/>
        <v>0</v>
      </c>
      <c r="J206" s="2">
        <f t="shared" si="90"/>
        <v>0</v>
      </c>
      <c r="K206" s="126">
        <f t="shared" ca="1" si="91"/>
        <v>0</v>
      </c>
      <c r="L206" s="127"/>
      <c r="M206" s="12">
        <f t="shared" ca="1" si="92"/>
        <v>0</v>
      </c>
      <c r="N206" s="2">
        <f t="shared" si="93"/>
        <v>0</v>
      </c>
      <c r="O206" s="126">
        <f t="shared" ca="1" si="94"/>
        <v>0</v>
      </c>
      <c r="P206" s="127"/>
      <c r="Q206" s="12">
        <f t="shared" ca="1" si="95"/>
        <v>0</v>
      </c>
      <c r="R206" s="2">
        <f t="shared" si="96"/>
        <v>0</v>
      </c>
      <c r="S206" s="126">
        <f t="shared" ca="1" si="97"/>
        <v>0</v>
      </c>
      <c r="T206" s="127"/>
      <c r="U206" s="13">
        <f t="shared" ca="1" si="98"/>
        <v>0</v>
      </c>
      <c r="V206" s="2">
        <f t="shared" si="99"/>
        <v>0</v>
      </c>
      <c r="W206" s="126">
        <f t="shared" ca="1" si="100"/>
        <v>0</v>
      </c>
      <c r="X206" s="127"/>
      <c r="Y206" s="12">
        <f t="shared" ca="1" si="101"/>
        <v>0</v>
      </c>
      <c r="Z206" s="2">
        <f t="shared" si="102"/>
        <v>0</v>
      </c>
      <c r="AA206" s="126">
        <f t="shared" ca="1" si="103"/>
        <v>0</v>
      </c>
      <c r="AB206" s="127"/>
      <c r="AC206" s="12">
        <f t="shared" ca="1" si="104"/>
        <v>0</v>
      </c>
      <c r="AD206" s="140"/>
      <c r="AE206" s="140"/>
      <c r="AF206" s="140"/>
      <c r="AG206" s="140"/>
      <c r="AH206" s="113"/>
      <c r="AI206" s="136"/>
      <c r="AJ206" s="136"/>
    </row>
    <row r="207" spans="1:36" x14ac:dyDescent="0.25">
      <c r="A207" s="137"/>
      <c r="B207" s="2" t="str">
        <f t="shared" si="84"/>
        <v>Vuelos máquina</v>
      </c>
      <c r="C207" s="126">
        <f t="shared" ca="1" si="85"/>
        <v>0</v>
      </c>
      <c r="D207" s="127"/>
      <c r="E207" s="13">
        <f t="shared" ca="1" si="86"/>
        <v>0</v>
      </c>
      <c r="F207" s="2" t="str">
        <f t="shared" si="87"/>
        <v>Extensión tríceps polea</v>
      </c>
      <c r="G207" s="126">
        <f t="shared" ca="1" si="88"/>
        <v>0</v>
      </c>
      <c r="H207" s="127"/>
      <c r="I207" s="12">
        <f t="shared" ca="1" si="89"/>
        <v>0</v>
      </c>
      <c r="J207" s="2">
        <f t="shared" si="90"/>
        <v>0</v>
      </c>
      <c r="K207" s="126">
        <f t="shared" ca="1" si="91"/>
        <v>0</v>
      </c>
      <c r="L207" s="127"/>
      <c r="M207" s="12">
        <f t="shared" ca="1" si="92"/>
        <v>0</v>
      </c>
      <c r="N207" s="2">
        <f t="shared" si="93"/>
        <v>0</v>
      </c>
      <c r="O207" s="126">
        <f t="shared" ca="1" si="94"/>
        <v>0</v>
      </c>
      <c r="P207" s="127"/>
      <c r="Q207" s="12">
        <f t="shared" ca="1" si="95"/>
        <v>0</v>
      </c>
      <c r="R207" s="2">
        <f t="shared" si="96"/>
        <v>0</v>
      </c>
      <c r="S207" s="126">
        <f t="shared" ca="1" si="97"/>
        <v>0</v>
      </c>
      <c r="T207" s="127"/>
      <c r="U207" s="13">
        <f t="shared" ca="1" si="98"/>
        <v>0</v>
      </c>
      <c r="V207" s="2">
        <f t="shared" si="99"/>
        <v>0</v>
      </c>
      <c r="W207" s="126">
        <f t="shared" ca="1" si="100"/>
        <v>0</v>
      </c>
      <c r="X207" s="127"/>
      <c r="Y207" s="12">
        <f t="shared" ca="1" si="101"/>
        <v>0</v>
      </c>
      <c r="Z207" s="2">
        <f t="shared" si="102"/>
        <v>0</v>
      </c>
      <c r="AA207" s="126">
        <f t="shared" ca="1" si="103"/>
        <v>0</v>
      </c>
      <c r="AB207" s="127"/>
      <c r="AC207" s="12">
        <f t="shared" ca="1" si="104"/>
        <v>0</v>
      </c>
      <c r="AD207" s="140"/>
      <c r="AE207" s="140"/>
      <c r="AF207" s="140"/>
      <c r="AG207" s="140"/>
      <c r="AH207" s="113"/>
      <c r="AI207" s="136"/>
      <c r="AJ207" s="136"/>
    </row>
    <row r="208" spans="1:36" x14ac:dyDescent="0.25">
      <c r="A208" s="137"/>
      <c r="B208" s="2" t="str">
        <f t="shared" si="84"/>
        <v>Pullover pecho mancuerna</v>
      </c>
      <c r="C208" s="126">
        <f t="shared" ca="1" si="85"/>
        <v>0</v>
      </c>
      <c r="D208" s="127"/>
      <c r="E208" s="13">
        <f t="shared" ca="1" si="86"/>
        <v>0</v>
      </c>
      <c r="F208" s="2">
        <f t="shared" si="87"/>
        <v>0</v>
      </c>
      <c r="G208" s="126">
        <f t="shared" ca="1" si="88"/>
        <v>0</v>
      </c>
      <c r="H208" s="127"/>
      <c r="I208" s="12">
        <f t="shared" ca="1" si="89"/>
        <v>0</v>
      </c>
      <c r="J208" s="2">
        <f t="shared" si="90"/>
        <v>0</v>
      </c>
      <c r="K208" s="126">
        <f t="shared" ca="1" si="91"/>
        <v>0</v>
      </c>
      <c r="L208" s="127"/>
      <c r="M208" s="12">
        <f t="shared" ca="1" si="92"/>
        <v>0</v>
      </c>
      <c r="N208" s="2">
        <f t="shared" si="93"/>
        <v>0</v>
      </c>
      <c r="O208" s="126">
        <f t="shared" ca="1" si="94"/>
        <v>0</v>
      </c>
      <c r="P208" s="127"/>
      <c r="Q208" s="12">
        <f t="shared" ca="1" si="95"/>
        <v>0</v>
      </c>
      <c r="R208" s="2">
        <f t="shared" si="96"/>
        <v>0</v>
      </c>
      <c r="S208" s="126">
        <f t="shared" ca="1" si="97"/>
        <v>0</v>
      </c>
      <c r="T208" s="127"/>
      <c r="U208" s="13">
        <f t="shared" ca="1" si="98"/>
        <v>0</v>
      </c>
      <c r="V208" s="2">
        <f t="shared" si="99"/>
        <v>0</v>
      </c>
      <c r="W208" s="126">
        <f t="shared" ca="1" si="100"/>
        <v>0</v>
      </c>
      <c r="X208" s="127"/>
      <c r="Y208" s="12">
        <f t="shared" ca="1" si="101"/>
        <v>0</v>
      </c>
      <c r="Z208" s="2">
        <f t="shared" si="102"/>
        <v>0</v>
      </c>
      <c r="AA208" s="126">
        <f t="shared" ca="1" si="103"/>
        <v>0</v>
      </c>
      <c r="AB208" s="127"/>
      <c r="AC208" s="12">
        <f t="shared" ca="1" si="104"/>
        <v>0</v>
      </c>
      <c r="AD208" s="140"/>
      <c r="AE208" s="140"/>
      <c r="AF208" s="140"/>
      <c r="AG208" s="140"/>
      <c r="AH208" s="113"/>
      <c r="AI208" s="136"/>
      <c r="AJ208" s="136"/>
    </row>
    <row r="209" spans="1:36" x14ac:dyDescent="0.25">
      <c r="A209" s="137"/>
      <c r="B209" s="2">
        <f t="shared" si="84"/>
        <v>0</v>
      </c>
      <c r="C209" s="126">
        <f t="shared" ca="1" si="85"/>
        <v>0</v>
      </c>
      <c r="D209" s="127"/>
      <c r="E209" s="13">
        <f t="shared" ca="1" si="86"/>
        <v>0</v>
      </c>
      <c r="F209" s="2">
        <f t="shared" si="87"/>
        <v>0</v>
      </c>
      <c r="G209" s="126">
        <f t="shared" ca="1" si="88"/>
        <v>0</v>
      </c>
      <c r="H209" s="127"/>
      <c r="I209" s="12">
        <f t="shared" ca="1" si="89"/>
        <v>0</v>
      </c>
      <c r="J209" s="2" t="str">
        <f t="shared" si="90"/>
        <v>Pullups</v>
      </c>
      <c r="K209" s="126">
        <f t="shared" ca="1" si="91"/>
        <v>0</v>
      </c>
      <c r="L209" s="127"/>
      <c r="M209" s="12">
        <f t="shared" ca="1" si="92"/>
        <v>0</v>
      </c>
      <c r="N209" s="2" t="str">
        <f t="shared" si="93"/>
        <v>Curl spider</v>
      </c>
      <c r="O209" s="126">
        <f t="shared" ca="1" si="94"/>
        <v>0</v>
      </c>
      <c r="P209" s="127"/>
      <c r="Q209" s="12">
        <f t="shared" ca="1" si="95"/>
        <v>0</v>
      </c>
      <c r="R209" s="2">
        <f t="shared" si="96"/>
        <v>0</v>
      </c>
      <c r="S209" s="126">
        <f t="shared" ca="1" si="97"/>
        <v>0</v>
      </c>
      <c r="T209" s="127"/>
      <c r="U209" s="13">
        <f t="shared" ca="1" si="98"/>
        <v>0</v>
      </c>
      <c r="V209" s="2">
        <f t="shared" si="99"/>
        <v>0</v>
      </c>
      <c r="W209" s="126">
        <f t="shared" ca="1" si="100"/>
        <v>0</v>
      </c>
      <c r="X209" s="127"/>
      <c r="Y209" s="12">
        <f t="shared" ca="1" si="101"/>
        <v>0</v>
      </c>
      <c r="Z209" s="2">
        <f t="shared" si="102"/>
        <v>0</v>
      </c>
      <c r="AA209" s="126">
        <f t="shared" ca="1" si="103"/>
        <v>0</v>
      </c>
      <c r="AB209" s="127"/>
      <c r="AC209" s="12">
        <f t="shared" ca="1" si="104"/>
        <v>0</v>
      </c>
      <c r="AD209" s="140"/>
      <c r="AE209" s="140"/>
      <c r="AF209" s="140"/>
      <c r="AG209" s="140"/>
      <c r="AH209" s="113"/>
      <c r="AI209" s="136"/>
      <c r="AJ209" s="136"/>
    </row>
    <row r="210" spans="1:36" x14ac:dyDescent="0.25">
      <c r="A210" s="137"/>
      <c r="B210" s="2">
        <f t="shared" si="84"/>
        <v>0</v>
      </c>
      <c r="C210" s="126">
        <f t="shared" ca="1" si="85"/>
        <v>0</v>
      </c>
      <c r="D210" s="127"/>
      <c r="E210" s="13">
        <f t="shared" ca="1" si="86"/>
        <v>0</v>
      </c>
      <c r="F210" s="2">
        <f t="shared" si="87"/>
        <v>0</v>
      </c>
      <c r="G210" s="126">
        <f t="shared" ca="1" si="88"/>
        <v>0</v>
      </c>
      <c r="H210" s="127"/>
      <c r="I210" s="12">
        <f t="shared" ca="1" si="89"/>
        <v>0</v>
      </c>
      <c r="J210" s="2" t="str">
        <f t="shared" si="90"/>
        <v>Remo mancuerna banco inclinado</v>
      </c>
      <c r="K210" s="126">
        <f t="shared" ca="1" si="91"/>
        <v>0</v>
      </c>
      <c r="L210" s="127"/>
      <c r="M210" s="12">
        <f t="shared" ca="1" si="92"/>
        <v>0</v>
      </c>
      <c r="N210" s="2" t="str">
        <f t="shared" si="93"/>
        <v>Curl invertido barra z</v>
      </c>
      <c r="O210" s="126">
        <f t="shared" ca="1" si="94"/>
        <v>0</v>
      </c>
      <c r="P210" s="127"/>
      <c r="Q210" s="12">
        <f t="shared" ca="1" si="95"/>
        <v>0</v>
      </c>
      <c r="R210" s="2">
        <f t="shared" si="96"/>
        <v>0</v>
      </c>
      <c r="S210" s="126">
        <f t="shared" ca="1" si="97"/>
        <v>0</v>
      </c>
      <c r="T210" s="127"/>
      <c r="U210" s="13">
        <f t="shared" ca="1" si="98"/>
        <v>0</v>
      </c>
      <c r="V210" s="2">
        <f t="shared" si="99"/>
        <v>0</v>
      </c>
      <c r="W210" s="126">
        <f t="shared" ca="1" si="100"/>
        <v>0</v>
      </c>
      <c r="X210" s="127"/>
      <c r="Y210" s="12">
        <f t="shared" ca="1" si="101"/>
        <v>0</v>
      </c>
      <c r="Z210" s="2">
        <f t="shared" si="102"/>
        <v>0</v>
      </c>
      <c r="AA210" s="126">
        <f t="shared" ca="1" si="103"/>
        <v>0</v>
      </c>
      <c r="AB210" s="127"/>
      <c r="AC210" s="12">
        <f t="shared" ca="1" si="104"/>
        <v>0</v>
      </c>
      <c r="AD210" s="140"/>
      <c r="AE210" s="140"/>
      <c r="AF210" s="140"/>
      <c r="AG210" s="140"/>
      <c r="AH210" s="113"/>
      <c r="AI210" s="136"/>
      <c r="AJ210" s="136"/>
    </row>
    <row r="211" spans="1:36" x14ac:dyDescent="0.25">
      <c r="A211" s="137"/>
      <c r="B211" s="2">
        <f t="shared" si="84"/>
        <v>0</v>
      </c>
      <c r="C211" s="126">
        <f t="shared" ca="1" si="85"/>
        <v>0</v>
      </c>
      <c r="D211" s="127"/>
      <c r="E211" s="13">
        <f t="shared" ca="1" si="86"/>
        <v>0</v>
      </c>
      <c r="F211" s="2">
        <f t="shared" si="87"/>
        <v>0</v>
      </c>
      <c r="G211" s="126">
        <f t="shared" ca="1" si="88"/>
        <v>0</v>
      </c>
      <c r="H211" s="127"/>
      <c r="I211" s="12">
        <f t="shared" ca="1" si="89"/>
        <v>0</v>
      </c>
      <c r="J211" s="2" t="str">
        <f t="shared" si="90"/>
        <v>Pulldown polea sentado agarre en v</v>
      </c>
      <c r="K211" s="126">
        <f t="shared" ca="1" si="91"/>
        <v>0</v>
      </c>
      <c r="L211" s="127"/>
      <c r="M211" s="12">
        <f t="shared" ca="1" si="92"/>
        <v>0</v>
      </c>
      <c r="N211" s="2" t="str">
        <f t="shared" si="93"/>
        <v>Predicador barra</v>
      </c>
      <c r="O211" s="126">
        <f t="shared" ca="1" si="94"/>
        <v>0</v>
      </c>
      <c r="P211" s="127"/>
      <c r="Q211" s="12">
        <f t="shared" ca="1" si="95"/>
        <v>0</v>
      </c>
      <c r="R211" s="2">
        <f t="shared" si="96"/>
        <v>0</v>
      </c>
      <c r="S211" s="126">
        <f t="shared" ca="1" si="97"/>
        <v>0</v>
      </c>
      <c r="T211" s="127"/>
      <c r="U211" s="13">
        <f t="shared" ca="1" si="98"/>
        <v>0</v>
      </c>
      <c r="V211" s="2">
        <f t="shared" si="99"/>
        <v>0</v>
      </c>
      <c r="W211" s="126">
        <f t="shared" ca="1" si="100"/>
        <v>0</v>
      </c>
      <c r="X211" s="127"/>
      <c r="Y211" s="12">
        <f t="shared" ca="1" si="101"/>
        <v>0</v>
      </c>
      <c r="Z211" s="2">
        <f t="shared" si="102"/>
        <v>0</v>
      </c>
      <c r="AA211" s="126">
        <f t="shared" ca="1" si="103"/>
        <v>0</v>
      </c>
      <c r="AB211" s="127"/>
      <c r="AC211" s="12">
        <f t="shared" ca="1" si="104"/>
        <v>0</v>
      </c>
      <c r="AD211" s="140"/>
      <c r="AE211" s="140"/>
      <c r="AF211" s="140"/>
      <c r="AG211" s="140"/>
      <c r="AH211" s="113"/>
      <c r="AI211" s="136"/>
      <c r="AJ211" s="136"/>
    </row>
    <row r="212" spans="1:36" x14ac:dyDescent="0.25">
      <c r="A212" s="137"/>
      <c r="B212" s="2">
        <f t="shared" si="84"/>
        <v>0</v>
      </c>
      <c r="C212" s="126">
        <f t="shared" ca="1" si="85"/>
        <v>0</v>
      </c>
      <c r="D212" s="127"/>
      <c r="E212" s="13">
        <f t="shared" ca="1" si="86"/>
        <v>0</v>
      </c>
      <c r="F212" s="2">
        <f t="shared" si="87"/>
        <v>0</v>
      </c>
      <c r="G212" s="126">
        <f t="shared" ca="1" si="88"/>
        <v>0</v>
      </c>
      <c r="H212" s="127"/>
      <c r="I212" s="12">
        <f t="shared" ca="1" si="89"/>
        <v>0</v>
      </c>
      <c r="J212" s="2" t="str">
        <f t="shared" si="90"/>
        <v>Remo landmine</v>
      </c>
      <c r="K212" s="126">
        <f t="shared" ca="1" si="91"/>
        <v>0</v>
      </c>
      <c r="L212" s="127"/>
      <c r="M212" s="12">
        <f t="shared" ca="1" si="92"/>
        <v>0</v>
      </c>
      <c r="N212" s="2" t="str">
        <f t="shared" si="93"/>
        <v>Curl mancuerna sentado inclinado</v>
      </c>
      <c r="O212" s="126">
        <f t="shared" ca="1" si="94"/>
        <v>0</v>
      </c>
      <c r="P212" s="127"/>
      <c r="Q212" s="12">
        <f t="shared" ca="1" si="95"/>
        <v>0</v>
      </c>
      <c r="R212" s="2">
        <f t="shared" si="96"/>
        <v>0</v>
      </c>
      <c r="S212" s="126">
        <f t="shared" ca="1" si="97"/>
        <v>0</v>
      </c>
      <c r="T212" s="127"/>
      <c r="U212" s="13">
        <f t="shared" ca="1" si="98"/>
        <v>0</v>
      </c>
      <c r="V212" s="2">
        <f t="shared" si="99"/>
        <v>0</v>
      </c>
      <c r="W212" s="126">
        <f t="shared" ca="1" si="100"/>
        <v>0</v>
      </c>
      <c r="X212" s="127"/>
      <c r="Y212" s="12">
        <f t="shared" ca="1" si="101"/>
        <v>0</v>
      </c>
      <c r="Z212" s="2">
        <f t="shared" si="102"/>
        <v>0</v>
      </c>
      <c r="AA212" s="126">
        <f t="shared" ca="1" si="103"/>
        <v>0</v>
      </c>
      <c r="AB212" s="127"/>
      <c r="AC212" s="12">
        <f t="shared" ca="1" si="104"/>
        <v>0</v>
      </c>
      <c r="AD212" s="140"/>
      <c r="AE212" s="140"/>
      <c r="AF212" s="140"/>
      <c r="AG212" s="140"/>
      <c r="AH212" s="113"/>
      <c r="AI212" s="136"/>
      <c r="AJ212" s="136"/>
    </row>
    <row r="213" spans="1:36" x14ac:dyDescent="0.25">
      <c r="A213" s="137"/>
      <c r="B213" s="2">
        <f t="shared" si="84"/>
        <v>0</v>
      </c>
      <c r="C213" s="126">
        <f t="shared" ca="1" si="85"/>
        <v>0</v>
      </c>
      <c r="D213" s="127"/>
      <c r="E213" s="13">
        <f t="shared" ca="1" si="86"/>
        <v>0</v>
      </c>
      <c r="F213" s="2">
        <f t="shared" si="87"/>
        <v>0</v>
      </c>
      <c r="G213" s="126">
        <f t="shared" ca="1" si="88"/>
        <v>0</v>
      </c>
      <c r="H213" s="127"/>
      <c r="I213" s="12">
        <f t="shared" ca="1" si="89"/>
        <v>0</v>
      </c>
      <c r="J213" s="2" t="str">
        <f t="shared" si="90"/>
        <v>Plancha paracaídas</v>
      </c>
      <c r="K213" s="126">
        <f t="shared" ca="1" si="91"/>
        <v>0</v>
      </c>
      <c r="L213" s="127"/>
      <c r="M213" s="12">
        <f t="shared" ca="1" si="92"/>
        <v>0</v>
      </c>
      <c r="N213" s="2">
        <f t="shared" si="93"/>
        <v>0</v>
      </c>
      <c r="O213" s="126">
        <f t="shared" ca="1" si="94"/>
        <v>0</v>
      </c>
      <c r="P213" s="127"/>
      <c r="Q213" s="12">
        <f t="shared" ca="1" si="95"/>
        <v>0</v>
      </c>
      <c r="R213" s="2">
        <f t="shared" si="96"/>
        <v>0</v>
      </c>
      <c r="S213" s="126">
        <f t="shared" ca="1" si="97"/>
        <v>0</v>
      </c>
      <c r="T213" s="127"/>
      <c r="U213" s="13">
        <f t="shared" ca="1" si="98"/>
        <v>0</v>
      </c>
      <c r="V213" s="2">
        <f t="shared" si="99"/>
        <v>0</v>
      </c>
      <c r="W213" s="126">
        <f t="shared" ca="1" si="100"/>
        <v>0</v>
      </c>
      <c r="X213" s="127"/>
      <c r="Y213" s="12">
        <f t="shared" ca="1" si="101"/>
        <v>0</v>
      </c>
      <c r="Z213" s="2">
        <f t="shared" si="102"/>
        <v>0</v>
      </c>
      <c r="AA213" s="126">
        <f t="shared" ca="1" si="103"/>
        <v>0</v>
      </c>
      <c r="AB213" s="127"/>
      <c r="AC213" s="12">
        <f t="shared" ca="1" si="104"/>
        <v>0</v>
      </c>
      <c r="AD213" s="140"/>
      <c r="AE213" s="140"/>
      <c r="AF213" s="140"/>
      <c r="AG213" s="140"/>
      <c r="AH213" s="113"/>
      <c r="AI213" s="136"/>
      <c r="AJ213" s="136"/>
    </row>
    <row r="214" spans="1:36" x14ac:dyDescent="0.25">
      <c r="A214" s="137"/>
      <c r="B214" s="2">
        <f t="shared" si="84"/>
        <v>0</v>
      </c>
      <c r="C214" s="126">
        <f t="shared" ca="1" si="85"/>
        <v>0</v>
      </c>
      <c r="D214" s="127"/>
      <c r="E214" s="13">
        <f t="shared" ca="1" si="86"/>
        <v>0</v>
      </c>
      <c r="F214" s="2">
        <f t="shared" si="87"/>
        <v>0</v>
      </c>
      <c r="G214" s="126">
        <f t="shared" ca="1" si="88"/>
        <v>0</v>
      </c>
      <c r="H214" s="127"/>
      <c r="I214" s="12">
        <f t="shared" ca="1" si="89"/>
        <v>0</v>
      </c>
      <c r="J214" s="2">
        <f t="shared" si="90"/>
        <v>0</v>
      </c>
      <c r="K214" s="126">
        <f t="shared" ca="1" si="91"/>
        <v>0</v>
      </c>
      <c r="L214" s="127"/>
      <c r="M214" s="12">
        <f t="shared" ca="1" si="92"/>
        <v>0</v>
      </c>
      <c r="N214" s="2">
        <f t="shared" si="93"/>
        <v>0</v>
      </c>
      <c r="O214" s="126">
        <f t="shared" ca="1" si="94"/>
        <v>0</v>
      </c>
      <c r="P214" s="127"/>
      <c r="Q214" s="12">
        <f t="shared" ca="1" si="95"/>
        <v>0</v>
      </c>
      <c r="R214" s="2" t="str">
        <f t="shared" si="96"/>
        <v>Press hombro mancuerna sentado</v>
      </c>
      <c r="S214" s="126">
        <f t="shared" ca="1" si="97"/>
        <v>0</v>
      </c>
      <c r="T214" s="127"/>
      <c r="U214" s="13">
        <f t="shared" ca="1" si="98"/>
        <v>0</v>
      </c>
      <c r="V214" s="2">
        <f t="shared" si="99"/>
        <v>0</v>
      </c>
      <c r="W214" s="126">
        <f t="shared" ca="1" si="100"/>
        <v>0</v>
      </c>
      <c r="X214" s="127"/>
      <c r="Y214" s="12">
        <f t="shared" ca="1" si="101"/>
        <v>0</v>
      </c>
      <c r="Z214" s="2" t="str">
        <f>Z35</f>
        <v>Otis-up</v>
      </c>
      <c r="AA214" s="126">
        <f ca="1">IF(TODAY()=$A$184,AA35*AB35*AC35,AA214)</f>
        <v>0</v>
      </c>
      <c r="AB214" s="127"/>
      <c r="AC214" s="12">
        <f ca="1">IF(TODAY()=$A$184,AC35,AC214)</f>
        <v>0</v>
      </c>
      <c r="AD214" s="140"/>
      <c r="AE214" s="140"/>
      <c r="AF214" s="140"/>
      <c r="AG214" s="140"/>
      <c r="AH214" s="113"/>
      <c r="AI214" s="136"/>
      <c r="AJ214" s="136"/>
    </row>
    <row r="215" spans="1:36" x14ac:dyDescent="0.25">
      <c r="A215" s="137"/>
      <c r="B215" s="2">
        <f t="shared" si="84"/>
        <v>0</v>
      </c>
      <c r="C215" s="126">
        <f t="shared" ca="1" si="85"/>
        <v>0</v>
      </c>
      <c r="D215" s="127"/>
      <c r="E215" s="13">
        <f t="shared" ca="1" si="86"/>
        <v>0</v>
      </c>
      <c r="F215" s="2">
        <f t="shared" si="87"/>
        <v>0</v>
      </c>
      <c r="G215" s="126">
        <f t="shared" ca="1" si="88"/>
        <v>0</v>
      </c>
      <c r="H215" s="127"/>
      <c r="I215" s="12">
        <f t="shared" ca="1" si="89"/>
        <v>0</v>
      </c>
      <c r="J215" s="2">
        <f t="shared" si="90"/>
        <v>0</v>
      </c>
      <c r="K215" s="126">
        <f t="shared" ca="1" si="91"/>
        <v>0</v>
      </c>
      <c r="L215" s="127"/>
      <c r="M215" s="12">
        <f t="shared" ca="1" si="92"/>
        <v>0</v>
      </c>
      <c r="N215" s="2">
        <f t="shared" si="93"/>
        <v>0</v>
      </c>
      <c r="O215" s="126">
        <f t="shared" ca="1" si="94"/>
        <v>0</v>
      </c>
      <c r="P215" s="127"/>
      <c r="Q215" s="12">
        <f t="shared" ca="1" si="95"/>
        <v>0</v>
      </c>
      <c r="R215" s="2" t="str">
        <f t="shared" si="96"/>
        <v>Elevaciones laterales mancuerna banco inclinado</v>
      </c>
      <c r="S215" s="126">
        <f t="shared" ca="1" si="97"/>
        <v>0</v>
      </c>
      <c r="T215" s="127"/>
      <c r="U215" s="13">
        <f t="shared" ca="1" si="98"/>
        <v>0</v>
      </c>
      <c r="V215" s="2">
        <f t="shared" si="99"/>
        <v>0</v>
      </c>
      <c r="W215" s="126">
        <f t="shared" ca="1" si="100"/>
        <v>0</v>
      </c>
      <c r="X215" s="127"/>
      <c r="Y215" s="12">
        <f t="shared" ca="1" si="101"/>
        <v>0</v>
      </c>
      <c r="Z215" s="2" t="str">
        <f>Z36</f>
        <v>V-ups</v>
      </c>
      <c r="AA215" s="126">
        <f ca="1">IF(TODAY()=$A$184,AA36*AB36*AC36,AA215)</f>
        <v>0</v>
      </c>
      <c r="AB215" s="127"/>
      <c r="AC215" s="12">
        <f ca="1">IF(TODAY()=$A$184,AC36,AC215)</f>
        <v>0</v>
      </c>
      <c r="AD215" s="140"/>
      <c r="AE215" s="140"/>
      <c r="AF215" s="140"/>
      <c r="AG215" s="140"/>
      <c r="AH215" s="113"/>
      <c r="AI215" s="136"/>
      <c r="AJ215" s="136"/>
    </row>
    <row r="216" spans="1:36" x14ac:dyDescent="0.25">
      <c r="A216" s="137"/>
      <c r="B216" s="2">
        <f t="shared" si="84"/>
        <v>0</v>
      </c>
      <c r="C216" s="126">
        <f t="shared" ca="1" si="85"/>
        <v>0</v>
      </c>
      <c r="D216" s="127"/>
      <c r="E216" s="13">
        <f t="shared" ca="1" si="86"/>
        <v>0</v>
      </c>
      <c r="F216" s="2">
        <f t="shared" si="87"/>
        <v>0</v>
      </c>
      <c r="G216" s="126">
        <f t="shared" ca="1" si="88"/>
        <v>0</v>
      </c>
      <c r="H216" s="127"/>
      <c r="I216" s="12">
        <f t="shared" ca="1" si="89"/>
        <v>0</v>
      </c>
      <c r="J216" s="2">
        <f t="shared" si="90"/>
        <v>0</v>
      </c>
      <c r="K216" s="126">
        <f t="shared" ca="1" si="91"/>
        <v>0</v>
      </c>
      <c r="L216" s="127"/>
      <c r="M216" s="12">
        <f t="shared" ca="1" si="92"/>
        <v>0</v>
      </c>
      <c r="N216" s="2">
        <f t="shared" si="93"/>
        <v>0</v>
      </c>
      <c r="O216" s="126">
        <f t="shared" ca="1" si="94"/>
        <v>0</v>
      </c>
      <c r="P216" s="127"/>
      <c r="Q216" s="12">
        <f t="shared" ca="1" si="95"/>
        <v>0</v>
      </c>
      <c r="R216" s="2" t="str">
        <f t="shared" si="96"/>
        <v>Elevaciones frontales barra banco inclinado</v>
      </c>
      <c r="S216" s="126">
        <f t="shared" ca="1" si="97"/>
        <v>0</v>
      </c>
      <c r="T216" s="127"/>
      <c r="U216" s="13">
        <f t="shared" ca="1" si="98"/>
        <v>0</v>
      </c>
      <c r="V216" s="2">
        <f t="shared" si="99"/>
        <v>0</v>
      </c>
      <c r="W216" s="126">
        <f t="shared" ca="1" si="100"/>
        <v>0</v>
      </c>
      <c r="X216" s="127"/>
      <c r="Y216" s="12">
        <f t="shared" ca="1" si="101"/>
        <v>0</v>
      </c>
      <c r="Z216" s="2" t="str">
        <f>Z37</f>
        <v>Butt-ups</v>
      </c>
      <c r="AA216" s="126">
        <f ca="1">IF(TODAY()=$A$184,AA37*AB37*AC37,AA216)</f>
        <v>0</v>
      </c>
      <c r="AB216" s="127"/>
      <c r="AC216" s="12">
        <f ca="1">IF(TODAY()=$A$184,AC37,AC216)</f>
        <v>0</v>
      </c>
      <c r="AD216" s="140"/>
      <c r="AE216" s="140"/>
      <c r="AF216" s="140"/>
      <c r="AG216" s="140"/>
      <c r="AH216" s="113"/>
      <c r="AI216" s="136"/>
      <c r="AJ216" s="136"/>
    </row>
    <row r="217" spans="1:36" x14ac:dyDescent="0.25">
      <c r="A217" s="137"/>
      <c r="B217" s="2">
        <f t="shared" si="84"/>
        <v>0</v>
      </c>
      <c r="C217" s="126">
        <f t="shared" ca="1" si="85"/>
        <v>0</v>
      </c>
      <c r="D217" s="127"/>
      <c r="E217" s="13">
        <f t="shared" ca="1" si="86"/>
        <v>0</v>
      </c>
      <c r="F217" s="2">
        <f t="shared" si="87"/>
        <v>0</v>
      </c>
      <c r="G217" s="126">
        <f t="shared" ca="1" si="88"/>
        <v>0</v>
      </c>
      <c r="H217" s="127"/>
      <c r="I217" s="12">
        <f t="shared" ca="1" si="89"/>
        <v>0</v>
      </c>
      <c r="J217" s="2">
        <f t="shared" si="90"/>
        <v>0</v>
      </c>
      <c r="K217" s="126">
        <f t="shared" ca="1" si="91"/>
        <v>0</v>
      </c>
      <c r="L217" s="127"/>
      <c r="M217" s="12">
        <f t="shared" ca="1" si="92"/>
        <v>0</v>
      </c>
      <c r="N217" s="2">
        <f t="shared" si="93"/>
        <v>0</v>
      </c>
      <c r="O217" s="126">
        <f t="shared" ca="1" si="94"/>
        <v>0</v>
      </c>
      <c r="P217" s="127"/>
      <c r="Q217" s="12">
        <f t="shared" ca="1" si="95"/>
        <v>0</v>
      </c>
      <c r="R217" s="2" t="str">
        <f t="shared" si="96"/>
        <v>Press arnold</v>
      </c>
      <c r="S217" s="126">
        <f t="shared" ca="1" si="97"/>
        <v>0</v>
      </c>
      <c r="T217" s="127"/>
      <c r="U217" s="13">
        <f t="shared" ca="1" si="98"/>
        <v>0</v>
      </c>
      <c r="V217" s="2">
        <f t="shared" si="99"/>
        <v>0</v>
      </c>
      <c r="W217" s="126">
        <f t="shared" ca="1" si="100"/>
        <v>0</v>
      </c>
      <c r="X217" s="127"/>
      <c r="Y217" s="12">
        <f t="shared" ca="1" si="101"/>
        <v>0</v>
      </c>
      <c r="Z217" s="2" t="str">
        <f>Z38</f>
        <v>Full moon</v>
      </c>
      <c r="AA217" s="126">
        <f ca="1">IF(TODAY()=$A$184,AA38*AB38*AC38,AA217)</f>
        <v>0</v>
      </c>
      <c r="AB217" s="127"/>
      <c r="AC217" s="12">
        <f ca="1">IF(TODAY()=$A$184,AC38,AC217)</f>
        <v>0</v>
      </c>
      <c r="AD217" s="140"/>
      <c r="AE217" s="140"/>
      <c r="AF217" s="140"/>
      <c r="AG217" s="140"/>
      <c r="AH217" s="113"/>
      <c r="AI217" s="136"/>
      <c r="AJ217" s="136"/>
    </row>
    <row r="218" spans="1:36" x14ac:dyDescent="0.25">
      <c r="A218" s="138"/>
      <c r="B218" s="2">
        <f t="shared" si="84"/>
        <v>0</v>
      </c>
      <c r="C218" s="126">
        <f t="shared" ca="1" si="85"/>
        <v>0</v>
      </c>
      <c r="D218" s="127"/>
      <c r="E218" s="13">
        <f t="shared" ca="1" si="86"/>
        <v>0</v>
      </c>
      <c r="F218" s="2">
        <f t="shared" si="87"/>
        <v>0</v>
      </c>
      <c r="G218" s="126">
        <f t="shared" ca="1" si="88"/>
        <v>0</v>
      </c>
      <c r="H218" s="127"/>
      <c r="I218" s="12">
        <f t="shared" ca="1" si="89"/>
        <v>0</v>
      </c>
      <c r="J218" s="2">
        <f t="shared" si="90"/>
        <v>0</v>
      </c>
      <c r="K218" s="126">
        <f t="shared" ca="1" si="91"/>
        <v>0</v>
      </c>
      <c r="L218" s="127"/>
      <c r="M218" s="12">
        <f t="shared" ca="1" si="92"/>
        <v>0</v>
      </c>
      <c r="N218" s="2">
        <f t="shared" si="93"/>
        <v>0</v>
      </c>
      <c r="O218" s="126">
        <f t="shared" ca="1" si="94"/>
        <v>0</v>
      </c>
      <c r="P218" s="127"/>
      <c r="Q218" s="12">
        <f t="shared" ca="1" si="95"/>
        <v>0</v>
      </c>
      <c r="R218" s="2">
        <f t="shared" si="96"/>
        <v>0</v>
      </c>
      <c r="S218" s="126">
        <f t="shared" ca="1" si="97"/>
        <v>0</v>
      </c>
      <c r="T218" s="127"/>
      <c r="U218" s="13">
        <f t="shared" ca="1" si="98"/>
        <v>0</v>
      </c>
      <c r="V218" s="2">
        <f t="shared" si="99"/>
        <v>0</v>
      </c>
      <c r="W218" s="126">
        <f t="shared" ca="1" si="100"/>
        <v>0</v>
      </c>
      <c r="X218" s="127"/>
      <c r="Y218" s="12">
        <f t="shared" ca="1" si="101"/>
        <v>0</v>
      </c>
      <c r="Z218" s="2" t="str">
        <f>Z39</f>
        <v>Plancha</v>
      </c>
      <c r="AA218" s="126">
        <f ca="1">IF(TODAY()=$A$184,AA39*AB39*AC39,AA218)</f>
        <v>0</v>
      </c>
      <c r="AB218" s="127"/>
      <c r="AC218" s="12">
        <f ca="1">IF(TODAY()=$A$184,AC39,AC218)</f>
        <v>0</v>
      </c>
      <c r="AD218" s="140"/>
      <c r="AE218" s="140"/>
      <c r="AF218" s="140"/>
      <c r="AG218" s="140"/>
      <c r="AH218" s="113"/>
      <c r="AI218" s="136"/>
      <c r="AJ218" s="136"/>
    </row>
    <row r="219" spans="1:36" x14ac:dyDescent="0.25">
      <c r="A219" s="137">
        <v>44646</v>
      </c>
      <c r="B219" s="2" t="str">
        <f t="shared" ref="B219:B253" si="106">B5</f>
        <v>Press plano</v>
      </c>
      <c r="C219" s="126">
        <f t="shared" ref="C219:C253" ca="1" si="107">IF(TODAY()=$A$219,C5*D5*E5,C219)</f>
        <v>0</v>
      </c>
      <c r="D219" s="127"/>
      <c r="E219" s="13">
        <f t="shared" ref="E219:E253" ca="1" si="108">IF(TODAY()=$A$219,E5,E219)</f>
        <v>0</v>
      </c>
      <c r="F219" s="2" t="str">
        <f t="shared" ref="F219:F253" si="109">F5</f>
        <v>Body ups</v>
      </c>
      <c r="G219" s="126">
        <f t="shared" ref="G219:G253" ca="1" si="110">IF(TODAY()=$A$219,G5*H5*I5,G219)</f>
        <v>0</v>
      </c>
      <c r="H219" s="127"/>
      <c r="I219" s="12">
        <f t="shared" ref="I219:I253" ca="1" si="111">IF(TODAY()=$A$219,I5,I219)</f>
        <v>0</v>
      </c>
      <c r="J219" s="2">
        <f t="shared" ref="J219:J253" si="112">J5</f>
        <v>0</v>
      </c>
      <c r="K219" s="126">
        <f t="shared" ref="K219:K253" ca="1" si="113">IF(TODAY()=$A$219,K5*L5*M5,K219)</f>
        <v>0</v>
      </c>
      <c r="L219" s="127"/>
      <c r="M219" s="12">
        <f t="shared" ref="M219:M253" ca="1" si="114">IF(TODAY()=$A$219,M5,M219)</f>
        <v>0</v>
      </c>
      <c r="N219" s="2">
        <f t="shared" ref="N219:N253" si="115">N5</f>
        <v>0</v>
      </c>
      <c r="O219" s="126">
        <f t="shared" ref="O219:O253" ca="1" si="116">IF(TODAY()=$A$219,O5*P5*Q5,O219)</f>
        <v>0</v>
      </c>
      <c r="P219" s="127"/>
      <c r="Q219" s="12">
        <f t="shared" ref="Q219:Q253" ca="1" si="117">IF(TODAY()=$A$219,Q5,Q219)</f>
        <v>0</v>
      </c>
      <c r="R219" s="2">
        <f t="shared" ref="R219:R253" si="118">R5</f>
        <v>0</v>
      </c>
      <c r="S219" s="126">
        <f t="shared" ref="S219:S253" ca="1" si="119">IF(TODAY()=$A$219,S5*T5*U5,S219)</f>
        <v>0</v>
      </c>
      <c r="T219" s="127"/>
      <c r="U219" s="13">
        <f t="shared" ref="U219:U253" ca="1" si="120">IF(TODAY()=$A$219,U5,U219)</f>
        <v>0</v>
      </c>
      <c r="V219" s="2">
        <f t="shared" ref="V219:V253" si="121">V5</f>
        <v>0</v>
      </c>
      <c r="W219" s="126">
        <f t="shared" ref="W219:W253" ca="1" si="122">IF(TODAY()=$A$219,W5*X5*Y5,W219)</f>
        <v>0</v>
      </c>
      <c r="X219" s="127"/>
      <c r="Y219" s="12">
        <f t="shared" ref="Y219:Y253" ca="1" si="123">IF(TODAY()=$A$219,Y5,Y219)</f>
        <v>0</v>
      </c>
      <c r="Z219" s="2">
        <f t="shared" ref="Z219:Z248" si="124">Z5</f>
        <v>0</v>
      </c>
      <c r="AA219" s="126">
        <f t="shared" ref="AA219:AA248" ca="1" si="125">IF(TODAY()=$A$219,AA5*AB5*AC5,AA219)</f>
        <v>0</v>
      </c>
      <c r="AB219" s="127"/>
      <c r="AC219" s="12">
        <f t="shared" ref="AC219:AC248" ca="1" si="126">IF(TODAY()=$A$219,AC5,AC219)</f>
        <v>0</v>
      </c>
      <c r="AD219" s="139">
        <f ca="1">SUM(C219:E253,G219:I253,K219:M253,O219:Q253,S219:U253,W219:Y253,AA219:AC253)</f>
        <v>0</v>
      </c>
      <c r="AE219" s="139"/>
      <c r="AF219" s="139"/>
      <c r="AG219" s="139"/>
      <c r="AH219" s="161" t="e">
        <f t="shared" ref="AH219" ca="1" si="127">(AD219-AD184)/AD184</f>
        <v>#DIV/0!</v>
      </c>
      <c r="AI219" s="135"/>
      <c r="AJ219" s="135"/>
    </row>
    <row r="220" spans="1:36" x14ac:dyDescent="0.25">
      <c r="A220" s="137"/>
      <c r="B220" s="2" t="str">
        <f t="shared" si="106"/>
        <v>Press plano mancuerna trifásico</v>
      </c>
      <c r="C220" s="126">
        <f t="shared" ca="1" si="107"/>
        <v>0</v>
      </c>
      <c r="D220" s="127"/>
      <c r="E220" s="13">
        <f t="shared" ca="1" si="108"/>
        <v>0</v>
      </c>
      <c r="F220" s="2" t="str">
        <f t="shared" si="109"/>
        <v>Fondos tríceps paralelas</v>
      </c>
      <c r="G220" s="126">
        <f t="shared" ca="1" si="110"/>
        <v>0</v>
      </c>
      <c r="H220" s="127"/>
      <c r="I220" s="12">
        <f t="shared" ca="1" si="111"/>
        <v>0</v>
      </c>
      <c r="J220" s="2">
        <f t="shared" si="112"/>
        <v>0</v>
      </c>
      <c r="K220" s="126">
        <f t="shared" ca="1" si="113"/>
        <v>0</v>
      </c>
      <c r="L220" s="127"/>
      <c r="M220" s="12">
        <f t="shared" ca="1" si="114"/>
        <v>0</v>
      </c>
      <c r="N220" s="2">
        <f t="shared" si="115"/>
        <v>0</v>
      </c>
      <c r="O220" s="126">
        <f t="shared" ca="1" si="116"/>
        <v>0</v>
      </c>
      <c r="P220" s="127"/>
      <c r="Q220" s="12">
        <f t="shared" ca="1" si="117"/>
        <v>0</v>
      </c>
      <c r="R220" s="2">
        <f t="shared" si="118"/>
        <v>0</v>
      </c>
      <c r="S220" s="126">
        <f t="shared" ca="1" si="119"/>
        <v>0</v>
      </c>
      <c r="T220" s="127"/>
      <c r="U220" s="13">
        <f t="shared" ca="1" si="120"/>
        <v>0</v>
      </c>
      <c r="V220" s="2">
        <f t="shared" si="121"/>
        <v>0</v>
      </c>
      <c r="W220" s="126">
        <f t="shared" ca="1" si="122"/>
        <v>0</v>
      </c>
      <c r="X220" s="127"/>
      <c r="Y220" s="12">
        <f t="shared" ca="1" si="123"/>
        <v>0</v>
      </c>
      <c r="Z220" s="2">
        <f t="shared" si="124"/>
        <v>0</v>
      </c>
      <c r="AA220" s="126">
        <f t="shared" ca="1" si="125"/>
        <v>0</v>
      </c>
      <c r="AB220" s="127"/>
      <c r="AC220" s="12">
        <f t="shared" ca="1" si="126"/>
        <v>0</v>
      </c>
      <c r="AD220" s="140"/>
      <c r="AE220" s="140"/>
      <c r="AF220" s="140"/>
      <c r="AG220" s="140"/>
      <c r="AH220" s="161"/>
      <c r="AI220" s="136"/>
      <c r="AJ220" s="136"/>
    </row>
    <row r="221" spans="1:36" x14ac:dyDescent="0.25">
      <c r="A221" s="137"/>
      <c r="B221" s="2" t="str">
        <f t="shared" si="106"/>
        <v>Press inclinado mancuerna</v>
      </c>
      <c r="C221" s="126">
        <f t="shared" ca="1" si="107"/>
        <v>0</v>
      </c>
      <c r="D221" s="127"/>
      <c r="E221" s="13">
        <f t="shared" ca="1" si="108"/>
        <v>0</v>
      </c>
      <c r="F221" s="2" t="str">
        <f t="shared" si="109"/>
        <v>Fondos máquina</v>
      </c>
      <c r="G221" s="126">
        <f t="shared" ca="1" si="110"/>
        <v>0</v>
      </c>
      <c r="H221" s="127"/>
      <c r="I221" s="12">
        <f t="shared" ca="1" si="111"/>
        <v>0</v>
      </c>
      <c r="J221" s="2">
        <f t="shared" si="112"/>
        <v>0</v>
      </c>
      <c r="K221" s="126">
        <f t="shared" ca="1" si="113"/>
        <v>0</v>
      </c>
      <c r="L221" s="127"/>
      <c r="M221" s="12">
        <f t="shared" ca="1" si="114"/>
        <v>0</v>
      </c>
      <c r="N221" s="2">
        <f t="shared" si="115"/>
        <v>0</v>
      </c>
      <c r="O221" s="126">
        <f t="shared" ca="1" si="116"/>
        <v>0</v>
      </c>
      <c r="P221" s="127"/>
      <c r="Q221" s="12">
        <f t="shared" ca="1" si="117"/>
        <v>0</v>
      </c>
      <c r="R221" s="2">
        <f t="shared" si="118"/>
        <v>0</v>
      </c>
      <c r="S221" s="126">
        <f t="shared" ca="1" si="119"/>
        <v>0</v>
      </c>
      <c r="T221" s="127"/>
      <c r="U221" s="13">
        <f t="shared" ca="1" si="120"/>
        <v>0</v>
      </c>
      <c r="V221" s="2">
        <f t="shared" si="121"/>
        <v>0</v>
      </c>
      <c r="W221" s="126">
        <f t="shared" ca="1" si="122"/>
        <v>0</v>
      </c>
      <c r="X221" s="127"/>
      <c r="Y221" s="12">
        <f t="shared" ca="1" si="123"/>
        <v>0</v>
      </c>
      <c r="Z221" s="2">
        <f t="shared" si="124"/>
        <v>0</v>
      </c>
      <c r="AA221" s="126">
        <f t="shared" ca="1" si="125"/>
        <v>0</v>
      </c>
      <c r="AB221" s="127"/>
      <c r="AC221" s="12">
        <f t="shared" ca="1" si="126"/>
        <v>0</v>
      </c>
      <c r="AD221" s="140"/>
      <c r="AE221" s="140"/>
      <c r="AF221" s="140"/>
      <c r="AG221" s="140"/>
      <c r="AH221" s="161"/>
      <c r="AI221" s="136"/>
      <c r="AJ221" s="136"/>
    </row>
    <row r="222" spans="1:36" x14ac:dyDescent="0.25">
      <c r="A222" s="137"/>
      <c r="B222" s="2" t="str">
        <f t="shared" si="106"/>
        <v>Vuelos máquina</v>
      </c>
      <c r="C222" s="126">
        <f t="shared" ca="1" si="107"/>
        <v>0</v>
      </c>
      <c r="D222" s="127"/>
      <c r="E222" s="13">
        <f t="shared" ca="1" si="108"/>
        <v>0</v>
      </c>
      <c r="F222" s="2" t="str">
        <f t="shared" si="109"/>
        <v>Extensión tríceps polea</v>
      </c>
      <c r="G222" s="126">
        <f t="shared" ca="1" si="110"/>
        <v>0</v>
      </c>
      <c r="H222" s="127"/>
      <c r="I222" s="12">
        <f t="shared" ca="1" si="111"/>
        <v>0</v>
      </c>
      <c r="J222" s="2">
        <f t="shared" si="112"/>
        <v>0</v>
      </c>
      <c r="K222" s="126">
        <f t="shared" ca="1" si="113"/>
        <v>0</v>
      </c>
      <c r="L222" s="127"/>
      <c r="M222" s="12">
        <f t="shared" ca="1" si="114"/>
        <v>0</v>
      </c>
      <c r="N222" s="2">
        <f t="shared" si="115"/>
        <v>0</v>
      </c>
      <c r="O222" s="126">
        <f t="shared" ca="1" si="116"/>
        <v>0</v>
      </c>
      <c r="P222" s="127"/>
      <c r="Q222" s="12">
        <f t="shared" ca="1" si="117"/>
        <v>0</v>
      </c>
      <c r="R222" s="2">
        <f t="shared" si="118"/>
        <v>0</v>
      </c>
      <c r="S222" s="126">
        <f t="shared" ca="1" si="119"/>
        <v>0</v>
      </c>
      <c r="T222" s="127"/>
      <c r="U222" s="13">
        <f t="shared" ca="1" si="120"/>
        <v>0</v>
      </c>
      <c r="V222" s="2">
        <f t="shared" si="121"/>
        <v>0</v>
      </c>
      <c r="W222" s="126">
        <f t="shared" ca="1" si="122"/>
        <v>0</v>
      </c>
      <c r="X222" s="127"/>
      <c r="Y222" s="12">
        <f t="shared" ca="1" si="123"/>
        <v>0</v>
      </c>
      <c r="Z222" s="2">
        <f t="shared" si="124"/>
        <v>0</v>
      </c>
      <c r="AA222" s="126">
        <f t="shared" ca="1" si="125"/>
        <v>0</v>
      </c>
      <c r="AB222" s="127"/>
      <c r="AC222" s="12">
        <f t="shared" ca="1" si="126"/>
        <v>0</v>
      </c>
      <c r="AD222" s="140"/>
      <c r="AE222" s="140"/>
      <c r="AF222" s="140"/>
      <c r="AG222" s="140"/>
      <c r="AH222" s="161"/>
      <c r="AI222" s="136"/>
      <c r="AJ222" s="136"/>
    </row>
    <row r="223" spans="1:36" x14ac:dyDescent="0.25">
      <c r="A223" s="137"/>
      <c r="B223" s="2" t="str">
        <f t="shared" si="106"/>
        <v>Pullover pecho mancuerna</v>
      </c>
      <c r="C223" s="126">
        <f t="shared" ca="1" si="107"/>
        <v>0</v>
      </c>
      <c r="D223" s="127"/>
      <c r="E223" s="13">
        <f t="shared" ca="1" si="108"/>
        <v>0</v>
      </c>
      <c r="F223" s="2">
        <f t="shared" si="109"/>
        <v>0</v>
      </c>
      <c r="G223" s="126">
        <f t="shared" ca="1" si="110"/>
        <v>0</v>
      </c>
      <c r="H223" s="127"/>
      <c r="I223" s="12">
        <f t="shared" ca="1" si="111"/>
        <v>0</v>
      </c>
      <c r="J223" s="2">
        <f t="shared" si="112"/>
        <v>0</v>
      </c>
      <c r="K223" s="126">
        <f t="shared" ca="1" si="113"/>
        <v>0</v>
      </c>
      <c r="L223" s="127"/>
      <c r="M223" s="12">
        <f t="shared" ca="1" si="114"/>
        <v>0</v>
      </c>
      <c r="N223" s="2">
        <f t="shared" si="115"/>
        <v>0</v>
      </c>
      <c r="O223" s="126">
        <f t="shared" ca="1" si="116"/>
        <v>0</v>
      </c>
      <c r="P223" s="127"/>
      <c r="Q223" s="12">
        <f t="shared" ca="1" si="117"/>
        <v>0</v>
      </c>
      <c r="R223" s="2">
        <f t="shared" si="118"/>
        <v>0</v>
      </c>
      <c r="S223" s="126">
        <f t="shared" ca="1" si="119"/>
        <v>0</v>
      </c>
      <c r="T223" s="127"/>
      <c r="U223" s="13">
        <f t="shared" ca="1" si="120"/>
        <v>0</v>
      </c>
      <c r="V223" s="2">
        <f t="shared" si="121"/>
        <v>0</v>
      </c>
      <c r="W223" s="126">
        <f t="shared" ca="1" si="122"/>
        <v>0</v>
      </c>
      <c r="X223" s="127"/>
      <c r="Y223" s="12">
        <f t="shared" ca="1" si="123"/>
        <v>0</v>
      </c>
      <c r="Z223" s="2">
        <f t="shared" si="124"/>
        <v>0</v>
      </c>
      <c r="AA223" s="126">
        <f t="shared" ca="1" si="125"/>
        <v>0</v>
      </c>
      <c r="AB223" s="127"/>
      <c r="AC223" s="12">
        <f t="shared" ca="1" si="126"/>
        <v>0</v>
      </c>
      <c r="AD223" s="140"/>
      <c r="AE223" s="140"/>
      <c r="AF223" s="140"/>
      <c r="AG223" s="140"/>
      <c r="AH223" s="161"/>
      <c r="AI223" s="136"/>
      <c r="AJ223" s="136"/>
    </row>
    <row r="224" spans="1:36" x14ac:dyDescent="0.25">
      <c r="A224" s="137"/>
      <c r="B224" s="2">
        <f t="shared" si="106"/>
        <v>0</v>
      </c>
      <c r="C224" s="126">
        <f t="shared" ca="1" si="107"/>
        <v>0</v>
      </c>
      <c r="D224" s="127"/>
      <c r="E224" s="13">
        <f t="shared" ca="1" si="108"/>
        <v>0</v>
      </c>
      <c r="F224" s="2">
        <f t="shared" si="109"/>
        <v>0</v>
      </c>
      <c r="G224" s="126">
        <f t="shared" ca="1" si="110"/>
        <v>0</v>
      </c>
      <c r="H224" s="127"/>
      <c r="I224" s="12">
        <f t="shared" ca="1" si="111"/>
        <v>0</v>
      </c>
      <c r="J224" s="2" t="str">
        <f t="shared" si="112"/>
        <v>Pullups</v>
      </c>
      <c r="K224" s="126">
        <f t="shared" ca="1" si="113"/>
        <v>0</v>
      </c>
      <c r="L224" s="127"/>
      <c r="M224" s="12">
        <f t="shared" ca="1" si="114"/>
        <v>0</v>
      </c>
      <c r="N224" s="2" t="str">
        <f t="shared" si="115"/>
        <v>Curl spider</v>
      </c>
      <c r="O224" s="126">
        <f t="shared" ca="1" si="116"/>
        <v>0</v>
      </c>
      <c r="P224" s="127"/>
      <c r="Q224" s="12">
        <f t="shared" ca="1" si="117"/>
        <v>0</v>
      </c>
      <c r="R224" s="2">
        <f t="shared" si="118"/>
        <v>0</v>
      </c>
      <c r="S224" s="126">
        <f t="shared" ca="1" si="119"/>
        <v>0</v>
      </c>
      <c r="T224" s="127"/>
      <c r="U224" s="13">
        <f t="shared" ca="1" si="120"/>
        <v>0</v>
      </c>
      <c r="V224" s="2">
        <f t="shared" si="121"/>
        <v>0</v>
      </c>
      <c r="W224" s="126">
        <f t="shared" ca="1" si="122"/>
        <v>0</v>
      </c>
      <c r="X224" s="127"/>
      <c r="Y224" s="12">
        <f t="shared" ca="1" si="123"/>
        <v>0</v>
      </c>
      <c r="Z224" s="2">
        <f t="shared" si="124"/>
        <v>0</v>
      </c>
      <c r="AA224" s="126">
        <f t="shared" ca="1" si="125"/>
        <v>0</v>
      </c>
      <c r="AB224" s="127"/>
      <c r="AC224" s="12">
        <f t="shared" ca="1" si="126"/>
        <v>0</v>
      </c>
      <c r="AD224" s="140"/>
      <c r="AE224" s="140"/>
      <c r="AF224" s="140"/>
      <c r="AG224" s="140"/>
      <c r="AH224" s="161"/>
      <c r="AI224" s="136"/>
      <c r="AJ224" s="136"/>
    </row>
    <row r="225" spans="1:36" x14ac:dyDescent="0.25">
      <c r="A225" s="137"/>
      <c r="B225" s="2">
        <f t="shared" si="106"/>
        <v>0</v>
      </c>
      <c r="C225" s="126">
        <f t="shared" ca="1" si="107"/>
        <v>0</v>
      </c>
      <c r="D225" s="127"/>
      <c r="E225" s="13">
        <f t="shared" ca="1" si="108"/>
        <v>0</v>
      </c>
      <c r="F225" s="2">
        <f t="shared" si="109"/>
        <v>0</v>
      </c>
      <c r="G225" s="126">
        <f t="shared" ca="1" si="110"/>
        <v>0</v>
      </c>
      <c r="H225" s="127"/>
      <c r="I225" s="12">
        <f t="shared" ca="1" si="111"/>
        <v>0</v>
      </c>
      <c r="J225" s="2" t="str">
        <f t="shared" si="112"/>
        <v>Remo mancuerna banco inclinado</v>
      </c>
      <c r="K225" s="126">
        <f t="shared" ca="1" si="113"/>
        <v>0</v>
      </c>
      <c r="L225" s="127"/>
      <c r="M225" s="12">
        <f t="shared" ca="1" si="114"/>
        <v>0</v>
      </c>
      <c r="N225" s="2" t="str">
        <f t="shared" si="115"/>
        <v>Curl invertido barra z</v>
      </c>
      <c r="O225" s="126">
        <f t="shared" ca="1" si="116"/>
        <v>0</v>
      </c>
      <c r="P225" s="127"/>
      <c r="Q225" s="12">
        <f t="shared" ca="1" si="117"/>
        <v>0</v>
      </c>
      <c r="R225" s="2">
        <f t="shared" si="118"/>
        <v>0</v>
      </c>
      <c r="S225" s="126">
        <f t="shared" ca="1" si="119"/>
        <v>0</v>
      </c>
      <c r="T225" s="127"/>
      <c r="U225" s="13">
        <f t="shared" ca="1" si="120"/>
        <v>0</v>
      </c>
      <c r="V225" s="2">
        <f t="shared" si="121"/>
        <v>0</v>
      </c>
      <c r="W225" s="126">
        <f t="shared" ca="1" si="122"/>
        <v>0</v>
      </c>
      <c r="X225" s="127"/>
      <c r="Y225" s="12">
        <f t="shared" ca="1" si="123"/>
        <v>0</v>
      </c>
      <c r="Z225" s="2">
        <f t="shared" si="124"/>
        <v>0</v>
      </c>
      <c r="AA225" s="126">
        <f t="shared" ca="1" si="125"/>
        <v>0</v>
      </c>
      <c r="AB225" s="127"/>
      <c r="AC225" s="12">
        <f t="shared" ca="1" si="126"/>
        <v>0</v>
      </c>
      <c r="AD225" s="140"/>
      <c r="AE225" s="140"/>
      <c r="AF225" s="140"/>
      <c r="AG225" s="140"/>
      <c r="AH225" s="161"/>
      <c r="AI225" s="136"/>
      <c r="AJ225" s="136"/>
    </row>
    <row r="226" spans="1:36" x14ac:dyDescent="0.25">
      <c r="A226" s="137"/>
      <c r="B226" s="2">
        <f t="shared" si="106"/>
        <v>0</v>
      </c>
      <c r="C226" s="126">
        <f t="shared" ca="1" si="107"/>
        <v>0</v>
      </c>
      <c r="D226" s="127"/>
      <c r="E226" s="13">
        <f t="shared" ca="1" si="108"/>
        <v>0</v>
      </c>
      <c r="F226" s="2">
        <f t="shared" si="109"/>
        <v>0</v>
      </c>
      <c r="G226" s="126">
        <f t="shared" ca="1" si="110"/>
        <v>0</v>
      </c>
      <c r="H226" s="127"/>
      <c r="I226" s="12">
        <f t="shared" ca="1" si="111"/>
        <v>0</v>
      </c>
      <c r="J226" s="2" t="str">
        <f t="shared" si="112"/>
        <v>Pulldown polea sentado agarre en v</v>
      </c>
      <c r="K226" s="126">
        <f t="shared" ca="1" si="113"/>
        <v>0</v>
      </c>
      <c r="L226" s="127"/>
      <c r="M226" s="12">
        <f t="shared" ca="1" si="114"/>
        <v>0</v>
      </c>
      <c r="N226" s="2" t="str">
        <f t="shared" si="115"/>
        <v>Predicador barra</v>
      </c>
      <c r="O226" s="126">
        <f t="shared" ca="1" si="116"/>
        <v>0</v>
      </c>
      <c r="P226" s="127"/>
      <c r="Q226" s="12">
        <f t="shared" ca="1" si="117"/>
        <v>0</v>
      </c>
      <c r="R226" s="2">
        <f t="shared" si="118"/>
        <v>0</v>
      </c>
      <c r="S226" s="126">
        <f t="shared" ca="1" si="119"/>
        <v>0</v>
      </c>
      <c r="T226" s="127"/>
      <c r="U226" s="13">
        <f t="shared" ca="1" si="120"/>
        <v>0</v>
      </c>
      <c r="V226" s="2">
        <f t="shared" si="121"/>
        <v>0</v>
      </c>
      <c r="W226" s="126">
        <f t="shared" ca="1" si="122"/>
        <v>0</v>
      </c>
      <c r="X226" s="127"/>
      <c r="Y226" s="12">
        <f t="shared" ca="1" si="123"/>
        <v>0</v>
      </c>
      <c r="Z226" s="2">
        <f t="shared" si="124"/>
        <v>0</v>
      </c>
      <c r="AA226" s="126">
        <f t="shared" ca="1" si="125"/>
        <v>0</v>
      </c>
      <c r="AB226" s="127"/>
      <c r="AC226" s="12">
        <f t="shared" ca="1" si="126"/>
        <v>0</v>
      </c>
      <c r="AD226" s="140"/>
      <c r="AE226" s="140"/>
      <c r="AF226" s="140"/>
      <c r="AG226" s="140"/>
      <c r="AH226" s="161"/>
      <c r="AI226" s="136"/>
      <c r="AJ226" s="136"/>
    </row>
    <row r="227" spans="1:36" x14ac:dyDescent="0.25">
      <c r="A227" s="137"/>
      <c r="B227" s="2">
        <f t="shared" si="106"/>
        <v>0</v>
      </c>
      <c r="C227" s="126">
        <f t="shared" ca="1" si="107"/>
        <v>0</v>
      </c>
      <c r="D227" s="127"/>
      <c r="E227" s="13">
        <f t="shared" ca="1" si="108"/>
        <v>0</v>
      </c>
      <c r="F227" s="2">
        <f t="shared" si="109"/>
        <v>0</v>
      </c>
      <c r="G227" s="126">
        <f t="shared" ca="1" si="110"/>
        <v>0</v>
      </c>
      <c r="H227" s="127"/>
      <c r="I227" s="12">
        <f t="shared" ca="1" si="111"/>
        <v>0</v>
      </c>
      <c r="J227" s="2" t="str">
        <f t="shared" si="112"/>
        <v>Remo landmine</v>
      </c>
      <c r="K227" s="126">
        <f t="shared" ca="1" si="113"/>
        <v>0</v>
      </c>
      <c r="L227" s="127"/>
      <c r="M227" s="12">
        <f t="shared" ca="1" si="114"/>
        <v>0</v>
      </c>
      <c r="N227" s="2" t="str">
        <f t="shared" si="115"/>
        <v>Curl mancuerna sentado inclinado</v>
      </c>
      <c r="O227" s="126">
        <f t="shared" ca="1" si="116"/>
        <v>0</v>
      </c>
      <c r="P227" s="127"/>
      <c r="Q227" s="12">
        <f t="shared" ca="1" si="117"/>
        <v>0</v>
      </c>
      <c r="R227" s="2">
        <f t="shared" si="118"/>
        <v>0</v>
      </c>
      <c r="S227" s="126">
        <f t="shared" ca="1" si="119"/>
        <v>0</v>
      </c>
      <c r="T227" s="127"/>
      <c r="U227" s="13">
        <f t="shared" ca="1" si="120"/>
        <v>0</v>
      </c>
      <c r="V227" s="2">
        <f t="shared" si="121"/>
        <v>0</v>
      </c>
      <c r="W227" s="126">
        <f t="shared" ca="1" si="122"/>
        <v>0</v>
      </c>
      <c r="X227" s="127"/>
      <c r="Y227" s="12">
        <f t="shared" ca="1" si="123"/>
        <v>0</v>
      </c>
      <c r="Z227" s="2">
        <f t="shared" si="124"/>
        <v>0</v>
      </c>
      <c r="AA227" s="126">
        <f t="shared" ca="1" si="125"/>
        <v>0</v>
      </c>
      <c r="AB227" s="127"/>
      <c r="AC227" s="12">
        <f t="shared" ca="1" si="126"/>
        <v>0</v>
      </c>
      <c r="AD227" s="140"/>
      <c r="AE227" s="140"/>
      <c r="AF227" s="140"/>
      <c r="AG227" s="140"/>
      <c r="AH227" s="161"/>
      <c r="AI227" s="136"/>
      <c r="AJ227" s="136"/>
    </row>
    <row r="228" spans="1:36" x14ac:dyDescent="0.25">
      <c r="A228" s="137"/>
      <c r="B228" s="2">
        <f t="shared" si="106"/>
        <v>0</v>
      </c>
      <c r="C228" s="126">
        <f t="shared" ca="1" si="107"/>
        <v>0</v>
      </c>
      <c r="D228" s="127"/>
      <c r="E228" s="13">
        <f t="shared" ca="1" si="108"/>
        <v>0</v>
      </c>
      <c r="F228" s="2">
        <f t="shared" si="109"/>
        <v>0</v>
      </c>
      <c r="G228" s="126">
        <f t="shared" ca="1" si="110"/>
        <v>0</v>
      </c>
      <c r="H228" s="127"/>
      <c r="I228" s="12">
        <f t="shared" ca="1" si="111"/>
        <v>0</v>
      </c>
      <c r="J228" s="2" t="str">
        <f t="shared" si="112"/>
        <v>Plancha paracaídas</v>
      </c>
      <c r="K228" s="126">
        <f t="shared" ca="1" si="113"/>
        <v>0</v>
      </c>
      <c r="L228" s="127"/>
      <c r="M228" s="12">
        <f t="shared" ca="1" si="114"/>
        <v>0</v>
      </c>
      <c r="N228" s="2">
        <f t="shared" si="115"/>
        <v>0</v>
      </c>
      <c r="O228" s="126">
        <f t="shared" ca="1" si="116"/>
        <v>0</v>
      </c>
      <c r="P228" s="127"/>
      <c r="Q228" s="12">
        <f t="shared" ca="1" si="117"/>
        <v>0</v>
      </c>
      <c r="R228" s="2">
        <f t="shared" si="118"/>
        <v>0</v>
      </c>
      <c r="S228" s="126">
        <f t="shared" ca="1" si="119"/>
        <v>0</v>
      </c>
      <c r="T228" s="127"/>
      <c r="U228" s="13">
        <f t="shared" ca="1" si="120"/>
        <v>0</v>
      </c>
      <c r="V228" s="2">
        <f t="shared" si="121"/>
        <v>0</v>
      </c>
      <c r="W228" s="126">
        <f t="shared" ca="1" si="122"/>
        <v>0</v>
      </c>
      <c r="X228" s="127"/>
      <c r="Y228" s="12">
        <f t="shared" ca="1" si="123"/>
        <v>0</v>
      </c>
      <c r="Z228" s="2">
        <f t="shared" si="124"/>
        <v>0</v>
      </c>
      <c r="AA228" s="126">
        <f t="shared" ca="1" si="125"/>
        <v>0</v>
      </c>
      <c r="AB228" s="127"/>
      <c r="AC228" s="12">
        <f t="shared" ca="1" si="126"/>
        <v>0</v>
      </c>
      <c r="AD228" s="140"/>
      <c r="AE228" s="140"/>
      <c r="AF228" s="140"/>
      <c r="AG228" s="140"/>
      <c r="AH228" s="161"/>
      <c r="AI228" s="136"/>
      <c r="AJ228" s="136"/>
    </row>
    <row r="229" spans="1:36" x14ac:dyDescent="0.25">
      <c r="A229" s="137"/>
      <c r="B229" s="2">
        <f t="shared" si="106"/>
        <v>0</v>
      </c>
      <c r="C229" s="126">
        <f t="shared" ca="1" si="107"/>
        <v>0</v>
      </c>
      <c r="D229" s="127"/>
      <c r="E229" s="13">
        <f t="shared" ca="1" si="108"/>
        <v>0</v>
      </c>
      <c r="F229" s="2">
        <f t="shared" si="109"/>
        <v>0</v>
      </c>
      <c r="G229" s="126">
        <f t="shared" ca="1" si="110"/>
        <v>0</v>
      </c>
      <c r="H229" s="127"/>
      <c r="I229" s="12">
        <f t="shared" ca="1" si="111"/>
        <v>0</v>
      </c>
      <c r="J229" s="2">
        <f t="shared" si="112"/>
        <v>0</v>
      </c>
      <c r="K229" s="126">
        <f t="shared" ca="1" si="113"/>
        <v>0</v>
      </c>
      <c r="L229" s="127"/>
      <c r="M229" s="12">
        <f t="shared" ca="1" si="114"/>
        <v>0</v>
      </c>
      <c r="N229" s="2">
        <f t="shared" si="115"/>
        <v>0</v>
      </c>
      <c r="O229" s="126">
        <f t="shared" ca="1" si="116"/>
        <v>0</v>
      </c>
      <c r="P229" s="127"/>
      <c r="Q229" s="12">
        <f t="shared" ca="1" si="117"/>
        <v>0</v>
      </c>
      <c r="R229" s="2">
        <f t="shared" si="118"/>
        <v>0</v>
      </c>
      <c r="S229" s="126">
        <f t="shared" ca="1" si="119"/>
        <v>0</v>
      </c>
      <c r="T229" s="127"/>
      <c r="U229" s="13">
        <f t="shared" ca="1" si="120"/>
        <v>0</v>
      </c>
      <c r="V229" s="2">
        <f t="shared" si="121"/>
        <v>0</v>
      </c>
      <c r="W229" s="126">
        <f t="shared" ca="1" si="122"/>
        <v>0</v>
      </c>
      <c r="X229" s="127"/>
      <c r="Y229" s="12">
        <f t="shared" ca="1" si="123"/>
        <v>0</v>
      </c>
      <c r="Z229" s="2">
        <f t="shared" si="124"/>
        <v>0</v>
      </c>
      <c r="AA229" s="126">
        <f t="shared" ca="1" si="125"/>
        <v>0</v>
      </c>
      <c r="AB229" s="127"/>
      <c r="AC229" s="12">
        <f t="shared" ca="1" si="126"/>
        <v>0</v>
      </c>
      <c r="AD229" s="140"/>
      <c r="AE229" s="140"/>
      <c r="AF229" s="140"/>
      <c r="AG229" s="140"/>
      <c r="AH229" s="161"/>
      <c r="AI229" s="136"/>
      <c r="AJ229" s="136"/>
    </row>
    <row r="230" spans="1:36" x14ac:dyDescent="0.25">
      <c r="A230" s="137"/>
      <c r="B230" s="2">
        <f t="shared" si="106"/>
        <v>0</v>
      </c>
      <c r="C230" s="126">
        <f t="shared" ca="1" si="107"/>
        <v>0</v>
      </c>
      <c r="D230" s="127"/>
      <c r="E230" s="13">
        <f t="shared" ca="1" si="108"/>
        <v>0</v>
      </c>
      <c r="F230" s="2">
        <f t="shared" si="109"/>
        <v>0</v>
      </c>
      <c r="G230" s="126">
        <f t="shared" ca="1" si="110"/>
        <v>0</v>
      </c>
      <c r="H230" s="127"/>
      <c r="I230" s="12">
        <f t="shared" ca="1" si="111"/>
        <v>0</v>
      </c>
      <c r="J230" s="2">
        <f t="shared" si="112"/>
        <v>0</v>
      </c>
      <c r="K230" s="126">
        <f t="shared" ca="1" si="113"/>
        <v>0</v>
      </c>
      <c r="L230" s="127"/>
      <c r="M230" s="12">
        <f t="shared" ca="1" si="114"/>
        <v>0</v>
      </c>
      <c r="N230" s="2">
        <f t="shared" si="115"/>
        <v>0</v>
      </c>
      <c r="O230" s="126">
        <f t="shared" ca="1" si="116"/>
        <v>0</v>
      </c>
      <c r="P230" s="127"/>
      <c r="Q230" s="12">
        <f t="shared" ca="1" si="117"/>
        <v>0</v>
      </c>
      <c r="R230" s="2">
        <f t="shared" si="118"/>
        <v>0</v>
      </c>
      <c r="S230" s="126">
        <f t="shared" ca="1" si="119"/>
        <v>0</v>
      </c>
      <c r="T230" s="127"/>
      <c r="U230" s="13">
        <f t="shared" ca="1" si="120"/>
        <v>0</v>
      </c>
      <c r="V230" s="2">
        <f t="shared" si="121"/>
        <v>0</v>
      </c>
      <c r="W230" s="126">
        <f t="shared" ca="1" si="122"/>
        <v>0</v>
      </c>
      <c r="X230" s="127"/>
      <c r="Y230" s="12">
        <f t="shared" ca="1" si="123"/>
        <v>0</v>
      </c>
      <c r="Z230" s="2">
        <f t="shared" si="124"/>
        <v>0</v>
      </c>
      <c r="AA230" s="126">
        <f t="shared" ca="1" si="125"/>
        <v>0</v>
      </c>
      <c r="AB230" s="127"/>
      <c r="AC230" s="12">
        <f t="shared" ca="1" si="126"/>
        <v>0</v>
      </c>
      <c r="AD230" s="140"/>
      <c r="AE230" s="140"/>
      <c r="AF230" s="140"/>
      <c r="AG230" s="140"/>
      <c r="AH230" s="161"/>
      <c r="AI230" s="136"/>
      <c r="AJ230" s="136"/>
    </row>
    <row r="231" spans="1:36" x14ac:dyDescent="0.25">
      <c r="A231" s="137"/>
      <c r="B231" s="2">
        <f t="shared" si="106"/>
        <v>0</v>
      </c>
      <c r="C231" s="126">
        <f t="shared" ca="1" si="107"/>
        <v>0</v>
      </c>
      <c r="D231" s="127"/>
      <c r="E231" s="13">
        <f t="shared" ca="1" si="108"/>
        <v>0</v>
      </c>
      <c r="F231" s="2">
        <f t="shared" si="109"/>
        <v>0</v>
      </c>
      <c r="G231" s="126">
        <f t="shared" ca="1" si="110"/>
        <v>0</v>
      </c>
      <c r="H231" s="127"/>
      <c r="I231" s="12">
        <f t="shared" ca="1" si="111"/>
        <v>0</v>
      </c>
      <c r="J231" s="2">
        <f t="shared" si="112"/>
        <v>0</v>
      </c>
      <c r="K231" s="126">
        <f t="shared" ca="1" si="113"/>
        <v>0</v>
      </c>
      <c r="L231" s="127"/>
      <c r="M231" s="12">
        <f t="shared" ca="1" si="114"/>
        <v>0</v>
      </c>
      <c r="N231" s="2">
        <f t="shared" si="115"/>
        <v>0</v>
      </c>
      <c r="O231" s="126">
        <f t="shared" ca="1" si="116"/>
        <v>0</v>
      </c>
      <c r="P231" s="127"/>
      <c r="Q231" s="12">
        <f t="shared" ca="1" si="117"/>
        <v>0</v>
      </c>
      <c r="R231" s="2">
        <f t="shared" si="118"/>
        <v>0</v>
      </c>
      <c r="S231" s="126">
        <f t="shared" ca="1" si="119"/>
        <v>0</v>
      </c>
      <c r="T231" s="127"/>
      <c r="U231" s="13">
        <f t="shared" ca="1" si="120"/>
        <v>0</v>
      </c>
      <c r="V231" s="2">
        <f t="shared" si="121"/>
        <v>0</v>
      </c>
      <c r="W231" s="126">
        <f t="shared" ca="1" si="122"/>
        <v>0</v>
      </c>
      <c r="X231" s="127"/>
      <c r="Y231" s="12">
        <f t="shared" ca="1" si="123"/>
        <v>0</v>
      </c>
      <c r="Z231" s="2">
        <f t="shared" si="124"/>
        <v>0</v>
      </c>
      <c r="AA231" s="126">
        <f t="shared" ca="1" si="125"/>
        <v>0</v>
      </c>
      <c r="AB231" s="127"/>
      <c r="AC231" s="12">
        <f t="shared" ca="1" si="126"/>
        <v>0</v>
      </c>
      <c r="AD231" s="140"/>
      <c r="AE231" s="140"/>
      <c r="AF231" s="140"/>
      <c r="AG231" s="140"/>
      <c r="AH231" s="161"/>
      <c r="AI231" s="136"/>
      <c r="AJ231" s="136"/>
    </row>
    <row r="232" spans="1:36" x14ac:dyDescent="0.25">
      <c r="A232" s="137"/>
      <c r="B232" s="2">
        <f t="shared" si="106"/>
        <v>0</v>
      </c>
      <c r="C232" s="126">
        <f t="shared" ca="1" si="107"/>
        <v>0</v>
      </c>
      <c r="D232" s="127"/>
      <c r="E232" s="13">
        <f t="shared" ca="1" si="108"/>
        <v>0</v>
      </c>
      <c r="F232" s="2">
        <f t="shared" si="109"/>
        <v>0</v>
      </c>
      <c r="G232" s="126">
        <f t="shared" ca="1" si="110"/>
        <v>0</v>
      </c>
      <c r="H232" s="127"/>
      <c r="I232" s="12">
        <f t="shared" ca="1" si="111"/>
        <v>0</v>
      </c>
      <c r="J232" s="2">
        <f t="shared" si="112"/>
        <v>0</v>
      </c>
      <c r="K232" s="126">
        <f t="shared" ca="1" si="113"/>
        <v>0</v>
      </c>
      <c r="L232" s="127"/>
      <c r="M232" s="12">
        <f t="shared" ca="1" si="114"/>
        <v>0</v>
      </c>
      <c r="N232" s="2">
        <f t="shared" si="115"/>
        <v>0</v>
      </c>
      <c r="O232" s="126">
        <f t="shared" ca="1" si="116"/>
        <v>0</v>
      </c>
      <c r="P232" s="127"/>
      <c r="Q232" s="12">
        <f t="shared" ca="1" si="117"/>
        <v>0</v>
      </c>
      <c r="R232" s="2">
        <f t="shared" si="118"/>
        <v>0</v>
      </c>
      <c r="S232" s="126">
        <f t="shared" ca="1" si="119"/>
        <v>0</v>
      </c>
      <c r="T232" s="127"/>
      <c r="U232" s="13">
        <f t="shared" ca="1" si="120"/>
        <v>0</v>
      </c>
      <c r="V232" s="2">
        <f t="shared" si="121"/>
        <v>0</v>
      </c>
      <c r="W232" s="126">
        <f t="shared" ca="1" si="122"/>
        <v>0</v>
      </c>
      <c r="X232" s="127"/>
      <c r="Y232" s="12">
        <f t="shared" ca="1" si="123"/>
        <v>0</v>
      </c>
      <c r="Z232" s="2">
        <f t="shared" si="124"/>
        <v>0</v>
      </c>
      <c r="AA232" s="126">
        <f t="shared" ca="1" si="125"/>
        <v>0</v>
      </c>
      <c r="AB232" s="127"/>
      <c r="AC232" s="12">
        <f t="shared" ca="1" si="126"/>
        <v>0</v>
      </c>
      <c r="AD232" s="140"/>
      <c r="AE232" s="140"/>
      <c r="AF232" s="140"/>
      <c r="AG232" s="140"/>
      <c r="AH232" s="161"/>
      <c r="AI232" s="136"/>
      <c r="AJ232" s="136"/>
    </row>
    <row r="233" spans="1:36" x14ac:dyDescent="0.25">
      <c r="A233" s="137"/>
      <c r="B233" s="2">
        <f t="shared" si="106"/>
        <v>0</v>
      </c>
      <c r="C233" s="126">
        <f t="shared" ca="1" si="107"/>
        <v>0</v>
      </c>
      <c r="D233" s="127"/>
      <c r="E233" s="13">
        <f t="shared" ca="1" si="108"/>
        <v>0</v>
      </c>
      <c r="F233" s="2">
        <f t="shared" si="109"/>
        <v>0</v>
      </c>
      <c r="G233" s="126">
        <f t="shared" ca="1" si="110"/>
        <v>0</v>
      </c>
      <c r="H233" s="127"/>
      <c r="I233" s="12">
        <f t="shared" ca="1" si="111"/>
        <v>0</v>
      </c>
      <c r="J233" s="2">
        <f t="shared" si="112"/>
        <v>0</v>
      </c>
      <c r="K233" s="126">
        <f t="shared" ca="1" si="113"/>
        <v>0</v>
      </c>
      <c r="L233" s="127"/>
      <c r="M233" s="12">
        <f t="shared" ca="1" si="114"/>
        <v>0</v>
      </c>
      <c r="N233" s="2">
        <f t="shared" si="115"/>
        <v>0</v>
      </c>
      <c r="O233" s="126">
        <f t="shared" ca="1" si="116"/>
        <v>0</v>
      </c>
      <c r="P233" s="127"/>
      <c r="Q233" s="12">
        <f t="shared" ca="1" si="117"/>
        <v>0</v>
      </c>
      <c r="R233" s="2">
        <f t="shared" si="118"/>
        <v>0</v>
      </c>
      <c r="S233" s="126">
        <f t="shared" ca="1" si="119"/>
        <v>0</v>
      </c>
      <c r="T233" s="127"/>
      <c r="U233" s="13">
        <f t="shared" ca="1" si="120"/>
        <v>0</v>
      </c>
      <c r="V233" s="2">
        <f t="shared" si="121"/>
        <v>0</v>
      </c>
      <c r="W233" s="126">
        <f t="shared" ca="1" si="122"/>
        <v>0</v>
      </c>
      <c r="X233" s="127"/>
      <c r="Y233" s="12">
        <f t="shared" ca="1" si="123"/>
        <v>0</v>
      </c>
      <c r="Z233" s="2">
        <f t="shared" si="124"/>
        <v>0</v>
      </c>
      <c r="AA233" s="126">
        <f t="shared" ca="1" si="125"/>
        <v>0</v>
      </c>
      <c r="AB233" s="127"/>
      <c r="AC233" s="12">
        <f t="shared" ca="1" si="126"/>
        <v>0</v>
      </c>
      <c r="AD233" s="140"/>
      <c r="AE233" s="140"/>
      <c r="AF233" s="140"/>
      <c r="AG233" s="140"/>
      <c r="AH233" s="161"/>
      <c r="AI233" s="136"/>
      <c r="AJ233" s="136"/>
    </row>
    <row r="234" spans="1:36" x14ac:dyDescent="0.25">
      <c r="A234" s="137"/>
      <c r="B234" s="2">
        <f t="shared" si="106"/>
        <v>0</v>
      </c>
      <c r="C234" s="126">
        <f t="shared" ca="1" si="107"/>
        <v>0</v>
      </c>
      <c r="D234" s="127"/>
      <c r="E234" s="13">
        <f t="shared" ca="1" si="108"/>
        <v>0</v>
      </c>
      <c r="F234" s="2">
        <f t="shared" si="109"/>
        <v>0</v>
      </c>
      <c r="G234" s="126">
        <f t="shared" ca="1" si="110"/>
        <v>0</v>
      </c>
      <c r="H234" s="127"/>
      <c r="I234" s="12">
        <f t="shared" ca="1" si="111"/>
        <v>0</v>
      </c>
      <c r="J234" s="2">
        <f t="shared" si="112"/>
        <v>0</v>
      </c>
      <c r="K234" s="126">
        <f t="shared" ca="1" si="113"/>
        <v>0</v>
      </c>
      <c r="L234" s="127"/>
      <c r="M234" s="12">
        <f t="shared" ca="1" si="114"/>
        <v>0</v>
      </c>
      <c r="N234" s="2">
        <f t="shared" si="115"/>
        <v>0</v>
      </c>
      <c r="O234" s="126">
        <f t="shared" ca="1" si="116"/>
        <v>0</v>
      </c>
      <c r="P234" s="127"/>
      <c r="Q234" s="12">
        <f t="shared" ca="1" si="117"/>
        <v>0</v>
      </c>
      <c r="R234" s="2" t="str">
        <f t="shared" si="118"/>
        <v>Press hombro mancuerna sentado</v>
      </c>
      <c r="S234" s="126">
        <f t="shared" ca="1" si="119"/>
        <v>0</v>
      </c>
      <c r="T234" s="127"/>
      <c r="U234" s="13">
        <f t="shared" ca="1" si="120"/>
        <v>0</v>
      </c>
      <c r="V234" s="2" t="str">
        <f t="shared" si="121"/>
        <v>Sentadilla barra libre</v>
      </c>
      <c r="W234" s="126">
        <f t="shared" ca="1" si="122"/>
        <v>0</v>
      </c>
      <c r="X234" s="127"/>
      <c r="Y234" s="12">
        <f t="shared" ca="1" si="123"/>
        <v>0</v>
      </c>
      <c r="Z234" s="2">
        <f>Z20</f>
        <v>0</v>
      </c>
      <c r="AA234" s="126">
        <f ca="1">IF(TODAY()=$A$219,AA20*AB20*AC20,AA234)</f>
        <v>0</v>
      </c>
      <c r="AB234" s="127"/>
      <c r="AC234" s="12">
        <f ca="1">IF(TODAY()=$A$219,AC20,AC234)</f>
        <v>0</v>
      </c>
      <c r="AD234" s="140"/>
      <c r="AE234" s="140"/>
      <c r="AF234" s="140"/>
      <c r="AG234" s="140"/>
      <c r="AH234" s="161"/>
      <c r="AI234" s="136"/>
      <c r="AJ234" s="136"/>
    </row>
    <row r="235" spans="1:36" x14ac:dyDescent="0.25">
      <c r="A235" s="137"/>
      <c r="B235" s="2">
        <f t="shared" si="106"/>
        <v>0</v>
      </c>
      <c r="C235" s="126">
        <f t="shared" ca="1" si="107"/>
        <v>0</v>
      </c>
      <c r="D235" s="127"/>
      <c r="E235" s="13">
        <f t="shared" ca="1" si="108"/>
        <v>0</v>
      </c>
      <c r="F235" s="2">
        <f t="shared" si="109"/>
        <v>0</v>
      </c>
      <c r="G235" s="126">
        <f t="shared" ca="1" si="110"/>
        <v>0</v>
      </c>
      <c r="H235" s="127"/>
      <c r="I235" s="12">
        <f t="shared" ca="1" si="111"/>
        <v>0</v>
      </c>
      <c r="J235" s="2">
        <f t="shared" si="112"/>
        <v>0</v>
      </c>
      <c r="K235" s="126">
        <f t="shared" ca="1" si="113"/>
        <v>0</v>
      </c>
      <c r="L235" s="127"/>
      <c r="M235" s="12">
        <f t="shared" ca="1" si="114"/>
        <v>0</v>
      </c>
      <c r="N235" s="2">
        <f t="shared" si="115"/>
        <v>0</v>
      </c>
      <c r="O235" s="126">
        <f t="shared" ca="1" si="116"/>
        <v>0</v>
      </c>
      <c r="P235" s="127"/>
      <c r="Q235" s="12">
        <f t="shared" ca="1" si="117"/>
        <v>0</v>
      </c>
      <c r="R235" s="2" t="str">
        <f t="shared" si="118"/>
        <v>Elevaciones laterales mancuerna banco inclinado</v>
      </c>
      <c r="S235" s="126">
        <f t="shared" ca="1" si="119"/>
        <v>0</v>
      </c>
      <c r="T235" s="127"/>
      <c r="U235" s="13">
        <f t="shared" ca="1" si="120"/>
        <v>0</v>
      </c>
      <c r="V235" s="2" t="str">
        <f t="shared" si="121"/>
        <v>Sentadilla sumo mancuerna</v>
      </c>
      <c r="W235" s="126">
        <f t="shared" ca="1" si="122"/>
        <v>0</v>
      </c>
      <c r="X235" s="127"/>
      <c r="Y235" s="12">
        <f t="shared" ca="1" si="123"/>
        <v>0</v>
      </c>
      <c r="Z235" s="2">
        <f>Z21</f>
        <v>0</v>
      </c>
      <c r="AA235" s="126">
        <f ca="1">IF(TODAY()=$A$219,AA21*AB21*AC21,AA235)</f>
        <v>0</v>
      </c>
      <c r="AB235" s="127"/>
      <c r="AC235" s="12">
        <f ca="1">IF(TODAY()=$A$219,AC21,AC235)</f>
        <v>0</v>
      </c>
      <c r="AD235" s="140"/>
      <c r="AE235" s="140"/>
      <c r="AF235" s="140"/>
      <c r="AG235" s="140"/>
      <c r="AH235" s="161"/>
      <c r="AI235" s="136"/>
      <c r="AJ235" s="136"/>
    </row>
    <row r="236" spans="1:36" x14ac:dyDescent="0.25">
      <c r="A236" s="137"/>
      <c r="B236" s="2">
        <f t="shared" si="106"/>
        <v>0</v>
      </c>
      <c r="C236" s="126">
        <f t="shared" ca="1" si="107"/>
        <v>0</v>
      </c>
      <c r="D236" s="127"/>
      <c r="E236" s="13">
        <f t="shared" ca="1" si="108"/>
        <v>0</v>
      </c>
      <c r="F236" s="2">
        <f t="shared" si="109"/>
        <v>0</v>
      </c>
      <c r="G236" s="126">
        <f t="shared" ca="1" si="110"/>
        <v>0</v>
      </c>
      <c r="H236" s="127"/>
      <c r="I236" s="12">
        <f t="shared" ca="1" si="111"/>
        <v>0</v>
      </c>
      <c r="J236" s="2">
        <f t="shared" si="112"/>
        <v>0</v>
      </c>
      <c r="K236" s="126">
        <f t="shared" ca="1" si="113"/>
        <v>0</v>
      </c>
      <c r="L236" s="127"/>
      <c r="M236" s="12">
        <f t="shared" ca="1" si="114"/>
        <v>0</v>
      </c>
      <c r="N236" s="2">
        <f t="shared" si="115"/>
        <v>0</v>
      </c>
      <c r="O236" s="126">
        <f t="shared" ca="1" si="116"/>
        <v>0</v>
      </c>
      <c r="P236" s="127"/>
      <c r="Q236" s="12">
        <f t="shared" ca="1" si="117"/>
        <v>0</v>
      </c>
      <c r="R236" s="2" t="str">
        <f t="shared" si="118"/>
        <v>Elevaciones frontales barra banco inclinado</v>
      </c>
      <c r="S236" s="126">
        <f t="shared" ca="1" si="119"/>
        <v>0</v>
      </c>
      <c r="T236" s="127"/>
      <c r="U236" s="13">
        <f t="shared" ca="1" si="120"/>
        <v>0</v>
      </c>
      <c r="V236" s="2" t="str">
        <f t="shared" si="121"/>
        <v>Peso muerto mancuerna</v>
      </c>
      <c r="W236" s="126">
        <f t="shared" ca="1" si="122"/>
        <v>0</v>
      </c>
      <c r="X236" s="127"/>
      <c r="Y236" s="12">
        <f t="shared" ca="1" si="123"/>
        <v>0</v>
      </c>
      <c r="Z236" s="2">
        <f>Z22</f>
        <v>0</v>
      </c>
      <c r="AA236" s="126">
        <f ca="1">IF(TODAY()=$A$219,AA22*AB22*AC22,AA236)</f>
        <v>0</v>
      </c>
      <c r="AB236" s="127"/>
      <c r="AC236" s="12">
        <f ca="1">IF(TODAY()=$A$219,AC22,AC236)</f>
        <v>0</v>
      </c>
      <c r="AD236" s="140"/>
      <c r="AE236" s="140"/>
      <c r="AF236" s="140"/>
      <c r="AG236" s="140"/>
      <c r="AH236" s="161"/>
      <c r="AI236" s="136"/>
      <c r="AJ236" s="136"/>
    </row>
    <row r="237" spans="1:36" x14ac:dyDescent="0.25">
      <c r="A237" s="137"/>
      <c r="B237" s="2">
        <f t="shared" si="106"/>
        <v>0</v>
      </c>
      <c r="C237" s="126">
        <f t="shared" ca="1" si="107"/>
        <v>0</v>
      </c>
      <c r="D237" s="127"/>
      <c r="E237" s="13">
        <f t="shared" ca="1" si="108"/>
        <v>0</v>
      </c>
      <c r="F237" s="2">
        <f t="shared" si="109"/>
        <v>0</v>
      </c>
      <c r="G237" s="126">
        <f t="shared" ca="1" si="110"/>
        <v>0</v>
      </c>
      <c r="H237" s="127"/>
      <c r="I237" s="12">
        <f t="shared" ca="1" si="111"/>
        <v>0</v>
      </c>
      <c r="J237" s="2">
        <f t="shared" si="112"/>
        <v>0</v>
      </c>
      <c r="K237" s="126">
        <f t="shared" ca="1" si="113"/>
        <v>0</v>
      </c>
      <c r="L237" s="127"/>
      <c r="M237" s="12">
        <f t="shared" ca="1" si="114"/>
        <v>0</v>
      </c>
      <c r="N237" s="2">
        <f t="shared" si="115"/>
        <v>0</v>
      </c>
      <c r="O237" s="126">
        <f t="shared" ca="1" si="116"/>
        <v>0</v>
      </c>
      <c r="P237" s="127"/>
      <c r="Q237" s="12">
        <f t="shared" ca="1" si="117"/>
        <v>0</v>
      </c>
      <c r="R237" s="2" t="str">
        <f t="shared" si="118"/>
        <v>Press arnold</v>
      </c>
      <c r="S237" s="126">
        <f t="shared" ca="1" si="119"/>
        <v>0</v>
      </c>
      <c r="T237" s="127"/>
      <c r="U237" s="13">
        <f t="shared" ca="1" si="120"/>
        <v>0</v>
      </c>
      <c r="V237" s="2" t="str">
        <f t="shared" si="121"/>
        <v>Press pierna máquina</v>
      </c>
      <c r="W237" s="126">
        <f t="shared" ca="1" si="122"/>
        <v>0</v>
      </c>
      <c r="X237" s="127"/>
      <c r="Y237" s="12">
        <f t="shared" ca="1" si="123"/>
        <v>0</v>
      </c>
      <c r="Z237" s="2">
        <f>Z23</f>
        <v>0</v>
      </c>
      <c r="AA237" s="126">
        <f ca="1">IF(TODAY()=$A$219,AA23*AB23*AC23,AA237)</f>
        <v>0</v>
      </c>
      <c r="AB237" s="127"/>
      <c r="AC237" s="12">
        <f ca="1">IF(TODAY()=$A$219,AC23,AC237)</f>
        <v>0</v>
      </c>
      <c r="AD237" s="140"/>
      <c r="AE237" s="140"/>
      <c r="AF237" s="140"/>
      <c r="AG237" s="140"/>
      <c r="AH237" s="161"/>
      <c r="AI237" s="136"/>
      <c r="AJ237" s="136"/>
    </row>
    <row r="238" spans="1:36" x14ac:dyDescent="0.25">
      <c r="A238" s="137"/>
      <c r="B238" s="2">
        <f t="shared" si="106"/>
        <v>0</v>
      </c>
      <c r="C238" s="126">
        <f t="shared" ca="1" si="107"/>
        <v>0</v>
      </c>
      <c r="D238" s="127"/>
      <c r="E238" s="13">
        <f t="shared" ca="1" si="108"/>
        <v>0</v>
      </c>
      <c r="F238" s="2">
        <f t="shared" si="109"/>
        <v>0</v>
      </c>
      <c r="G238" s="126">
        <f t="shared" ca="1" si="110"/>
        <v>0</v>
      </c>
      <c r="H238" s="127"/>
      <c r="I238" s="12">
        <f t="shared" ca="1" si="111"/>
        <v>0</v>
      </c>
      <c r="J238" s="2">
        <f t="shared" si="112"/>
        <v>0</v>
      </c>
      <c r="K238" s="126">
        <f t="shared" ca="1" si="113"/>
        <v>0</v>
      </c>
      <c r="L238" s="127"/>
      <c r="M238" s="12">
        <f t="shared" ca="1" si="114"/>
        <v>0</v>
      </c>
      <c r="N238" s="2">
        <f t="shared" si="115"/>
        <v>0</v>
      </c>
      <c r="O238" s="126">
        <f t="shared" ca="1" si="116"/>
        <v>0</v>
      </c>
      <c r="P238" s="127"/>
      <c r="Q238" s="12">
        <f t="shared" ca="1" si="117"/>
        <v>0</v>
      </c>
      <c r="R238" s="2">
        <f t="shared" si="118"/>
        <v>0</v>
      </c>
      <c r="S238" s="126">
        <f t="shared" ca="1" si="119"/>
        <v>0</v>
      </c>
      <c r="T238" s="127"/>
      <c r="U238" s="13">
        <f t="shared" ca="1" si="120"/>
        <v>0</v>
      </c>
      <c r="V238" s="2" t="str">
        <f t="shared" si="121"/>
        <v>Hip trust barra</v>
      </c>
      <c r="W238" s="126">
        <f t="shared" ca="1" si="122"/>
        <v>0</v>
      </c>
      <c r="X238" s="127"/>
      <c r="Y238" s="12">
        <f t="shared" ca="1" si="123"/>
        <v>0</v>
      </c>
      <c r="Z238" s="2">
        <f>Z24</f>
        <v>0</v>
      </c>
      <c r="AA238" s="126">
        <f ca="1">IF(TODAY()=$A$219,AA24*AB24*AC24,AA238)</f>
        <v>0</v>
      </c>
      <c r="AB238" s="127"/>
      <c r="AC238" s="12">
        <f ca="1">IF(TODAY()=$A$219,AC24,AC238)</f>
        <v>0</v>
      </c>
      <c r="AD238" s="140"/>
      <c r="AE238" s="140"/>
      <c r="AF238" s="140"/>
      <c r="AG238" s="140"/>
      <c r="AH238" s="161"/>
      <c r="AI238" s="136"/>
      <c r="AJ238" s="136"/>
    </row>
    <row r="239" spans="1:36" x14ac:dyDescent="0.25">
      <c r="A239" s="137"/>
      <c r="B239" s="2" t="str">
        <f t="shared" si="106"/>
        <v>Press plano</v>
      </c>
      <c r="C239" s="126">
        <f t="shared" ca="1" si="107"/>
        <v>0</v>
      </c>
      <c r="D239" s="127"/>
      <c r="E239" s="13">
        <f t="shared" ca="1" si="108"/>
        <v>0</v>
      </c>
      <c r="F239" s="2" t="str">
        <f t="shared" si="109"/>
        <v>Body ups</v>
      </c>
      <c r="G239" s="126">
        <f t="shared" ca="1" si="110"/>
        <v>0</v>
      </c>
      <c r="H239" s="127"/>
      <c r="I239" s="12">
        <f t="shared" ca="1" si="111"/>
        <v>0</v>
      </c>
      <c r="J239" s="2">
        <f t="shared" si="112"/>
        <v>0</v>
      </c>
      <c r="K239" s="126">
        <f t="shared" ca="1" si="113"/>
        <v>0</v>
      </c>
      <c r="L239" s="127"/>
      <c r="M239" s="12">
        <f t="shared" ca="1" si="114"/>
        <v>0</v>
      </c>
      <c r="N239" s="2">
        <f t="shared" si="115"/>
        <v>0</v>
      </c>
      <c r="O239" s="126">
        <f t="shared" ca="1" si="116"/>
        <v>0</v>
      </c>
      <c r="P239" s="127"/>
      <c r="Q239" s="12">
        <f t="shared" ca="1" si="117"/>
        <v>0</v>
      </c>
      <c r="R239" s="2">
        <f t="shared" si="118"/>
        <v>0</v>
      </c>
      <c r="S239" s="126">
        <f t="shared" ca="1" si="119"/>
        <v>0</v>
      </c>
      <c r="T239" s="127"/>
      <c r="U239" s="13">
        <f t="shared" ca="1" si="120"/>
        <v>0</v>
      </c>
      <c r="V239" s="2">
        <f t="shared" si="121"/>
        <v>0</v>
      </c>
      <c r="W239" s="126">
        <f t="shared" ca="1" si="122"/>
        <v>0</v>
      </c>
      <c r="X239" s="127"/>
      <c r="Y239" s="12">
        <f t="shared" ca="1" si="123"/>
        <v>0</v>
      </c>
      <c r="Z239" s="2">
        <f t="shared" si="124"/>
        <v>0</v>
      </c>
      <c r="AA239" s="126">
        <f t="shared" ca="1" si="125"/>
        <v>0</v>
      </c>
      <c r="AB239" s="127"/>
      <c r="AC239" s="12">
        <f t="shared" ca="1" si="126"/>
        <v>0</v>
      </c>
      <c r="AD239" s="140"/>
      <c r="AE239" s="140"/>
      <c r="AF239" s="140"/>
      <c r="AG239" s="140"/>
      <c r="AH239" s="161"/>
      <c r="AI239" s="136"/>
      <c r="AJ239" s="136"/>
    </row>
    <row r="240" spans="1:36" x14ac:dyDescent="0.25">
      <c r="A240" s="137"/>
      <c r="B240" s="2" t="str">
        <f t="shared" si="106"/>
        <v>Press plano mancuerna trifásico</v>
      </c>
      <c r="C240" s="126">
        <f t="shared" ca="1" si="107"/>
        <v>0</v>
      </c>
      <c r="D240" s="127"/>
      <c r="E240" s="13">
        <f t="shared" ca="1" si="108"/>
        <v>0</v>
      </c>
      <c r="F240" s="2" t="str">
        <f t="shared" si="109"/>
        <v>Fondos tríceps paralelas</v>
      </c>
      <c r="G240" s="126">
        <f t="shared" ca="1" si="110"/>
        <v>0</v>
      </c>
      <c r="H240" s="127"/>
      <c r="I240" s="12">
        <f t="shared" ca="1" si="111"/>
        <v>0</v>
      </c>
      <c r="J240" s="2">
        <f t="shared" si="112"/>
        <v>0</v>
      </c>
      <c r="K240" s="126">
        <f t="shared" ca="1" si="113"/>
        <v>0</v>
      </c>
      <c r="L240" s="127"/>
      <c r="M240" s="12">
        <f t="shared" ca="1" si="114"/>
        <v>0</v>
      </c>
      <c r="N240" s="2">
        <f t="shared" si="115"/>
        <v>0</v>
      </c>
      <c r="O240" s="126">
        <f t="shared" ca="1" si="116"/>
        <v>0</v>
      </c>
      <c r="P240" s="127"/>
      <c r="Q240" s="12">
        <f t="shared" ca="1" si="117"/>
        <v>0</v>
      </c>
      <c r="R240" s="2">
        <f t="shared" si="118"/>
        <v>0</v>
      </c>
      <c r="S240" s="126">
        <f t="shared" ca="1" si="119"/>
        <v>0</v>
      </c>
      <c r="T240" s="127"/>
      <c r="U240" s="13">
        <f t="shared" ca="1" si="120"/>
        <v>0</v>
      </c>
      <c r="V240" s="2">
        <f t="shared" si="121"/>
        <v>0</v>
      </c>
      <c r="W240" s="126">
        <f t="shared" ca="1" si="122"/>
        <v>0</v>
      </c>
      <c r="X240" s="127"/>
      <c r="Y240" s="12">
        <f t="shared" ca="1" si="123"/>
        <v>0</v>
      </c>
      <c r="Z240" s="2">
        <f t="shared" si="124"/>
        <v>0</v>
      </c>
      <c r="AA240" s="126">
        <f t="shared" ca="1" si="125"/>
        <v>0</v>
      </c>
      <c r="AB240" s="127"/>
      <c r="AC240" s="12">
        <f t="shared" ca="1" si="126"/>
        <v>0</v>
      </c>
      <c r="AD240" s="140"/>
      <c r="AE240" s="140"/>
      <c r="AF240" s="140"/>
      <c r="AG240" s="140"/>
      <c r="AH240" s="161"/>
      <c r="AI240" s="136"/>
      <c r="AJ240" s="136"/>
    </row>
    <row r="241" spans="1:36" x14ac:dyDescent="0.25">
      <c r="A241" s="137"/>
      <c r="B241" s="2" t="str">
        <f t="shared" si="106"/>
        <v>Press inclinado mancuerna</v>
      </c>
      <c r="C241" s="126">
        <f t="shared" ca="1" si="107"/>
        <v>0</v>
      </c>
      <c r="D241" s="127"/>
      <c r="E241" s="13">
        <f t="shared" ca="1" si="108"/>
        <v>0</v>
      </c>
      <c r="F241" s="2" t="str">
        <f t="shared" si="109"/>
        <v>Fondos máquina</v>
      </c>
      <c r="G241" s="126">
        <f t="shared" ca="1" si="110"/>
        <v>0</v>
      </c>
      <c r="H241" s="127"/>
      <c r="I241" s="12">
        <f t="shared" ca="1" si="111"/>
        <v>0</v>
      </c>
      <c r="J241" s="2">
        <f t="shared" si="112"/>
        <v>0</v>
      </c>
      <c r="K241" s="126">
        <f t="shared" ca="1" si="113"/>
        <v>0</v>
      </c>
      <c r="L241" s="127"/>
      <c r="M241" s="12">
        <f t="shared" ca="1" si="114"/>
        <v>0</v>
      </c>
      <c r="N241" s="2">
        <f t="shared" si="115"/>
        <v>0</v>
      </c>
      <c r="O241" s="126">
        <f t="shared" ca="1" si="116"/>
        <v>0</v>
      </c>
      <c r="P241" s="127"/>
      <c r="Q241" s="12">
        <f t="shared" ca="1" si="117"/>
        <v>0</v>
      </c>
      <c r="R241" s="2">
        <f t="shared" si="118"/>
        <v>0</v>
      </c>
      <c r="S241" s="126">
        <f t="shared" ca="1" si="119"/>
        <v>0</v>
      </c>
      <c r="T241" s="127"/>
      <c r="U241" s="13">
        <f t="shared" ca="1" si="120"/>
        <v>0</v>
      </c>
      <c r="V241" s="2">
        <f t="shared" si="121"/>
        <v>0</v>
      </c>
      <c r="W241" s="126">
        <f t="shared" ca="1" si="122"/>
        <v>0</v>
      </c>
      <c r="X241" s="127"/>
      <c r="Y241" s="12">
        <f t="shared" ca="1" si="123"/>
        <v>0</v>
      </c>
      <c r="Z241" s="2">
        <f t="shared" si="124"/>
        <v>0</v>
      </c>
      <c r="AA241" s="126">
        <f t="shared" ca="1" si="125"/>
        <v>0</v>
      </c>
      <c r="AB241" s="127"/>
      <c r="AC241" s="12">
        <f t="shared" ca="1" si="126"/>
        <v>0</v>
      </c>
      <c r="AD241" s="140"/>
      <c r="AE241" s="140"/>
      <c r="AF241" s="140"/>
      <c r="AG241" s="140"/>
      <c r="AH241" s="161"/>
      <c r="AI241" s="136"/>
      <c r="AJ241" s="136"/>
    </row>
    <row r="242" spans="1:36" x14ac:dyDescent="0.25">
      <c r="A242" s="137"/>
      <c r="B242" s="2" t="str">
        <f t="shared" si="106"/>
        <v>Vuelos máquina</v>
      </c>
      <c r="C242" s="126">
        <f t="shared" ca="1" si="107"/>
        <v>0</v>
      </c>
      <c r="D242" s="127"/>
      <c r="E242" s="13">
        <f t="shared" ca="1" si="108"/>
        <v>0</v>
      </c>
      <c r="F242" s="2" t="str">
        <f t="shared" si="109"/>
        <v>Extensión tríceps polea</v>
      </c>
      <c r="G242" s="126">
        <f t="shared" ca="1" si="110"/>
        <v>0</v>
      </c>
      <c r="H242" s="127"/>
      <c r="I242" s="12">
        <f t="shared" ca="1" si="111"/>
        <v>0</v>
      </c>
      <c r="J242" s="2">
        <f t="shared" si="112"/>
        <v>0</v>
      </c>
      <c r="K242" s="126">
        <f t="shared" ca="1" si="113"/>
        <v>0</v>
      </c>
      <c r="L242" s="127"/>
      <c r="M242" s="12">
        <f t="shared" ca="1" si="114"/>
        <v>0</v>
      </c>
      <c r="N242" s="2">
        <f t="shared" si="115"/>
        <v>0</v>
      </c>
      <c r="O242" s="126">
        <f t="shared" ca="1" si="116"/>
        <v>0</v>
      </c>
      <c r="P242" s="127"/>
      <c r="Q242" s="12">
        <f t="shared" ca="1" si="117"/>
        <v>0</v>
      </c>
      <c r="R242" s="2">
        <f t="shared" si="118"/>
        <v>0</v>
      </c>
      <c r="S242" s="126">
        <f t="shared" ca="1" si="119"/>
        <v>0</v>
      </c>
      <c r="T242" s="127"/>
      <c r="U242" s="13">
        <f t="shared" ca="1" si="120"/>
        <v>0</v>
      </c>
      <c r="V242" s="2">
        <f t="shared" si="121"/>
        <v>0</v>
      </c>
      <c r="W242" s="126">
        <f t="shared" ca="1" si="122"/>
        <v>0</v>
      </c>
      <c r="X242" s="127"/>
      <c r="Y242" s="12">
        <f t="shared" ca="1" si="123"/>
        <v>0</v>
      </c>
      <c r="Z242" s="2">
        <f t="shared" si="124"/>
        <v>0</v>
      </c>
      <c r="AA242" s="126">
        <f t="shared" ca="1" si="125"/>
        <v>0</v>
      </c>
      <c r="AB242" s="127"/>
      <c r="AC242" s="12">
        <f t="shared" ca="1" si="126"/>
        <v>0</v>
      </c>
      <c r="AD242" s="140"/>
      <c r="AE242" s="140"/>
      <c r="AF242" s="140"/>
      <c r="AG242" s="140"/>
      <c r="AH242" s="161"/>
      <c r="AI242" s="136"/>
      <c r="AJ242" s="136"/>
    </row>
    <row r="243" spans="1:36" x14ac:dyDescent="0.25">
      <c r="A243" s="137"/>
      <c r="B243" s="2" t="str">
        <f t="shared" si="106"/>
        <v>Pullover pecho mancuerna</v>
      </c>
      <c r="C243" s="126">
        <f t="shared" ca="1" si="107"/>
        <v>0</v>
      </c>
      <c r="D243" s="127"/>
      <c r="E243" s="13">
        <f t="shared" ca="1" si="108"/>
        <v>0</v>
      </c>
      <c r="F243" s="2">
        <f t="shared" si="109"/>
        <v>0</v>
      </c>
      <c r="G243" s="126">
        <f t="shared" ca="1" si="110"/>
        <v>0</v>
      </c>
      <c r="H243" s="127"/>
      <c r="I243" s="12">
        <f t="shared" ca="1" si="111"/>
        <v>0</v>
      </c>
      <c r="J243" s="2">
        <f t="shared" si="112"/>
        <v>0</v>
      </c>
      <c r="K243" s="126">
        <f t="shared" ca="1" si="113"/>
        <v>0</v>
      </c>
      <c r="L243" s="127"/>
      <c r="M243" s="12">
        <f t="shared" ca="1" si="114"/>
        <v>0</v>
      </c>
      <c r="N243" s="2">
        <f t="shared" si="115"/>
        <v>0</v>
      </c>
      <c r="O243" s="126">
        <f t="shared" ca="1" si="116"/>
        <v>0</v>
      </c>
      <c r="P243" s="127"/>
      <c r="Q243" s="12">
        <f t="shared" ca="1" si="117"/>
        <v>0</v>
      </c>
      <c r="R243" s="2">
        <f t="shared" si="118"/>
        <v>0</v>
      </c>
      <c r="S243" s="126">
        <f t="shared" ca="1" si="119"/>
        <v>0</v>
      </c>
      <c r="T243" s="127"/>
      <c r="U243" s="13">
        <f t="shared" ca="1" si="120"/>
        <v>0</v>
      </c>
      <c r="V243" s="2">
        <f t="shared" si="121"/>
        <v>0</v>
      </c>
      <c r="W243" s="126">
        <f t="shared" ca="1" si="122"/>
        <v>0</v>
      </c>
      <c r="X243" s="127"/>
      <c r="Y243" s="12">
        <f t="shared" ca="1" si="123"/>
        <v>0</v>
      </c>
      <c r="Z243" s="2">
        <f t="shared" si="124"/>
        <v>0</v>
      </c>
      <c r="AA243" s="126">
        <f t="shared" ca="1" si="125"/>
        <v>0</v>
      </c>
      <c r="AB243" s="127"/>
      <c r="AC243" s="12">
        <f t="shared" ca="1" si="126"/>
        <v>0</v>
      </c>
      <c r="AD243" s="140"/>
      <c r="AE243" s="140"/>
      <c r="AF243" s="140"/>
      <c r="AG243" s="140"/>
      <c r="AH243" s="161"/>
      <c r="AI243" s="136"/>
      <c r="AJ243" s="136"/>
    </row>
    <row r="244" spans="1:36" x14ac:dyDescent="0.25">
      <c r="A244" s="137"/>
      <c r="B244" s="2">
        <f t="shared" si="106"/>
        <v>0</v>
      </c>
      <c r="C244" s="126">
        <f t="shared" ca="1" si="107"/>
        <v>0</v>
      </c>
      <c r="D244" s="127"/>
      <c r="E244" s="13">
        <f t="shared" ca="1" si="108"/>
        <v>0</v>
      </c>
      <c r="F244" s="2">
        <f t="shared" si="109"/>
        <v>0</v>
      </c>
      <c r="G244" s="126">
        <f t="shared" ca="1" si="110"/>
        <v>0</v>
      </c>
      <c r="H244" s="127"/>
      <c r="I244" s="12">
        <f t="shared" ca="1" si="111"/>
        <v>0</v>
      </c>
      <c r="J244" s="2" t="str">
        <f t="shared" si="112"/>
        <v>Pullups</v>
      </c>
      <c r="K244" s="126">
        <f t="shared" ca="1" si="113"/>
        <v>0</v>
      </c>
      <c r="L244" s="127"/>
      <c r="M244" s="12">
        <f t="shared" ca="1" si="114"/>
        <v>0</v>
      </c>
      <c r="N244" s="2" t="str">
        <f t="shared" si="115"/>
        <v>Curl spider</v>
      </c>
      <c r="O244" s="126">
        <f t="shared" ca="1" si="116"/>
        <v>0</v>
      </c>
      <c r="P244" s="127"/>
      <c r="Q244" s="12">
        <f t="shared" ca="1" si="117"/>
        <v>0</v>
      </c>
      <c r="R244" s="2">
        <f t="shared" si="118"/>
        <v>0</v>
      </c>
      <c r="S244" s="126">
        <f t="shared" ca="1" si="119"/>
        <v>0</v>
      </c>
      <c r="T244" s="127"/>
      <c r="U244" s="13">
        <f t="shared" ca="1" si="120"/>
        <v>0</v>
      </c>
      <c r="V244" s="2">
        <f t="shared" si="121"/>
        <v>0</v>
      </c>
      <c r="W244" s="126">
        <f t="shared" ca="1" si="122"/>
        <v>0</v>
      </c>
      <c r="X244" s="127"/>
      <c r="Y244" s="12">
        <f t="shared" ca="1" si="123"/>
        <v>0</v>
      </c>
      <c r="Z244" s="2">
        <f t="shared" si="124"/>
        <v>0</v>
      </c>
      <c r="AA244" s="126">
        <f t="shared" ca="1" si="125"/>
        <v>0</v>
      </c>
      <c r="AB244" s="127"/>
      <c r="AC244" s="12">
        <f t="shared" ca="1" si="126"/>
        <v>0</v>
      </c>
      <c r="AD244" s="140"/>
      <c r="AE244" s="140"/>
      <c r="AF244" s="140"/>
      <c r="AG244" s="140"/>
      <c r="AH244" s="161"/>
      <c r="AI244" s="136"/>
      <c r="AJ244" s="136"/>
    </row>
    <row r="245" spans="1:36" x14ac:dyDescent="0.25">
      <c r="A245" s="137"/>
      <c r="B245" s="2">
        <f t="shared" si="106"/>
        <v>0</v>
      </c>
      <c r="C245" s="126">
        <f t="shared" ca="1" si="107"/>
        <v>0</v>
      </c>
      <c r="D245" s="127"/>
      <c r="E245" s="13">
        <f t="shared" ca="1" si="108"/>
        <v>0</v>
      </c>
      <c r="F245" s="2">
        <f t="shared" si="109"/>
        <v>0</v>
      </c>
      <c r="G245" s="126">
        <f t="shared" ca="1" si="110"/>
        <v>0</v>
      </c>
      <c r="H245" s="127"/>
      <c r="I245" s="12">
        <f t="shared" ca="1" si="111"/>
        <v>0</v>
      </c>
      <c r="J245" s="2" t="str">
        <f t="shared" si="112"/>
        <v>Remo mancuerna banco inclinado</v>
      </c>
      <c r="K245" s="126">
        <f t="shared" ca="1" si="113"/>
        <v>0</v>
      </c>
      <c r="L245" s="127"/>
      <c r="M245" s="12">
        <f t="shared" ca="1" si="114"/>
        <v>0</v>
      </c>
      <c r="N245" s="2" t="str">
        <f t="shared" si="115"/>
        <v>Curl invertido barra z</v>
      </c>
      <c r="O245" s="126">
        <f t="shared" ca="1" si="116"/>
        <v>0</v>
      </c>
      <c r="P245" s="127"/>
      <c r="Q245" s="12">
        <f t="shared" ca="1" si="117"/>
        <v>0</v>
      </c>
      <c r="R245" s="2">
        <f t="shared" si="118"/>
        <v>0</v>
      </c>
      <c r="S245" s="126">
        <f t="shared" ca="1" si="119"/>
        <v>0</v>
      </c>
      <c r="T245" s="127"/>
      <c r="U245" s="13">
        <f t="shared" ca="1" si="120"/>
        <v>0</v>
      </c>
      <c r="V245" s="2">
        <f t="shared" si="121"/>
        <v>0</v>
      </c>
      <c r="W245" s="126">
        <f t="shared" ca="1" si="122"/>
        <v>0</v>
      </c>
      <c r="X245" s="127"/>
      <c r="Y245" s="12">
        <f t="shared" ca="1" si="123"/>
        <v>0</v>
      </c>
      <c r="Z245" s="2">
        <f t="shared" si="124"/>
        <v>0</v>
      </c>
      <c r="AA245" s="126">
        <f t="shared" ca="1" si="125"/>
        <v>0</v>
      </c>
      <c r="AB245" s="127"/>
      <c r="AC245" s="12">
        <f t="shared" ca="1" si="126"/>
        <v>0</v>
      </c>
      <c r="AD245" s="140"/>
      <c r="AE245" s="140"/>
      <c r="AF245" s="140"/>
      <c r="AG245" s="140"/>
      <c r="AH245" s="161"/>
      <c r="AI245" s="136"/>
      <c r="AJ245" s="136"/>
    </row>
    <row r="246" spans="1:36" x14ac:dyDescent="0.25">
      <c r="A246" s="137"/>
      <c r="B246" s="2">
        <f t="shared" si="106"/>
        <v>0</v>
      </c>
      <c r="C246" s="126">
        <f t="shared" ca="1" si="107"/>
        <v>0</v>
      </c>
      <c r="D246" s="127"/>
      <c r="E246" s="13">
        <f t="shared" ca="1" si="108"/>
        <v>0</v>
      </c>
      <c r="F246" s="2">
        <f t="shared" si="109"/>
        <v>0</v>
      </c>
      <c r="G246" s="126">
        <f t="shared" ca="1" si="110"/>
        <v>0</v>
      </c>
      <c r="H246" s="127"/>
      <c r="I246" s="12">
        <f t="shared" ca="1" si="111"/>
        <v>0</v>
      </c>
      <c r="J246" s="2" t="str">
        <f t="shared" si="112"/>
        <v>Pulldown polea sentado agarre en v</v>
      </c>
      <c r="K246" s="126">
        <f t="shared" ca="1" si="113"/>
        <v>0</v>
      </c>
      <c r="L246" s="127"/>
      <c r="M246" s="12">
        <f t="shared" ca="1" si="114"/>
        <v>0</v>
      </c>
      <c r="N246" s="2" t="str">
        <f t="shared" si="115"/>
        <v>Predicador barra</v>
      </c>
      <c r="O246" s="126">
        <f t="shared" ca="1" si="116"/>
        <v>0</v>
      </c>
      <c r="P246" s="127"/>
      <c r="Q246" s="12">
        <f t="shared" ca="1" si="117"/>
        <v>0</v>
      </c>
      <c r="R246" s="2">
        <f t="shared" si="118"/>
        <v>0</v>
      </c>
      <c r="S246" s="126">
        <f t="shared" ca="1" si="119"/>
        <v>0</v>
      </c>
      <c r="T246" s="127"/>
      <c r="U246" s="13">
        <f t="shared" ca="1" si="120"/>
        <v>0</v>
      </c>
      <c r="V246" s="2">
        <f t="shared" si="121"/>
        <v>0</v>
      </c>
      <c r="W246" s="126">
        <f t="shared" ca="1" si="122"/>
        <v>0</v>
      </c>
      <c r="X246" s="127"/>
      <c r="Y246" s="12">
        <f t="shared" ca="1" si="123"/>
        <v>0</v>
      </c>
      <c r="Z246" s="2">
        <f t="shared" si="124"/>
        <v>0</v>
      </c>
      <c r="AA246" s="126">
        <f t="shared" ca="1" si="125"/>
        <v>0</v>
      </c>
      <c r="AB246" s="127"/>
      <c r="AC246" s="12">
        <f t="shared" ca="1" si="126"/>
        <v>0</v>
      </c>
      <c r="AD246" s="140"/>
      <c r="AE246" s="140"/>
      <c r="AF246" s="140"/>
      <c r="AG246" s="140"/>
      <c r="AH246" s="161"/>
      <c r="AI246" s="136"/>
      <c r="AJ246" s="136"/>
    </row>
    <row r="247" spans="1:36" x14ac:dyDescent="0.25">
      <c r="A247" s="137"/>
      <c r="B247" s="2">
        <f t="shared" si="106"/>
        <v>0</v>
      </c>
      <c r="C247" s="126">
        <f t="shared" ca="1" si="107"/>
        <v>0</v>
      </c>
      <c r="D247" s="127"/>
      <c r="E247" s="13">
        <f t="shared" ca="1" si="108"/>
        <v>0</v>
      </c>
      <c r="F247" s="2">
        <f t="shared" si="109"/>
        <v>0</v>
      </c>
      <c r="G247" s="126">
        <f t="shared" ca="1" si="110"/>
        <v>0</v>
      </c>
      <c r="H247" s="127"/>
      <c r="I247" s="12">
        <f t="shared" ca="1" si="111"/>
        <v>0</v>
      </c>
      <c r="J247" s="2" t="str">
        <f t="shared" si="112"/>
        <v>Remo landmine</v>
      </c>
      <c r="K247" s="126">
        <f t="shared" ca="1" si="113"/>
        <v>0</v>
      </c>
      <c r="L247" s="127"/>
      <c r="M247" s="12">
        <f t="shared" ca="1" si="114"/>
        <v>0</v>
      </c>
      <c r="N247" s="2" t="str">
        <f t="shared" si="115"/>
        <v>Curl mancuerna sentado inclinado</v>
      </c>
      <c r="O247" s="126">
        <f t="shared" ca="1" si="116"/>
        <v>0</v>
      </c>
      <c r="P247" s="127"/>
      <c r="Q247" s="12">
        <f t="shared" ca="1" si="117"/>
        <v>0</v>
      </c>
      <c r="R247" s="2">
        <f t="shared" si="118"/>
        <v>0</v>
      </c>
      <c r="S247" s="126">
        <f t="shared" ca="1" si="119"/>
        <v>0</v>
      </c>
      <c r="T247" s="127"/>
      <c r="U247" s="13">
        <f t="shared" ca="1" si="120"/>
        <v>0</v>
      </c>
      <c r="V247" s="2">
        <f t="shared" si="121"/>
        <v>0</v>
      </c>
      <c r="W247" s="126">
        <f t="shared" ca="1" si="122"/>
        <v>0</v>
      </c>
      <c r="X247" s="127"/>
      <c r="Y247" s="12">
        <f t="shared" ca="1" si="123"/>
        <v>0</v>
      </c>
      <c r="Z247" s="2">
        <f t="shared" si="124"/>
        <v>0</v>
      </c>
      <c r="AA247" s="126">
        <f t="shared" ca="1" si="125"/>
        <v>0</v>
      </c>
      <c r="AB247" s="127"/>
      <c r="AC247" s="12">
        <f t="shared" ca="1" si="126"/>
        <v>0</v>
      </c>
      <c r="AD247" s="140"/>
      <c r="AE247" s="140"/>
      <c r="AF247" s="140"/>
      <c r="AG247" s="140"/>
      <c r="AH247" s="161"/>
      <c r="AI247" s="136"/>
      <c r="AJ247" s="136"/>
    </row>
    <row r="248" spans="1:36" x14ac:dyDescent="0.25">
      <c r="A248" s="137"/>
      <c r="B248" s="2">
        <f t="shared" si="106"/>
        <v>0</v>
      </c>
      <c r="C248" s="126">
        <f t="shared" ca="1" si="107"/>
        <v>0</v>
      </c>
      <c r="D248" s="127"/>
      <c r="E248" s="13">
        <f t="shared" ca="1" si="108"/>
        <v>0</v>
      </c>
      <c r="F248" s="2">
        <f t="shared" si="109"/>
        <v>0</v>
      </c>
      <c r="G248" s="126">
        <f t="shared" ca="1" si="110"/>
        <v>0</v>
      </c>
      <c r="H248" s="127"/>
      <c r="I248" s="12">
        <f t="shared" ca="1" si="111"/>
        <v>0</v>
      </c>
      <c r="J248" s="2" t="str">
        <f t="shared" si="112"/>
        <v>Plancha paracaídas</v>
      </c>
      <c r="K248" s="126">
        <f t="shared" ca="1" si="113"/>
        <v>0</v>
      </c>
      <c r="L248" s="127"/>
      <c r="M248" s="12">
        <f t="shared" ca="1" si="114"/>
        <v>0</v>
      </c>
      <c r="N248" s="2">
        <f t="shared" si="115"/>
        <v>0</v>
      </c>
      <c r="O248" s="126">
        <f t="shared" ca="1" si="116"/>
        <v>0</v>
      </c>
      <c r="P248" s="127"/>
      <c r="Q248" s="12">
        <f t="shared" ca="1" si="117"/>
        <v>0</v>
      </c>
      <c r="R248" s="2">
        <f t="shared" si="118"/>
        <v>0</v>
      </c>
      <c r="S248" s="126">
        <f t="shared" ca="1" si="119"/>
        <v>0</v>
      </c>
      <c r="T248" s="127"/>
      <c r="U248" s="13">
        <f t="shared" ca="1" si="120"/>
        <v>0</v>
      </c>
      <c r="V248" s="2">
        <f t="shared" si="121"/>
        <v>0</v>
      </c>
      <c r="W248" s="126">
        <f t="shared" ca="1" si="122"/>
        <v>0</v>
      </c>
      <c r="X248" s="127"/>
      <c r="Y248" s="12">
        <f t="shared" ca="1" si="123"/>
        <v>0</v>
      </c>
      <c r="Z248" s="2">
        <f t="shared" si="124"/>
        <v>0</v>
      </c>
      <c r="AA248" s="126">
        <f t="shared" ca="1" si="125"/>
        <v>0</v>
      </c>
      <c r="AB248" s="127"/>
      <c r="AC248" s="12">
        <f t="shared" ca="1" si="126"/>
        <v>0</v>
      </c>
      <c r="AD248" s="140"/>
      <c r="AE248" s="140"/>
      <c r="AF248" s="140"/>
      <c r="AG248" s="140"/>
      <c r="AH248" s="161"/>
      <c r="AI248" s="136"/>
      <c r="AJ248" s="136"/>
    </row>
    <row r="249" spans="1:36" x14ac:dyDescent="0.25">
      <c r="A249" s="137"/>
      <c r="B249" s="2">
        <f t="shared" si="106"/>
        <v>0</v>
      </c>
      <c r="C249" s="126">
        <f t="shared" ca="1" si="107"/>
        <v>0</v>
      </c>
      <c r="D249" s="127"/>
      <c r="E249" s="13">
        <f t="shared" ca="1" si="108"/>
        <v>0</v>
      </c>
      <c r="F249" s="2">
        <f t="shared" si="109"/>
        <v>0</v>
      </c>
      <c r="G249" s="126">
        <f t="shared" ca="1" si="110"/>
        <v>0</v>
      </c>
      <c r="H249" s="127"/>
      <c r="I249" s="12">
        <f t="shared" ca="1" si="111"/>
        <v>0</v>
      </c>
      <c r="J249" s="2">
        <f t="shared" si="112"/>
        <v>0</v>
      </c>
      <c r="K249" s="126">
        <f t="shared" ca="1" si="113"/>
        <v>0</v>
      </c>
      <c r="L249" s="127"/>
      <c r="M249" s="12">
        <f t="shared" ca="1" si="114"/>
        <v>0</v>
      </c>
      <c r="N249" s="2">
        <f t="shared" si="115"/>
        <v>0</v>
      </c>
      <c r="O249" s="126">
        <f t="shared" ca="1" si="116"/>
        <v>0</v>
      </c>
      <c r="P249" s="127"/>
      <c r="Q249" s="12">
        <f t="shared" ca="1" si="117"/>
        <v>0</v>
      </c>
      <c r="R249" s="2" t="str">
        <f t="shared" si="118"/>
        <v>Press hombro mancuerna sentado</v>
      </c>
      <c r="S249" s="126">
        <f t="shared" ca="1" si="119"/>
        <v>0</v>
      </c>
      <c r="T249" s="127"/>
      <c r="U249" s="13">
        <f t="shared" ca="1" si="120"/>
        <v>0</v>
      </c>
      <c r="V249" s="2">
        <f t="shared" si="121"/>
        <v>0</v>
      </c>
      <c r="W249" s="126">
        <f t="shared" ca="1" si="122"/>
        <v>0</v>
      </c>
      <c r="X249" s="127"/>
      <c r="Y249" s="12">
        <f t="shared" ca="1" si="123"/>
        <v>0</v>
      </c>
      <c r="Z249" s="2" t="str">
        <f>Z35</f>
        <v>Otis-up</v>
      </c>
      <c r="AA249" s="126">
        <f ca="1">IF(TODAY()=$A$219,AA35*AB35*AC35,AA249)</f>
        <v>0</v>
      </c>
      <c r="AB249" s="127"/>
      <c r="AC249" s="12">
        <f ca="1">IF(TODAY()=$A$219,AC35,AC249)</f>
        <v>0</v>
      </c>
      <c r="AD249" s="140"/>
      <c r="AE249" s="140"/>
      <c r="AF249" s="140"/>
      <c r="AG249" s="140"/>
      <c r="AH249" s="161"/>
      <c r="AI249" s="136"/>
      <c r="AJ249" s="136"/>
    </row>
    <row r="250" spans="1:36" x14ac:dyDescent="0.25">
      <c r="A250" s="137"/>
      <c r="B250" s="2">
        <f t="shared" si="106"/>
        <v>0</v>
      </c>
      <c r="C250" s="126">
        <f t="shared" ca="1" si="107"/>
        <v>0</v>
      </c>
      <c r="D250" s="127"/>
      <c r="E250" s="13">
        <f t="shared" ca="1" si="108"/>
        <v>0</v>
      </c>
      <c r="F250" s="2">
        <f t="shared" si="109"/>
        <v>0</v>
      </c>
      <c r="G250" s="126">
        <f t="shared" ca="1" si="110"/>
        <v>0</v>
      </c>
      <c r="H250" s="127"/>
      <c r="I250" s="12">
        <f t="shared" ca="1" si="111"/>
        <v>0</v>
      </c>
      <c r="J250" s="2">
        <f t="shared" si="112"/>
        <v>0</v>
      </c>
      <c r="K250" s="126">
        <f t="shared" ca="1" si="113"/>
        <v>0</v>
      </c>
      <c r="L250" s="127"/>
      <c r="M250" s="12">
        <f t="shared" ca="1" si="114"/>
        <v>0</v>
      </c>
      <c r="N250" s="2">
        <f t="shared" si="115"/>
        <v>0</v>
      </c>
      <c r="O250" s="126">
        <f t="shared" ca="1" si="116"/>
        <v>0</v>
      </c>
      <c r="P250" s="127"/>
      <c r="Q250" s="12">
        <f t="shared" ca="1" si="117"/>
        <v>0</v>
      </c>
      <c r="R250" s="2" t="str">
        <f t="shared" si="118"/>
        <v>Elevaciones laterales mancuerna banco inclinado</v>
      </c>
      <c r="S250" s="126">
        <f t="shared" ca="1" si="119"/>
        <v>0</v>
      </c>
      <c r="T250" s="127"/>
      <c r="U250" s="13">
        <f t="shared" ca="1" si="120"/>
        <v>0</v>
      </c>
      <c r="V250" s="2">
        <f t="shared" si="121"/>
        <v>0</v>
      </c>
      <c r="W250" s="126">
        <f t="shared" ca="1" si="122"/>
        <v>0</v>
      </c>
      <c r="X250" s="127"/>
      <c r="Y250" s="12">
        <f t="shared" ca="1" si="123"/>
        <v>0</v>
      </c>
      <c r="Z250" s="2" t="str">
        <f>Z36</f>
        <v>V-ups</v>
      </c>
      <c r="AA250" s="126">
        <f ca="1">IF(TODAY()=$A$219,AA36*AB36*AC36,AA250)</f>
        <v>0</v>
      </c>
      <c r="AB250" s="127"/>
      <c r="AC250" s="12">
        <f ca="1">IF(TODAY()=$A$219,AC36,AC250)</f>
        <v>0</v>
      </c>
      <c r="AD250" s="140"/>
      <c r="AE250" s="140"/>
      <c r="AF250" s="140"/>
      <c r="AG250" s="140"/>
      <c r="AH250" s="161"/>
      <c r="AI250" s="136"/>
      <c r="AJ250" s="136"/>
    </row>
    <row r="251" spans="1:36" x14ac:dyDescent="0.25">
      <c r="A251" s="137"/>
      <c r="B251" s="2">
        <f t="shared" si="106"/>
        <v>0</v>
      </c>
      <c r="C251" s="126">
        <f t="shared" ca="1" si="107"/>
        <v>0</v>
      </c>
      <c r="D251" s="127"/>
      <c r="E251" s="13">
        <f t="shared" ca="1" si="108"/>
        <v>0</v>
      </c>
      <c r="F251" s="2">
        <f t="shared" si="109"/>
        <v>0</v>
      </c>
      <c r="G251" s="126">
        <f t="shared" ca="1" si="110"/>
        <v>0</v>
      </c>
      <c r="H251" s="127"/>
      <c r="I251" s="12">
        <f t="shared" ca="1" si="111"/>
        <v>0</v>
      </c>
      <c r="J251" s="2">
        <f t="shared" si="112"/>
        <v>0</v>
      </c>
      <c r="K251" s="126">
        <f t="shared" ca="1" si="113"/>
        <v>0</v>
      </c>
      <c r="L251" s="127"/>
      <c r="M251" s="12">
        <f t="shared" ca="1" si="114"/>
        <v>0</v>
      </c>
      <c r="N251" s="2">
        <f t="shared" si="115"/>
        <v>0</v>
      </c>
      <c r="O251" s="126">
        <f t="shared" ca="1" si="116"/>
        <v>0</v>
      </c>
      <c r="P251" s="127"/>
      <c r="Q251" s="12">
        <f t="shared" ca="1" si="117"/>
        <v>0</v>
      </c>
      <c r="R251" s="2" t="str">
        <f t="shared" si="118"/>
        <v>Elevaciones frontales barra banco inclinado</v>
      </c>
      <c r="S251" s="126">
        <f t="shared" ca="1" si="119"/>
        <v>0</v>
      </c>
      <c r="T251" s="127"/>
      <c r="U251" s="13">
        <f t="shared" ca="1" si="120"/>
        <v>0</v>
      </c>
      <c r="V251" s="2">
        <f t="shared" si="121"/>
        <v>0</v>
      </c>
      <c r="W251" s="126">
        <f t="shared" ca="1" si="122"/>
        <v>0</v>
      </c>
      <c r="X251" s="127"/>
      <c r="Y251" s="12">
        <f t="shared" ca="1" si="123"/>
        <v>0</v>
      </c>
      <c r="Z251" s="2" t="str">
        <f>Z37</f>
        <v>Butt-ups</v>
      </c>
      <c r="AA251" s="126">
        <f ca="1">IF(TODAY()=$A$219,AA37*AB37*AC37,AA251)</f>
        <v>0</v>
      </c>
      <c r="AB251" s="127"/>
      <c r="AC251" s="12">
        <f ca="1">IF(TODAY()=$A$219,AC37,AC251)</f>
        <v>0</v>
      </c>
      <c r="AD251" s="140"/>
      <c r="AE251" s="140"/>
      <c r="AF251" s="140"/>
      <c r="AG251" s="140"/>
      <c r="AH251" s="161"/>
      <c r="AI251" s="136"/>
      <c r="AJ251" s="136"/>
    </row>
    <row r="252" spans="1:36" x14ac:dyDescent="0.25">
      <c r="A252" s="137"/>
      <c r="B252" s="2">
        <f t="shared" si="106"/>
        <v>0</v>
      </c>
      <c r="C252" s="126">
        <f t="shared" ca="1" si="107"/>
        <v>0</v>
      </c>
      <c r="D252" s="127"/>
      <c r="E252" s="13">
        <f t="shared" ca="1" si="108"/>
        <v>0</v>
      </c>
      <c r="F252" s="2">
        <f t="shared" si="109"/>
        <v>0</v>
      </c>
      <c r="G252" s="126">
        <f t="shared" ca="1" si="110"/>
        <v>0</v>
      </c>
      <c r="H252" s="127"/>
      <c r="I252" s="12">
        <f t="shared" ca="1" si="111"/>
        <v>0</v>
      </c>
      <c r="J252" s="2">
        <f t="shared" si="112"/>
        <v>0</v>
      </c>
      <c r="K252" s="126">
        <f t="shared" ca="1" si="113"/>
        <v>0</v>
      </c>
      <c r="L252" s="127"/>
      <c r="M252" s="12">
        <f t="shared" ca="1" si="114"/>
        <v>0</v>
      </c>
      <c r="N252" s="2">
        <f t="shared" si="115"/>
        <v>0</v>
      </c>
      <c r="O252" s="126">
        <f t="shared" ca="1" si="116"/>
        <v>0</v>
      </c>
      <c r="P252" s="127"/>
      <c r="Q252" s="12">
        <f t="shared" ca="1" si="117"/>
        <v>0</v>
      </c>
      <c r="R252" s="2" t="str">
        <f t="shared" si="118"/>
        <v>Press arnold</v>
      </c>
      <c r="S252" s="126">
        <f t="shared" ca="1" si="119"/>
        <v>0</v>
      </c>
      <c r="T252" s="127"/>
      <c r="U252" s="13">
        <f t="shared" ca="1" si="120"/>
        <v>0</v>
      </c>
      <c r="V252" s="2">
        <f t="shared" si="121"/>
        <v>0</v>
      </c>
      <c r="W252" s="126">
        <f t="shared" ca="1" si="122"/>
        <v>0</v>
      </c>
      <c r="X252" s="127"/>
      <c r="Y252" s="12">
        <f t="shared" ca="1" si="123"/>
        <v>0</v>
      </c>
      <c r="Z252" s="2" t="str">
        <f>Z38</f>
        <v>Full moon</v>
      </c>
      <c r="AA252" s="126">
        <f ca="1">IF(TODAY()=$A$219,AA38*AB38*AC38,AA252)</f>
        <v>0</v>
      </c>
      <c r="AB252" s="127"/>
      <c r="AC252" s="12">
        <f ca="1">IF(TODAY()=$A$219,AC38,AC252)</f>
        <v>0</v>
      </c>
      <c r="AD252" s="140"/>
      <c r="AE252" s="140"/>
      <c r="AF252" s="140"/>
      <c r="AG252" s="140"/>
      <c r="AH252" s="161"/>
      <c r="AI252" s="136"/>
      <c r="AJ252" s="136"/>
    </row>
    <row r="253" spans="1:36" x14ac:dyDescent="0.25">
      <c r="A253" s="138"/>
      <c r="B253" s="2">
        <f t="shared" si="106"/>
        <v>0</v>
      </c>
      <c r="C253" s="126">
        <f t="shared" ca="1" si="107"/>
        <v>0</v>
      </c>
      <c r="D253" s="127"/>
      <c r="E253" s="13">
        <f t="shared" ca="1" si="108"/>
        <v>0</v>
      </c>
      <c r="F253" s="2">
        <f t="shared" si="109"/>
        <v>0</v>
      </c>
      <c r="G253" s="126">
        <f t="shared" ca="1" si="110"/>
        <v>0</v>
      </c>
      <c r="H253" s="127"/>
      <c r="I253" s="12">
        <f t="shared" ca="1" si="111"/>
        <v>0</v>
      </c>
      <c r="J253" s="2">
        <f t="shared" si="112"/>
        <v>0</v>
      </c>
      <c r="K253" s="126">
        <f t="shared" ca="1" si="113"/>
        <v>0</v>
      </c>
      <c r="L253" s="127"/>
      <c r="M253" s="12">
        <f t="shared" ca="1" si="114"/>
        <v>0</v>
      </c>
      <c r="N253" s="2">
        <f t="shared" si="115"/>
        <v>0</v>
      </c>
      <c r="O253" s="126">
        <f t="shared" ca="1" si="116"/>
        <v>0</v>
      </c>
      <c r="P253" s="127"/>
      <c r="Q253" s="12">
        <f t="shared" ca="1" si="117"/>
        <v>0</v>
      </c>
      <c r="R253" s="2">
        <f t="shared" si="118"/>
        <v>0</v>
      </c>
      <c r="S253" s="126">
        <f t="shared" ca="1" si="119"/>
        <v>0</v>
      </c>
      <c r="T253" s="127"/>
      <c r="U253" s="13">
        <f t="shared" ca="1" si="120"/>
        <v>0</v>
      </c>
      <c r="V253" s="2">
        <f t="shared" si="121"/>
        <v>0</v>
      </c>
      <c r="W253" s="126">
        <f t="shared" ca="1" si="122"/>
        <v>0</v>
      </c>
      <c r="X253" s="127"/>
      <c r="Y253" s="12">
        <f t="shared" ca="1" si="123"/>
        <v>0</v>
      </c>
      <c r="Z253" s="2" t="str">
        <f>Z39</f>
        <v>Plancha</v>
      </c>
      <c r="AA253" s="126">
        <f ca="1">IF(TODAY()=$A$184,AA74*AB74*AC74,AA253)</f>
        <v>0</v>
      </c>
      <c r="AB253" s="127"/>
      <c r="AC253" s="12">
        <f ca="1">IF(TODAY()=$A$219,AC39,AC253)</f>
        <v>0</v>
      </c>
      <c r="AD253" s="140"/>
      <c r="AE253" s="140"/>
      <c r="AF253" s="140"/>
      <c r="AG253" s="140"/>
      <c r="AH253" s="161"/>
      <c r="AI253" s="136"/>
      <c r="AJ253" s="136"/>
    </row>
  </sheetData>
  <mergeCells count="1563">
    <mergeCell ref="C250:D250"/>
    <mergeCell ref="AA250:AB250"/>
    <mergeCell ref="AH44:AH78"/>
    <mergeCell ref="AH79:AH113"/>
    <mergeCell ref="AH114:AH148"/>
    <mergeCell ref="AH149:AH183"/>
    <mergeCell ref="AH184:AH218"/>
    <mergeCell ref="AH219:AH253"/>
    <mergeCell ref="C210:D210"/>
    <mergeCell ref="C211:D211"/>
    <mergeCell ref="C212:D212"/>
    <mergeCell ref="C213:D213"/>
    <mergeCell ref="C214:D214"/>
    <mergeCell ref="C215:D215"/>
    <mergeCell ref="C216:D216"/>
    <mergeCell ref="C217:D217"/>
    <mergeCell ref="C218:D218"/>
    <mergeCell ref="G169:H169"/>
    <mergeCell ref="G170:H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52:D52"/>
    <mergeCell ref="A219:A253"/>
    <mergeCell ref="AD219:AG253"/>
    <mergeCell ref="AI219:AJ253"/>
    <mergeCell ref="AA230:AB230"/>
    <mergeCell ref="K234:L234"/>
    <mergeCell ref="W234:X234"/>
    <mergeCell ref="AA231:AB231"/>
    <mergeCell ref="AA232:AB232"/>
    <mergeCell ref="C236:D236"/>
    <mergeCell ref="C237:D237"/>
    <mergeCell ref="C238:D238"/>
    <mergeCell ref="K235:L235"/>
    <mergeCell ref="C239:D239"/>
    <mergeCell ref="C240:D240"/>
    <mergeCell ref="C241:D241"/>
    <mergeCell ref="C242:D242"/>
    <mergeCell ref="C243:D243"/>
    <mergeCell ref="C244:D244"/>
    <mergeCell ref="C245:D245"/>
    <mergeCell ref="C246:D246"/>
    <mergeCell ref="C247:D247"/>
    <mergeCell ref="C248:D248"/>
    <mergeCell ref="C249:D249"/>
    <mergeCell ref="C219:D219"/>
    <mergeCell ref="C220:D220"/>
    <mergeCell ref="C221:D221"/>
    <mergeCell ref="C222:D222"/>
    <mergeCell ref="C223:D223"/>
    <mergeCell ref="C224:D224"/>
    <mergeCell ref="C225:D225"/>
    <mergeCell ref="C226:D226"/>
    <mergeCell ref="C227:D227"/>
    <mergeCell ref="A184:A218"/>
    <mergeCell ref="AD184:AG218"/>
    <mergeCell ref="AI184:AJ218"/>
    <mergeCell ref="K196:L196"/>
    <mergeCell ref="K197:L197"/>
    <mergeCell ref="K198:L198"/>
    <mergeCell ref="AA195:AB195"/>
    <mergeCell ref="C200:D200"/>
    <mergeCell ref="C201:D201"/>
    <mergeCell ref="C202:D202"/>
    <mergeCell ref="K199:L199"/>
    <mergeCell ref="C203:D203"/>
    <mergeCell ref="C204:D204"/>
    <mergeCell ref="C205:D205"/>
    <mergeCell ref="C206:D206"/>
    <mergeCell ref="C207:D207"/>
    <mergeCell ref="C208:D208"/>
    <mergeCell ref="C209:D209"/>
    <mergeCell ref="G197:H197"/>
    <mergeCell ref="G198:H198"/>
    <mergeCell ref="G199:H199"/>
    <mergeCell ref="G200:H200"/>
    <mergeCell ref="G201:H201"/>
    <mergeCell ref="G202:H202"/>
    <mergeCell ref="G203:H203"/>
    <mergeCell ref="G204:H204"/>
    <mergeCell ref="G205:H205"/>
    <mergeCell ref="G206:H206"/>
    <mergeCell ref="G207:H207"/>
    <mergeCell ref="G208:H208"/>
    <mergeCell ref="G209:H209"/>
    <mergeCell ref="G210:H210"/>
    <mergeCell ref="A149:A183"/>
    <mergeCell ref="AD149:AG183"/>
    <mergeCell ref="AI149:AJ183"/>
    <mergeCell ref="C158:D158"/>
    <mergeCell ref="G158:H158"/>
    <mergeCell ref="K158:L158"/>
    <mergeCell ref="C159:D159"/>
    <mergeCell ref="C160:D160"/>
    <mergeCell ref="C161:D161"/>
    <mergeCell ref="C162:D162"/>
    <mergeCell ref="G159:H159"/>
    <mergeCell ref="G160:H160"/>
    <mergeCell ref="G161:H161"/>
    <mergeCell ref="G162:H162"/>
    <mergeCell ref="K159:L159"/>
    <mergeCell ref="K160:L160"/>
    <mergeCell ref="K161:L161"/>
    <mergeCell ref="C163:D163"/>
    <mergeCell ref="C164:D164"/>
    <mergeCell ref="C165:D165"/>
    <mergeCell ref="C166:D166"/>
    <mergeCell ref="G163:H163"/>
    <mergeCell ref="G164:H164"/>
    <mergeCell ref="G165:H165"/>
    <mergeCell ref="G166:H166"/>
    <mergeCell ref="S166:T166"/>
    <mergeCell ref="C167:D167"/>
    <mergeCell ref="C168:D168"/>
    <mergeCell ref="C169:D169"/>
    <mergeCell ref="C170:D170"/>
    <mergeCell ref="G167:H167"/>
    <mergeCell ref="G168:H168"/>
    <mergeCell ref="V1:Y2"/>
    <mergeCell ref="A1:A2"/>
    <mergeCell ref="Z1:AC2"/>
    <mergeCell ref="B3:B4"/>
    <mergeCell ref="C3:C4"/>
    <mergeCell ref="D3:D4"/>
    <mergeCell ref="E3:E4"/>
    <mergeCell ref="F3:F4"/>
    <mergeCell ref="G3:G4"/>
    <mergeCell ref="H3:H4"/>
    <mergeCell ref="I3:I4"/>
    <mergeCell ref="R1:U2"/>
    <mergeCell ref="J3:J4"/>
    <mergeCell ref="K3:K4"/>
    <mergeCell ref="L3:L4"/>
    <mergeCell ref="M3:M4"/>
    <mergeCell ref="AC3:AC4"/>
    <mergeCell ref="B1:E2"/>
    <mergeCell ref="F1:I2"/>
    <mergeCell ref="J1:M2"/>
    <mergeCell ref="N1:Q2"/>
    <mergeCell ref="C53:D53"/>
    <mergeCell ref="AD42:AG43"/>
    <mergeCell ref="AI42:AJ43"/>
    <mergeCell ref="X3:X4"/>
    <mergeCell ref="Y3:Y4"/>
    <mergeCell ref="Z3:Z4"/>
    <mergeCell ref="AA3:AA4"/>
    <mergeCell ref="P3:P4"/>
    <mergeCell ref="U3:U4"/>
    <mergeCell ref="A25:A29"/>
    <mergeCell ref="A30:A34"/>
    <mergeCell ref="A35:A39"/>
    <mergeCell ref="AB3:AB4"/>
    <mergeCell ref="N3:N4"/>
    <mergeCell ref="Q3:Q4"/>
    <mergeCell ref="R3:R4"/>
    <mergeCell ref="S3:S4"/>
    <mergeCell ref="T3:T4"/>
    <mergeCell ref="O3:O4"/>
    <mergeCell ref="V3:V4"/>
    <mergeCell ref="W3:W4"/>
    <mergeCell ref="A42:A43"/>
    <mergeCell ref="A5:A9"/>
    <mergeCell ref="A10:A14"/>
    <mergeCell ref="A15:A19"/>
    <mergeCell ref="A20:A24"/>
    <mergeCell ref="A40:AJ41"/>
    <mergeCell ref="AH42:AH43"/>
    <mergeCell ref="Q42:Q43"/>
    <mergeCell ref="R42:R43"/>
    <mergeCell ref="S42:T43"/>
    <mergeCell ref="U42:U43"/>
    <mergeCell ref="C97:D97"/>
    <mergeCell ref="C98:D98"/>
    <mergeCell ref="K96:L96"/>
    <mergeCell ref="K97:L97"/>
    <mergeCell ref="A44:A78"/>
    <mergeCell ref="A79:A113"/>
    <mergeCell ref="AD79:AG113"/>
    <mergeCell ref="AI79:AJ113"/>
    <mergeCell ref="AD44:AG78"/>
    <mergeCell ref="AI44:AJ78"/>
    <mergeCell ref="AA66:AB66"/>
    <mergeCell ref="AA67:AB67"/>
    <mergeCell ref="AA68:AB68"/>
    <mergeCell ref="AA69:AB69"/>
    <mergeCell ref="AA70:AB70"/>
    <mergeCell ref="AA71:AB71"/>
    <mergeCell ref="AA72:AB72"/>
    <mergeCell ref="AA73:AB73"/>
    <mergeCell ref="AA74:AB74"/>
    <mergeCell ref="AA75:AB75"/>
    <mergeCell ref="AA76:AB76"/>
    <mergeCell ref="AA77:AB77"/>
    <mergeCell ref="AA78:AB78"/>
    <mergeCell ref="W68:X68"/>
    <mergeCell ref="C44:D44"/>
    <mergeCell ref="C45:D45"/>
    <mergeCell ref="C46:D46"/>
    <mergeCell ref="C47:D47"/>
    <mergeCell ref="C48:D48"/>
    <mergeCell ref="C49:D49"/>
    <mergeCell ref="C50:D50"/>
    <mergeCell ref="C51:D51"/>
    <mergeCell ref="A114:A148"/>
    <mergeCell ref="AD114:AG148"/>
    <mergeCell ref="C111:D111"/>
    <mergeCell ref="C112:D112"/>
    <mergeCell ref="C113:D113"/>
    <mergeCell ref="C107:D107"/>
    <mergeCell ref="C108:D108"/>
    <mergeCell ref="C109:D109"/>
    <mergeCell ref="C110:D110"/>
    <mergeCell ref="C103:D103"/>
    <mergeCell ref="C104:D104"/>
    <mergeCell ref="C105:D105"/>
    <mergeCell ref="C106:D106"/>
    <mergeCell ref="C99:D99"/>
    <mergeCell ref="C100:D100"/>
    <mergeCell ref="C101:D101"/>
    <mergeCell ref="C102:D102"/>
    <mergeCell ref="S129:T129"/>
    <mergeCell ref="S130:T130"/>
    <mergeCell ref="S131:T131"/>
    <mergeCell ref="W129:X129"/>
    <mergeCell ref="G126:H126"/>
    <mergeCell ref="G127:H127"/>
    <mergeCell ref="G128:H128"/>
    <mergeCell ref="O127:P127"/>
    <mergeCell ref="O128:P128"/>
    <mergeCell ref="S127:T127"/>
    <mergeCell ref="S128:T128"/>
    <mergeCell ref="W126:X126"/>
    <mergeCell ref="W127:X127"/>
    <mergeCell ref="W128:X128"/>
    <mergeCell ref="AA126:AB126"/>
    <mergeCell ref="AI114:AJ148"/>
    <mergeCell ref="C132:D132"/>
    <mergeCell ref="C133:D133"/>
    <mergeCell ref="C134:D134"/>
    <mergeCell ref="G132:H132"/>
    <mergeCell ref="G133:H133"/>
    <mergeCell ref="G134:H134"/>
    <mergeCell ref="K132:L132"/>
    <mergeCell ref="K133:L133"/>
    <mergeCell ref="K134:L134"/>
    <mergeCell ref="O132:P132"/>
    <mergeCell ref="O133:P133"/>
    <mergeCell ref="C131:D131"/>
    <mergeCell ref="G129:H129"/>
    <mergeCell ref="G130:H130"/>
    <mergeCell ref="G131:H131"/>
    <mergeCell ref="O129:P129"/>
    <mergeCell ref="O130:P130"/>
    <mergeCell ref="O131:P131"/>
    <mergeCell ref="W147:X147"/>
    <mergeCell ref="W148:X148"/>
    <mergeCell ref="C138:D138"/>
    <mergeCell ref="C139:D139"/>
    <mergeCell ref="C140:D140"/>
    <mergeCell ref="G138:H138"/>
    <mergeCell ref="G139:H139"/>
    <mergeCell ref="G140:H140"/>
    <mergeCell ref="K138:L138"/>
    <mergeCell ref="K139:L139"/>
    <mergeCell ref="K140:L140"/>
    <mergeCell ref="C135:D135"/>
    <mergeCell ref="C136:D136"/>
    <mergeCell ref="C137:D137"/>
    <mergeCell ref="G135:H135"/>
    <mergeCell ref="G136:H136"/>
    <mergeCell ref="G137:H137"/>
    <mergeCell ref="K135:L135"/>
    <mergeCell ref="K136:L136"/>
    <mergeCell ref="K137:L137"/>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G44:H44"/>
    <mergeCell ref="G45:H45"/>
    <mergeCell ref="G46:H46"/>
    <mergeCell ref="G47:H47"/>
    <mergeCell ref="G48:H48"/>
    <mergeCell ref="G49:H49"/>
    <mergeCell ref="G50:H50"/>
    <mergeCell ref="G51:H51"/>
    <mergeCell ref="G52:H52"/>
    <mergeCell ref="G53:H53"/>
    <mergeCell ref="G54:H54"/>
    <mergeCell ref="G55:H55"/>
    <mergeCell ref="G56:H56"/>
    <mergeCell ref="G57:H57"/>
    <mergeCell ref="G58:H58"/>
    <mergeCell ref="G59:H59"/>
    <mergeCell ref="G60:H60"/>
    <mergeCell ref="G61:H61"/>
    <mergeCell ref="G62:H62"/>
    <mergeCell ref="G63:H63"/>
    <mergeCell ref="G64:H64"/>
    <mergeCell ref="G65:H65"/>
    <mergeCell ref="G66:H66"/>
    <mergeCell ref="G67:H67"/>
    <mergeCell ref="G68:H68"/>
    <mergeCell ref="G69:H69"/>
    <mergeCell ref="G70:H70"/>
    <mergeCell ref="G71:H71"/>
    <mergeCell ref="G72:H72"/>
    <mergeCell ref="G73:H73"/>
    <mergeCell ref="G74:H74"/>
    <mergeCell ref="G75:H75"/>
    <mergeCell ref="G76:H76"/>
    <mergeCell ref="G77:H77"/>
    <mergeCell ref="G78:H78"/>
    <mergeCell ref="K44:L44"/>
    <mergeCell ref="K45:L45"/>
    <mergeCell ref="K46:L46"/>
    <mergeCell ref="K47:L47"/>
    <mergeCell ref="K48:L48"/>
    <mergeCell ref="K49:L49"/>
    <mergeCell ref="K50:L50"/>
    <mergeCell ref="K51:L51"/>
    <mergeCell ref="K52:L52"/>
    <mergeCell ref="K53:L53"/>
    <mergeCell ref="K54:L54"/>
    <mergeCell ref="K55:L55"/>
    <mergeCell ref="K56:L56"/>
    <mergeCell ref="K57:L57"/>
    <mergeCell ref="K58:L58"/>
    <mergeCell ref="K59:L59"/>
    <mergeCell ref="K60:L60"/>
    <mergeCell ref="K61:L61"/>
    <mergeCell ref="K62:L62"/>
    <mergeCell ref="K63:L63"/>
    <mergeCell ref="K64:L64"/>
    <mergeCell ref="K65:L65"/>
    <mergeCell ref="K66:L66"/>
    <mergeCell ref="K67:L67"/>
    <mergeCell ref="K68:L68"/>
    <mergeCell ref="K69:L69"/>
    <mergeCell ref="K70:L70"/>
    <mergeCell ref="K77:L77"/>
    <mergeCell ref="K78:L78"/>
    <mergeCell ref="O44:P44"/>
    <mergeCell ref="O45:P45"/>
    <mergeCell ref="O46:P46"/>
    <mergeCell ref="O47:P47"/>
    <mergeCell ref="O48:P48"/>
    <mergeCell ref="O49:P49"/>
    <mergeCell ref="O50:P50"/>
    <mergeCell ref="O51:P51"/>
    <mergeCell ref="O52:P52"/>
    <mergeCell ref="O53:P53"/>
    <mergeCell ref="O54:P54"/>
    <mergeCell ref="O55:P55"/>
    <mergeCell ref="O56:P56"/>
    <mergeCell ref="O57:P57"/>
    <mergeCell ref="O58:P58"/>
    <mergeCell ref="O59:P59"/>
    <mergeCell ref="O60:P60"/>
    <mergeCell ref="O61:P61"/>
    <mergeCell ref="O62:P62"/>
    <mergeCell ref="O63:P63"/>
    <mergeCell ref="O64:P64"/>
    <mergeCell ref="O65:P65"/>
    <mergeCell ref="O66:P66"/>
    <mergeCell ref="O67:P67"/>
    <mergeCell ref="S68:T68"/>
    <mergeCell ref="S69:T69"/>
    <mergeCell ref="S70:T70"/>
    <mergeCell ref="W42:X43"/>
    <mergeCell ref="O68:P68"/>
    <mergeCell ref="O69:P69"/>
    <mergeCell ref="O70:P70"/>
    <mergeCell ref="O71:P71"/>
    <mergeCell ref="O72:P72"/>
    <mergeCell ref="O73:P73"/>
    <mergeCell ref="O74:P74"/>
    <mergeCell ref="O75:P75"/>
    <mergeCell ref="O76:P76"/>
    <mergeCell ref="O77:P77"/>
    <mergeCell ref="O78:P78"/>
    <mergeCell ref="C42:D43"/>
    <mergeCell ref="B42:B43"/>
    <mergeCell ref="E42:E43"/>
    <mergeCell ref="G42:H43"/>
    <mergeCell ref="I42:I43"/>
    <mergeCell ref="F42:F43"/>
    <mergeCell ref="J42:J43"/>
    <mergeCell ref="K42:L43"/>
    <mergeCell ref="M42:M43"/>
    <mergeCell ref="N42:N43"/>
    <mergeCell ref="O42:P43"/>
    <mergeCell ref="K71:L71"/>
    <mergeCell ref="K72:L72"/>
    <mergeCell ref="K73:L73"/>
    <mergeCell ref="K74:L74"/>
    <mergeCell ref="K75:L75"/>
    <mergeCell ref="K76:L76"/>
    <mergeCell ref="Y42:Y43"/>
    <mergeCell ref="Z42:Z43"/>
    <mergeCell ref="AA42:AB43"/>
    <mergeCell ref="AC42:AC43"/>
    <mergeCell ref="S44:T44"/>
    <mergeCell ref="S45:T45"/>
    <mergeCell ref="S46:T46"/>
    <mergeCell ref="S47:T47"/>
    <mergeCell ref="S48:T48"/>
    <mergeCell ref="S49:T49"/>
    <mergeCell ref="S50:T50"/>
    <mergeCell ref="S51:T51"/>
    <mergeCell ref="S52:T52"/>
    <mergeCell ref="S53:T53"/>
    <mergeCell ref="S54:T54"/>
    <mergeCell ref="S55:T55"/>
    <mergeCell ref="S71:T71"/>
    <mergeCell ref="W70:X70"/>
    <mergeCell ref="W71:X71"/>
    <mergeCell ref="V42:V43"/>
    <mergeCell ref="S56:T56"/>
    <mergeCell ref="S57:T57"/>
    <mergeCell ref="S58:T58"/>
    <mergeCell ref="S59:T59"/>
    <mergeCell ref="S60:T60"/>
    <mergeCell ref="S61:T61"/>
    <mergeCell ref="S62:T62"/>
    <mergeCell ref="S63:T63"/>
    <mergeCell ref="S64:T64"/>
    <mergeCell ref="S65:T65"/>
    <mergeCell ref="S66:T66"/>
    <mergeCell ref="S67:T67"/>
    <mergeCell ref="S72:T72"/>
    <mergeCell ref="S73:T73"/>
    <mergeCell ref="S74:T74"/>
    <mergeCell ref="S75:T75"/>
    <mergeCell ref="S76:T76"/>
    <mergeCell ref="S77:T77"/>
    <mergeCell ref="S78:T78"/>
    <mergeCell ref="W44:X44"/>
    <mergeCell ref="W45:X45"/>
    <mergeCell ref="W46:X46"/>
    <mergeCell ref="W47:X47"/>
    <mergeCell ref="W48:X48"/>
    <mergeCell ref="W49:X49"/>
    <mergeCell ref="W50:X50"/>
    <mergeCell ref="W51:X51"/>
    <mergeCell ref="W52:X52"/>
    <mergeCell ref="W53:X53"/>
    <mergeCell ref="W54:X54"/>
    <mergeCell ref="W55:X55"/>
    <mergeCell ref="W56:X56"/>
    <mergeCell ref="W57:X57"/>
    <mergeCell ref="W58:X58"/>
    <mergeCell ref="W59:X59"/>
    <mergeCell ref="W60:X60"/>
    <mergeCell ref="W61:X61"/>
    <mergeCell ref="W62:X62"/>
    <mergeCell ref="W63:X63"/>
    <mergeCell ref="W64:X64"/>
    <mergeCell ref="W65:X65"/>
    <mergeCell ref="W66:X66"/>
    <mergeCell ref="W67:X67"/>
    <mergeCell ref="W69:X69"/>
    <mergeCell ref="W72:X72"/>
    <mergeCell ref="W73:X73"/>
    <mergeCell ref="W74:X74"/>
    <mergeCell ref="W75:X75"/>
    <mergeCell ref="W76:X76"/>
    <mergeCell ref="W77:X77"/>
    <mergeCell ref="W78:X78"/>
    <mergeCell ref="AA44:AB44"/>
    <mergeCell ref="AA45:AB45"/>
    <mergeCell ref="AA46:AB46"/>
    <mergeCell ref="AA47:AB47"/>
    <mergeCell ref="AA48:AB48"/>
    <mergeCell ref="AA49:AB49"/>
    <mergeCell ref="AA50:AB50"/>
    <mergeCell ref="AA51:AB51"/>
    <mergeCell ref="AA52:AB52"/>
    <mergeCell ref="AA53:AB53"/>
    <mergeCell ref="AA54:AB54"/>
    <mergeCell ref="AA55:AB55"/>
    <mergeCell ref="AA56:AB56"/>
    <mergeCell ref="AA57:AB57"/>
    <mergeCell ref="AA58:AB58"/>
    <mergeCell ref="AA59:AB59"/>
    <mergeCell ref="AA60:AB60"/>
    <mergeCell ref="AA61:AB61"/>
    <mergeCell ref="AA62:AB62"/>
    <mergeCell ref="AA63:AB63"/>
    <mergeCell ref="AA64:AB64"/>
    <mergeCell ref="AA65:AB65"/>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28:D228"/>
    <mergeCell ref="C229:D229"/>
    <mergeCell ref="C230:D230"/>
    <mergeCell ref="C231:D231"/>
    <mergeCell ref="C232:D232"/>
    <mergeCell ref="C233:D233"/>
    <mergeCell ref="C234:D234"/>
    <mergeCell ref="C235:D235"/>
    <mergeCell ref="C251:D251"/>
    <mergeCell ref="C252:D252"/>
    <mergeCell ref="C253:D253"/>
    <mergeCell ref="G79:H79"/>
    <mergeCell ref="G80:H80"/>
    <mergeCell ref="G81:H81"/>
    <mergeCell ref="G82:H82"/>
    <mergeCell ref="G83:H83"/>
    <mergeCell ref="G84:H84"/>
    <mergeCell ref="G85:H85"/>
    <mergeCell ref="G86:H86"/>
    <mergeCell ref="G87:H87"/>
    <mergeCell ref="G88:H88"/>
    <mergeCell ref="G89:H89"/>
    <mergeCell ref="G90:H90"/>
    <mergeCell ref="G91:H91"/>
    <mergeCell ref="G92:H92"/>
    <mergeCell ref="G93:H93"/>
    <mergeCell ref="G94:H94"/>
    <mergeCell ref="G95:H95"/>
    <mergeCell ref="G96:H96"/>
    <mergeCell ref="G97:H97"/>
    <mergeCell ref="G98:H98"/>
    <mergeCell ref="G99:H99"/>
    <mergeCell ref="G100:H100"/>
    <mergeCell ref="G101:H101"/>
    <mergeCell ref="G102:H102"/>
    <mergeCell ref="G103:H103"/>
    <mergeCell ref="G104:H104"/>
    <mergeCell ref="G105:H105"/>
    <mergeCell ref="G106:H106"/>
    <mergeCell ref="G107:H107"/>
    <mergeCell ref="G108:H108"/>
    <mergeCell ref="G109:H109"/>
    <mergeCell ref="G110:H110"/>
    <mergeCell ref="G111:H111"/>
    <mergeCell ref="G112:H112"/>
    <mergeCell ref="G113:H113"/>
    <mergeCell ref="G114:H114"/>
    <mergeCell ref="G115:H115"/>
    <mergeCell ref="G116:H116"/>
    <mergeCell ref="G117:H117"/>
    <mergeCell ref="G118:H118"/>
    <mergeCell ref="G119:H119"/>
    <mergeCell ref="G120:H120"/>
    <mergeCell ref="G121:H121"/>
    <mergeCell ref="G122:H122"/>
    <mergeCell ref="G123:H123"/>
    <mergeCell ref="G124:H124"/>
    <mergeCell ref="G141:H141"/>
    <mergeCell ref="G142:H142"/>
    <mergeCell ref="G143:H143"/>
    <mergeCell ref="G144:H144"/>
    <mergeCell ref="G145:H145"/>
    <mergeCell ref="G146:H146"/>
    <mergeCell ref="G147:H147"/>
    <mergeCell ref="G148:H148"/>
    <mergeCell ref="G149:H149"/>
    <mergeCell ref="G125:H125"/>
    <mergeCell ref="G150:H150"/>
    <mergeCell ref="G151:H151"/>
    <mergeCell ref="G152:H152"/>
    <mergeCell ref="G153:H153"/>
    <mergeCell ref="G154:H154"/>
    <mergeCell ref="G155:H155"/>
    <mergeCell ref="G156:H156"/>
    <mergeCell ref="G157:H157"/>
    <mergeCell ref="G171:H171"/>
    <mergeCell ref="G172:H172"/>
    <mergeCell ref="G173:H173"/>
    <mergeCell ref="G174:H174"/>
    <mergeCell ref="G175:H175"/>
    <mergeCell ref="G176:H176"/>
    <mergeCell ref="G177:H177"/>
    <mergeCell ref="G178:H178"/>
    <mergeCell ref="G179:H179"/>
    <mergeCell ref="G180:H180"/>
    <mergeCell ref="G181:H181"/>
    <mergeCell ref="G182:H182"/>
    <mergeCell ref="G183:H183"/>
    <mergeCell ref="G184:H184"/>
    <mergeCell ref="G185:H185"/>
    <mergeCell ref="G186:H186"/>
    <mergeCell ref="G187:H187"/>
    <mergeCell ref="G188:H188"/>
    <mergeCell ref="G189:H189"/>
    <mergeCell ref="G190:H190"/>
    <mergeCell ref="G191:H191"/>
    <mergeCell ref="G192:H192"/>
    <mergeCell ref="G193:H193"/>
    <mergeCell ref="G194:H194"/>
    <mergeCell ref="G195:H195"/>
    <mergeCell ref="G196:H196"/>
    <mergeCell ref="G211:H211"/>
    <mergeCell ref="G212:H212"/>
    <mergeCell ref="G213:H213"/>
    <mergeCell ref="G214:H214"/>
    <mergeCell ref="G215:H215"/>
    <mergeCell ref="G216:H216"/>
    <mergeCell ref="G217:H217"/>
    <mergeCell ref="G218:H218"/>
    <mergeCell ref="G219:H219"/>
    <mergeCell ref="G220:H220"/>
    <mergeCell ref="G221:H221"/>
    <mergeCell ref="G222:H222"/>
    <mergeCell ref="G223:H223"/>
    <mergeCell ref="G224:H224"/>
    <mergeCell ref="G225:H225"/>
    <mergeCell ref="G226:H226"/>
    <mergeCell ref="G227:H227"/>
    <mergeCell ref="G228:H228"/>
    <mergeCell ref="G229:H229"/>
    <mergeCell ref="G230:H230"/>
    <mergeCell ref="G231:H231"/>
    <mergeCell ref="G232:H232"/>
    <mergeCell ref="G233:H233"/>
    <mergeCell ref="G234:H234"/>
    <mergeCell ref="G235:H235"/>
    <mergeCell ref="G236:H236"/>
    <mergeCell ref="G237:H237"/>
    <mergeCell ref="G238:H238"/>
    <mergeCell ref="G239:H239"/>
    <mergeCell ref="G240:H240"/>
    <mergeCell ref="G241:H241"/>
    <mergeCell ref="G242:H242"/>
    <mergeCell ref="G243:H243"/>
    <mergeCell ref="G244:H244"/>
    <mergeCell ref="G245:H245"/>
    <mergeCell ref="G246:H246"/>
    <mergeCell ref="G247:H247"/>
    <mergeCell ref="G248:H248"/>
    <mergeCell ref="G249:H249"/>
    <mergeCell ref="G250:H250"/>
    <mergeCell ref="G251:H251"/>
    <mergeCell ref="G252:H252"/>
    <mergeCell ref="G253:H253"/>
    <mergeCell ref="K79:L79"/>
    <mergeCell ref="K80:L80"/>
    <mergeCell ref="K81:L81"/>
    <mergeCell ref="K82:L82"/>
    <mergeCell ref="K83:L83"/>
    <mergeCell ref="K84:L84"/>
    <mergeCell ref="K85:L85"/>
    <mergeCell ref="K86:L86"/>
    <mergeCell ref="K87:L87"/>
    <mergeCell ref="K88:L88"/>
    <mergeCell ref="K89:L89"/>
    <mergeCell ref="K90:L90"/>
    <mergeCell ref="K91:L91"/>
    <mergeCell ref="K92:L92"/>
    <mergeCell ref="K93:L93"/>
    <mergeCell ref="K94:L94"/>
    <mergeCell ref="K95:L95"/>
    <mergeCell ref="K98:L98"/>
    <mergeCell ref="K99:L99"/>
    <mergeCell ref="K100:L100"/>
    <mergeCell ref="K101:L101"/>
    <mergeCell ref="K102:L102"/>
    <mergeCell ref="K103:L103"/>
    <mergeCell ref="K104:L104"/>
    <mergeCell ref="K105:L105"/>
    <mergeCell ref="K106:L106"/>
    <mergeCell ref="K107:L107"/>
    <mergeCell ref="K108:L108"/>
    <mergeCell ref="K109:L109"/>
    <mergeCell ref="K110:L110"/>
    <mergeCell ref="K111:L111"/>
    <mergeCell ref="K112:L112"/>
    <mergeCell ref="K113:L113"/>
    <mergeCell ref="K114:L114"/>
    <mergeCell ref="K115:L115"/>
    <mergeCell ref="K116:L116"/>
    <mergeCell ref="K117:L117"/>
    <mergeCell ref="K118:L118"/>
    <mergeCell ref="K119:L119"/>
    <mergeCell ref="K120:L120"/>
    <mergeCell ref="K121:L121"/>
    <mergeCell ref="K122:L122"/>
    <mergeCell ref="K123:L123"/>
    <mergeCell ref="K124:L124"/>
    <mergeCell ref="K125:L125"/>
    <mergeCell ref="K126:L126"/>
    <mergeCell ref="K127:L127"/>
    <mergeCell ref="K128:L128"/>
    <mergeCell ref="K129:L129"/>
    <mergeCell ref="K130:L130"/>
    <mergeCell ref="K131:L131"/>
    <mergeCell ref="K141:L141"/>
    <mergeCell ref="K142:L142"/>
    <mergeCell ref="K143:L143"/>
    <mergeCell ref="K144:L144"/>
    <mergeCell ref="K145:L145"/>
    <mergeCell ref="K146:L146"/>
    <mergeCell ref="K147:L147"/>
    <mergeCell ref="K148:L148"/>
    <mergeCell ref="K149:L149"/>
    <mergeCell ref="K150:L150"/>
    <mergeCell ref="K151:L151"/>
    <mergeCell ref="K152:L152"/>
    <mergeCell ref="K153:L153"/>
    <mergeCell ref="K154:L154"/>
    <mergeCell ref="K155:L155"/>
    <mergeCell ref="K156:L156"/>
    <mergeCell ref="K157:L157"/>
    <mergeCell ref="K162:L162"/>
    <mergeCell ref="K163:L163"/>
    <mergeCell ref="K164:L164"/>
    <mergeCell ref="K165:L165"/>
    <mergeCell ref="K166:L166"/>
    <mergeCell ref="K167:L167"/>
    <mergeCell ref="K168:L168"/>
    <mergeCell ref="K169:L169"/>
    <mergeCell ref="K170:L170"/>
    <mergeCell ref="K171:L171"/>
    <mergeCell ref="K172:L172"/>
    <mergeCell ref="K173:L173"/>
    <mergeCell ref="K174:L174"/>
    <mergeCell ref="K175:L175"/>
    <mergeCell ref="K176:L176"/>
    <mergeCell ref="K177:L177"/>
    <mergeCell ref="K178:L178"/>
    <mergeCell ref="K179:L179"/>
    <mergeCell ref="K180:L180"/>
    <mergeCell ref="K181:L181"/>
    <mergeCell ref="K182:L182"/>
    <mergeCell ref="K183:L183"/>
    <mergeCell ref="K184:L184"/>
    <mergeCell ref="K185:L185"/>
    <mergeCell ref="K186:L186"/>
    <mergeCell ref="K187:L187"/>
    <mergeCell ref="K188:L188"/>
    <mergeCell ref="K189:L189"/>
    <mergeCell ref="K190:L190"/>
    <mergeCell ref="K191:L191"/>
    <mergeCell ref="K192:L192"/>
    <mergeCell ref="K193:L193"/>
    <mergeCell ref="K194:L194"/>
    <mergeCell ref="K195:L195"/>
    <mergeCell ref="K200:L200"/>
    <mergeCell ref="K201:L201"/>
    <mergeCell ref="K202:L202"/>
    <mergeCell ref="K203:L203"/>
    <mergeCell ref="K204:L204"/>
    <mergeCell ref="K205:L205"/>
    <mergeCell ref="K206:L206"/>
    <mergeCell ref="K207:L207"/>
    <mergeCell ref="K208:L208"/>
    <mergeCell ref="K209:L209"/>
    <mergeCell ref="K210:L210"/>
    <mergeCell ref="K211:L211"/>
    <mergeCell ref="K212:L212"/>
    <mergeCell ref="K213:L213"/>
    <mergeCell ref="K214:L214"/>
    <mergeCell ref="K215:L215"/>
    <mergeCell ref="K216:L216"/>
    <mergeCell ref="K217:L217"/>
    <mergeCell ref="K218:L218"/>
    <mergeCell ref="K219:L219"/>
    <mergeCell ref="K220:L220"/>
    <mergeCell ref="K221:L221"/>
    <mergeCell ref="K222:L222"/>
    <mergeCell ref="K223:L223"/>
    <mergeCell ref="K224:L224"/>
    <mergeCell ref="K225:L225"/>
    <mergeCell ref="K226:L226"/>
    <mergeCell ref="K227:L227"/>
    <mergeCell ref="K228:L228"/>
    <mergeCell ref="K229:L229"/>
    <mergeCell ref="K230:L230"/>
    <mergeCell ref="K231:L231"/>
    <mergeCell ref="K232:L232"/>
    <mergeCell ref="K233:L233"/>
    <mergeCell ref="K236:L236"/>
    <mergeCell ref="K237:L237"/>
    <mergeCell ref="K238:L238"/>
    <mergeCell ref="K239:L239"/>
    <mergeCell ref="K240:L240"/>
    <mergeCell ref="K241:L241"/>
    <mergeCell ref="K242:L242"/>
    <mergeCell ref="K243:L243"/>
    <mergeCell ref="K244:L244"/>
    <mergeCell ref="K245:L245"/>
    <mergeCell ref="K246:L246"/>
    <mergeCell ref="K247:L247"/>
    <mergeCell ref="K248:L248"/>
    <mergeCell ref="K249:L249"/>
    <mergeCell ref="K250:L250"/>
    <mergeCell ref="K251:L251"/>
    <mergeCell ref="K252:L252"/>
    <mergeCell ref="K253:L253"/>
    <mergeCell ref="O79:P79"/>
    <mergeCell ref="O80:P80"/>
    <mergeCell ref="O81:P81"/>
    <mergeCell ref="O82:P82"/>
    <mergeCell ref="O83:P83"/>
    <mergeCell ref="O84:P84"/>
    <mergeCell ref="O85:P85"/>
    <mergeCell ref="O86:P86"/>
    <mergeCell ref="O87:P87"/>
    <mergeCell ref="O88:P88"/>
    <mergeCell ref="O89:P89"/>
    <mergeCell ref="O90:P90"/>
    <mergeCell ref="O91:P91"/>
    <mergeCell ref="O92:P92"/>
    <mergeCell ref="O93:P93"/>
    <mergeCell ref="O94:P94"/>
    <mergeCell ref="O95:P95"/>
    <mergeCell ref="O96:P96"/>
    <mergeCell ref="O97:P97"/>
    <mergeCell ref="O98:P98"/>
    <mergeCell ref="O99:P99"/>
    <mergeCell ref="O100:P100"/>
    <mergeCell ref="O101:P101"/>
    <mergeCell ref="O102:P102"/>
    <mergeCell ref="O103:P103"/>
    <mergeCell ref="O104:P104"/>
    <mergeCell ref="O105:P105"/>
    <mergeCell ref="O106:P106"/>
    <mergeCell ref="O107:P107"/>
    <mergeCell ref="O108:P108"/>
    <mergeCell ref="O109:P109"/>
    <mergeCell ref="O110:P110"/>
    <mergeCell ref="O111:P111"/>
    <mergeCell ref="O112:P112"/>
    <mergeCell ref="O113:P113"/>
    <mergeCell ref="O114:P114"/>
    <mergeCell ref="O115:P115"/>
    <mergeCell ref="O116:P116"/>
    <mergeCell ref="O117:P117"/>
    <mergeCell ref="O118:P118"/>
    <mergeCell ref="O119:P119"/>
    <mergeCell ref="O120:P120"/>
    <mergeCell ref="O121:P121"/>
    <mergeCell ref="O122:P122"/>
    <mergeCell ref="O123:P123"/>
    <mergeCell ref="O124:P124"/>
    <mergeCell ref="O125:P125"/>
    <mergeCell ref="O126:P126"/>
    <mergeCell ref="O134:P134"/>
    <mergeCell ref="O135:P135"/>
    <mergeCell ref="O136:P136"/>
    <mergeCell ref="O137:P137"/>
    <mergeCell ref="O138:P138"/>
    <mergeCell ref="O139:P139"/>
    <mergeCell ref="O140:P140"/>
    <mergeCell ref="O141:P141"/>
    <mergeCell ref="O142:P142"/>
    <mergeCell ref="O143:P143"/>
    <mergeCell ref="O144:P144"/>
    <mergeCell ref="O145:P145"/>
    <mergeCell ref="O146:P146"/>
    <mergeCell ref="O147:P147"/>
    <mergeCell ref="O148:P148"/>
    <mergeCell ref="O149:P149"/>
    <mergeCell ref="O150:P150"/>
    <mergeCell ref="O151:P151"/>
    <mergeCell ref="O152:P152"/>
    <mergeCell ref="O153:P153"/>
    <mergeCell ref="O154:P154"/>
    <mergeCell ref="O155:P155"/>
    <mergeCell ref="O156:P156"/>
    <mergeCell ref="O157:P157"/>
    <mergeCell ref="O158:P158"/>
    <mergeCell ref="O159:P159"/>
    <mergeCell ref="O160:P160"/>
    <mergeCell ref="O161:P161"/>
    <mergeCell ref="O162:P162"/>
    <mergeCell ref="O163:P163"/>
    <mergeCell ref="O164:P164"/>
    <mergeCell ref="O165:P165"/>
    <mergeCell ref="O166:P166"/>
    <mergeCell ref="O167:P167"/>
    <mergeCell ref="O168:P168"/>
    <mergeCell ref="O169:P169"/>
    <mergeCell ref="O170:P170"/>
    <mergeCell ref="O171:P171"/>
    <mergeCell ref="O172:P172"/>
    <mergeCell ref="O173:P173"/>
    <mergeCell ref="O174:P174"/>
    <mergeCell ref="O175:P175"/>
    <mergeCell ref="O176:P176"/>
    <mergeCell ref="O177:P177"/>
    <mergeCell ref="O178:P178"/>
    <mergeCell ref="O179:P179"/>
    <mergeCell ref="O180:P180"/>
    <mergeCell ref="O181:P181"/>
    <mergeCell ref="O182:P182"/>
    <mergeCell ref="O183:P183"/>
    <mergeCell ref="O184:P184"/>
    <mergeCell ref="O185:P185"/>
    <mergeCell ref="O186:P186"/>
    <mergeCell ref="O187:P187"/>
    <mergeCell ref="O188:P188"/>
    <mergeCell ref="O189:P189"/>
    <mergeCell ref="O190:P190"/>
    <mergeCell ref="O191:P191"/>
    <mergeCell ref="O192:P192"/>
    <mergeCell ref="O193:P193"/>
    <mergeCell ref="O194:P194"/>
    <mergeCell ref="O195:P195"/>
    <mergeCell ref="O196:P196"/>
    <mergeCell ref="O197:P197"/>
    <mergeCell ref="O198:P198"/>
    <mergeCell ref="O199:P199"/>
    <mergeCell ref="O200:P200"/>
    <mergeCell ref="O201:P201"/>
    <mergeCell ref="O202:P202"/>
    <mergeCell ref="O203:P203"/>
    <mergeCell ref="O204:P204"/>
    <mergeCell ref="O205:P205"/>
    <mergeCell ref="O206:P206"/>
    <mergeCell ref="O207:P207"/>
    <mergeCell ref="O208:P208"/>
    <mergeCell ref="O209:P209"/>
    <mergeCell ref="O210:P210"/>
    <mergeCell ref="O211:P211"/>
    <mergeCell ref="O212:P212"/>
    <mergeCell ref="O213:P213"/>
    <mergeCell ref="O214:P214"/>
    <mergeCell ref="O215:P215"/>
    <mergeCell ref="O216:P216"/>
    <mergeCell ref="O217:P217"/>
    <mergeCell ref="O218:P218"/>
    <mergeCell ref="O219:P219"/>
    <mergeCell ref="O220:P220"/>
    <mergeCell ref="O221:P221"/>
    <mergeCell ref="O222:P222"/>
    <mergeCell ref="O223:P223"/>
    <mergeCell ref="O224:P224"/>
    <mergeCell ref="O225:P225"/>
    <mergeCell ref="O226:P226"/>
    <mergeCell ref="O227:P227"/>
    <mergeCell ref="O228:P228"/>
    <mergeCell ref="O229:P229"/>
    <mergeCell ref="O230:P230"/>
    <mergeCell ref="O231:P231"/>
    <mergeCell ref="O232:P232"/>
    <mergeCell ref="O233:P233"/>
    <mergeCell ref="O234:P234"/>
    <mergeCell ref="O235:P235"/>
    <mergeCell ref="O236:P236"/>
    <mergeCell ref="O237:P237"/>
    <mergeCell ref="O238:P238"/>
    <mergeCell ref="O239:P239"/>
    <mergeCell ref="O240:P240"/>
    <mergeCell ref="O241:P241"/>
    <mergeCell ref="O242:P242"/>
    <mergeCell ref="O243:P243"/>
    <mergeCell ref="O244:P244"/>
    <mergeCell ref="O245:P245"/>
    <mergeCell ref="O246:P246"/>
    <mergeCell ref="O247:P247"/>
    <mergeCell ref="O248:P248"/>
    <mergeCell ref="O249:P249"/>
    <mergeCell ref="O250:P250"/>
    <mergeCell ref="O251:P251"/>
    <mergeCell ref="O252:P252"/>
    <mergeCell ref="O253:P253"/>
    <mergeCell ref="S79:T79"/>
    <mergeCell ref="S80:T80"/>
    <mergeCell ref="S81:T81"/>
    <mergeCell ref="S82:T82"/>
    <mergeCell ref="S83:T83"/>
    <mergeCell ref="S84:T84"/>
    <mergeCell ref="S85:T85"/>
    <mergeCell ref="S86:T86"/>
    <mergeCell ref="S87:T87"/>
    <mergeCell ref="S88:T88"/>
    <mergeCell ref="S89:T89"/>
    <mergeCell ref="S90:T90"/>
    <mergeCell ref="S91:T91"/>
    <mergeCell ref="S92:T92"/>
    <mergeCell ref="S93:T93"/>
    <mergeCell ref="S94:T94"/>
    <mergeCell ref="S95:T95"/>
    <mergeCell ref="S96:T96"/>
    <mergeCell ref="S97:T97"/>
    <mergeCell ref="S98:T98"/>
    <mergeCell ref="S99:T99"/>
    <mergeCell ref="S100:T100"/>
    <mergeCell ref="S101:T101"/>
    <mergeCell ref="S102:T102"/>
    <mergeCell ref="S103:T103"/>
    <mergeCell ref="S104:T104"/>
    <mergeCell ref="S105:T105"/>
    <mergeCell ref="S106:T106"/>
    <mergeCell ref="S107:T107"/>
    <mergeCell ref="S108:T108"/>
    <mergeCell ref="S109:T109"/>
    <mergeCell ref="S110:T110"/>
    <mergeCell ref="S111:T111"/>
    <mergeCell ref="S112:T112"/>
    <mergeCell ref="S113:T113"/>
    <mergeCell ref="S114:T114"/>
    <mergeCell ref="S115:T115"/>
    <mergeCell ref="S116:T116"/>
    <mergeCell ref="S117:T117"/>
    <mergeCell ref="S118:T118"/>
    <mergeCell ref="S119:T119"/>
    <mergeCell ref="S120:T120"/>
    <mergeCell ref="S121:T121"/>
    <mergeCell ref="S122:T122"/>
    <mergeCell ref="S123:T123"/>
    <mergeCell ref="S124:T124"/>
    <mergeCell ref="S125:T125"/>
    <mergeCell ref="S126:T126"/>
    <mergeCell ref="S132:T132"/>
    <mergeCell ref="S133:T133"/>
    <mergeCell ref="S134:T134"/>
    <mergeCell ref="S135:T135"/>
    <mergeCell ref="S136:T136"/>
    <mergeCell ref="S137:T137"/>
    <mergeCell ref="S138:T138"/>
    <mergeCell ref="S139:T139"/>
    <mergeCell ref="S140:T140"/>
    <mergeCell ref="S141:T141"/>
    <mergeCell ref="S142:T142"/>
    <mergeCell ref="S143:T143"/>
    <mergeCell ref="S144:T144"/>
    <mergeCell ref="S145:T145"/>
    <mergeCell ref="S146:T146"/>
    <mergeCell ref="S147:T147"/>
    <mergeCell ref="S148:T148"/>
    <mergeCell ref="S149:T149"/>
    <mergeCell ref="S150:T150"/>
    <mergeCell ref="S151:T151"/>
    <mergeCell ref="S152:T152"/>
    <mergeCell ref="S153:T153"/>
    <mergeCell ref="S154:T154"/>
    <mergeCell ref="S155:T155"/>
    <mergeCell ref="S156:T156"/>
    <mergeCell ref="S157:T157"/>
    <mergeCell ref="S158:T158"/>
    <mergeCell ref="S159:T159"/>
    <mergeCell ref="S160:T160"/>
    <mergeCell ref="S161:T161"/>
    <mergeCell ref="S162:T162"/>
    <mergeCell ref="S163:T163"/>
    <mergeCell ref="S164:T164"/>
    <mergeCell ref="S165:T165"/>
    <mergeCell ref="S167:T167"/>
    <mergeCell ref="S168:T168"/>
    <mergeCell ref="S169:T169"/>
    <mergeCell ref="S170:T170"/>
    <mergeCell ref="S171:T171"/>
    <mergeCell ref="S172:T172"/>
    <mergeCell ref="S173:T173"/>
    <mergeCell ref="S174:T174"/>
    <mergeCell ref="S175:T175"/>
    <mergeCell ref="S176:T176"/>
    <mergeCell ref="S177:T177"/>
    <mergeCell ref="S178:T178"/>
    <mergeCell ref="S179:T179"/>
    <mergeCell ref="S180:T180"/>
    <mergeCell ref="S181:T181"/>
    <mergeCell ref="S182:T182"/>
    <mergeCell ref="S183:T183"/>
    <mergeCell ref="S184:T184"/>
    <mergeCell ref="S185:T185"/>
    <mergeCell ref="S186:T186"/>
    <mergeCell ref="S187:T187"/>
    <mergeCell ref="S188:T188"/>
    <mergeCell ref="S189:T189"/>
    <mergeCell ref="S190:T190"/>
    <mergeCell ref="S191:T191"/>
    <mergeCell ref="S192:T192"/>
    <mergeCell ref="S193:T193"/>
    <mergeCell ref="S194:T194"/>
    <mergeCell ref="S195:T195"/>
    <mergeCell ref="S196:T196"/>
    <mergeCell ref="S197:T197"/>
    <mergeCell ref="S198:T198"/>
    <mergeCell ref="S199:T199"/>
    <mergeCell ref="S200:T200"/>
    <mergeCell ref="S201:T201"/>
    <mergeCell ref="S202:T202"/>
    <mergeCell ref="S203:T203"/>
    <mergeCell ref="S204:T204"/>
    <mergeCell ref="S205:T205"/>
    <mergeCell ref="S206:T206"/>
    <mergeCell ref="S207:T207"/>
    <mergeCell ref="S208:T208"/>
    <mergeCell ref="S209:T209"/>
    <mergeCell ref="S210:T210"/>
    <mergeCell ref="S211:T211"/>
    <mergeCell ref="S212:T212"/>
    <mergeCell ref="S213:T213"/>
    <mergeCell ref="S214:T214"/>
    <mergeCell ref="S215:T215"/>
    <mergeCell ref="S216:T216"/>
    <mergeCell ref="S217:T217"/>
    <mergeCell ref="S218:T218"/>
    <mergeCell ref="S219:T219"/>
    <mergeCell ref="S220:T220"/>
    <mergeCell ref="S221:T221"/>
    <mergeCell ref="S222:T222"/>
    <mergeCell ref="S223:T223"/>
    <mergeCell ref="S224:T224"/>
    <mergeCell ref="S225:T225"/>
    <mergeCell ref="S226:T226"/>
    <mergeCell ref="S227:T227"/>
    <mergeCell ref="S228:T228"/>
    <mergeCell ref="S229:T229"/>
    <mergeCell ref="S230:T230"/>
    <mergeCell ref="S231:T231"/>
    <mergeCell ref="S232:T232"/>
    <mergeCell ref="S233:T233"/>
    <mergeCell ref="S234:T234"/>
    <mergeCell ref="S235:T235"/>
    <mergeCell ref="S236:T236"/>
    <mergeCell ref="S237:T237"/>
    <mergeCell ref="S238:T238"/>
    <mergeCell ref="S239:T239"/>
    <mergeCell ref="S240:T240"/>
    <mergeCell ref="S241:T241"/>
    <mergeCell ref="S242:T242"/>
    <mergeCell ref="S243:T243"/>
    <mergeCell ref="S244:T244"/>
    <mergeCell ref="S245:T245"/>
    <mergeCell ref="S246:T246"/>
    <mergeCell ref="S247:T247"/>
    <mergeCell ref="S248:T248"/>
    <mergeCell ref="S249:T249"/>
    <mergeCell ref="S250:T250"/>
    <mergeCell ref="S251:T251"/>
    <mergeCell ref="S252:T252"/>
    <mergeCell ref="S253:T253"/>
    <mergeCell ref="W79:X79"/>
    <mergeCell ref="W80:X80"/>
    <mergeCell ref="W81:X81"/>
    <mergeCell ref="W82:X82"/>
    <mergeCell ref="W83:X83"/>
    <mergeCell ref="W84:X84"/>
    <mergeCell ref="W85:X85"/>
    <mergeCell ref="W86:X86"/>
    <mergeCell ref="W87:X87"/>
    <mergeCell ref="W88:X88"/>
    <mergeCell ref="W89:X89"/>
    <mergeCell ref="W90:X90"/>
    <mergeCell ref="W91:X91"/>
    <mergeCell ref="W92:X92"/>
    <mergeCell ref="W93:X93"/>
    <mergeCell ref="W94:X94"/>
    <mergeCell ref="W95:X95"/>
    <mergeCell ref="W96:X96"/>
    <mergeCell ref="W97:X97"/>
    <mergeCell ref="W98:X98"/>
    <mergeCell ref="W99:X99"/>
    <mergeCell ref="W100:X100"/>
    <mergeCell ref="W101:X101"/>
    <mergeCell ref="W102:X102"/>
    <mergeCell ref="W103:X103"/>
    <mergeCell ref="W104:X104"/>
    <mergeCell ref="W105:X105"/>
    <mergeCell ref="W106:X106"/>
    <mergeCell ref="W107:X107"/>
    <mergeCell ref="W108:X108"/>
    <mergeCell ref="W109:X109"/>
    <mergeCell ref="W110:X110"/>
    <mergeCell ref="W111:X111"/>
    <mergeCell ref="W112:X112"/>
    <mergeCell ref="W113:X113"/>
    <mergeCell ref="W114:X114"/>
    <mergeCell ref="W115:X115"/>
    <mergeCell ref="W116:X116"/>
    <mergeCell ref="W117:X117"/>
    <mergeCell ref="W118:X118"/>
    <mergeCell ref="W119:X119"/>
    <mergeCell ref="W120:X120"/>
    <mergeCell ref="W121:X121"/>
    <mergeCell ref="W122:X122"/>
    <mergeCell ref="W123:X123"/>
    <mergeCell ref="W124:X124"/>
    <mergeCell ref="W125:X125"/>
    <mergeCell ref="W130:X130"/>
    <mergeCell ref="W131:X131"/>
    <mergeCell ref="W132:X132"/>
    <mergeCell ref="W133:X133"/>
    <mergeCell ref="W134:X134"/>
    <mergeCell ref="W135:X135"/>
    <mergeCell ref="W136:X136"/>
    <mergeCell ref="W137:X137"/>
    <mergeCell ref="W138:X138"/>
    <mergeCell ref="W139:X139"/>
    <mergeCell ref="W140:X140"/>
    <mergeCell ref="W141:X141"/>
    <mergeCell ref="W142:X142"/>
    <mergeCell ref="W143:X143"/>
    <mergeCell ref="W144:X144"/>
    <mergeCell ref="W145:X145"/>
    <mergeCell ref="W146:X146"/>
    <mergeCell ref="W149:X149"/>
    <mergeCell ref="W150:X150"/>
    <mergeCell ref="W151:X151"/>
    <mergeCell ref="W152:X152"/>
    <mergeCell ref="W153:X153"/>
    <mergeCell ref="W154:X154"/>
    <mergeCell ref="W155:X155"/>
    <mergeCell ref="W156:X156"/>
    <mergeCell ref="W157:X157"/>
    <mergeCell ref="W158:X158"/>
    <mergeCell ref="W159:X159"/>
    <mergeCell ref="W160:X160"/>
    <mergeCell ref="W161:X161"/>
    <mergeCell ref="W162:X162"/>
    <mergeCell ref="W163:X163"/>
    <mergeCell ref="W164:X164"/>
    <mergeCell ref="W165:X165"/>
    <mergeCell ref="W166:X166"/>
    <mergeCell ref="W167:X167"/>
    <mergeCell ref="W168:X168"/>
    <mergeCell ref="W169:X169"/>
    <mergeCell ref="W170:X170"/>
    <mergeCell ref="W171:X171"/>
    <mergeCell ref="W172:X172"/>
    <mergeCell ref="W173:X173"/>
    <mergeCell ref="W174:X174"/>
    <mergeCell ref="W175:X175"/>
    <mergeCell ref="W176:X176"/>
    <mergeCell ref="W177:X177"/>
    <mergeCell ref="W178:X178"/>
    <mergeCell ref="W179:X179"/>
    <mergeCell ref="W180:X180"/>
    <mergeCell ref="W181:X181"/>
    <mergeCell ref="W182:X182"/>
    <mergeCell ref="W183:X183"/>
    <mergeCell ref="W184:X184"/>
    <mergeCell ref="W185:X185"/>
    <mergeCell ref="W186:X186"/>
    <mergeCell ref="W187:X187"/>
    <mergeCell ref="W188:X188"/>
    <mergeCell ref="W189:X189"/>
    <mergeCell ref="W190:X190"/>
    <mergeCell ref="W191:X191"/>
    <mergeCell ref="W192:X192"/>
    <mergeCell ref="W193:X193"/>
    <mergeCell ref="W194:X194"/>
    <mergeCell ref="W195:X195"/>
    <mergeCell ref="W196:X196"/>
    <mergeCell ref="W197:X197"/>
    <mergeCell ref="W198:X198"/>
    <mergeCell ref="W199:X199"/>
    <mergeCell ref="W200:X200"/>
    <mergeCell ref="W201:X201"/>
    <mergeCell ref="W202:X202"/>
    <mergeCell ref="W203:X203"/>
    <mergeCell ref="W204:X204"/>
    <mergeCell ref="W205:X205"/>
    <mergeCell ref="W206:X206"/>
    <mergeCell ref="W207:X207"/>
    <mergeCell ref="W208:X208"/>
    <mergeCell ref="W209:X209"/>
    <mergeCell ref="W210:X210"/>
    <mergeCell ref="W211:X211"/>
    <mergeCell ref="W212:X212"/>
    <mergeCell ref="W213:X213"/>
    <mergeCell ref="W214:X214"/>
    <mergeCell ref="W215:X215"/>
    <mergeCell ref="W216:X216"/>
    <mergeCell ref="W217:X217"/>
    <mergeCell ref="W218:X218"/>
    <mergeCell ref="W219:X219"/>
    <mergeCell ref="W220:X220"/>
    <mergeCell ref="W221:X221"/>
    <mergeCell ref="W222:X222"/>
    <mergeCell ref="W223:X223"/>
    <mergeCell ref="W224:X224"/>
    <mergeCell ref="W225:X225"/>
    <mergeCell ref="W226:X226"/>
    <mergeCell ref="W227:X227"/>
    <mergeCell ref="W228:X228"/>
    <mergeCell ref="W229:X229"/>
    <mergeCell ref="W230:X230"/>
    <mergeCell ref="W231:X231"/>
    <mergeCell ref="W232:X232"/>
    <mergeCell ref="W233:X233"/>
    <mergeCell ref="W235:X235"/>
    <mergeCell ref="W236:X236"/>
    <mergeCell ref="W237:X237"/>
    <mergeCell ref="W238:X238"/>
    <mergeCell ref="W239:X239"/>
    <mergeCell ref="W240:X240"/>
    <mergeCell ref="W241:X241"/>
    <mergeCell ref="W242:X242"/>
    <mergeCell ref="W243:X243"/>
    <mergeCell ref="W244:X244"/>
    <mergeCell ref="W245:X245"/>
    <mergeCell ref="W246:X246"/>
    <mergeCell ref="W247:X247"/>
    <mergeCell ref="W248:X248"/>
    <mergeCell ref="W249:X249"/>
    <mergeCell ref="W250:X250"/>
    <mergeCell ref="W251:X251"/>
    <mergeCell ref="W252:X252"/>
    <mergeCell ref="W253:X253"/>
    <mergeCell ref="AA79:AB79"/>
    <mergeCell ref="AA80:AB80"/>
    <mergeCell ref="AA81:AB81"/>
    <mergeCell ref="AA82:AB82"/>
    <mergeCell ref="AA83:AB83"/>
    <mergeCell ref="AA84:AB84"/>
    <mergeCell ref="AA85:AB85"/>
    <mergeCell ref="AA86:AB86"/>
    <mergeCell ref="AA87:AB87"/>
    <mergeCell ref="AA88:AB88"/>
    <mergeCell ref="AA89:AB89"/>
    <mergeCell ref="AA90:AB90"/>
    <mergeCell ref="AA91:AB91"/>
    <mergeCell ref="AA92:AB92"/>
    <mergeCell ref="AA93:AB93"/>
    <mergeCell ref="AA94:AB94"/>
    <mergeCell ref="AA95:AB95"/>
    <mergeCell ref="AA96:AB96"/>
    <mergeCell ref="AA97:AB97"/>
    <mergeCell ref="AA98:AB98"/>
    <mergeCell ref="AA99:AB99"/>
    <mergeCell ref="AA100:AB100"/>
    <mergeCell ref="AA101:AB101"/>
    <mergeCell ref="AA102:AB102"/>
    <mergeCell ref="AA103:AB103"/>
    <mergeCell ref="AA104:AB104"/>
    <mergeCell ref="AA105:AB105"/>
    <mergeCell ref="AA106:AB106"/>
    <mergeCell ref="AA107:AB107"/>
    <mergeCell ref="AA108:AB108"/>
    <mergeCell ref="AA109:AB109"/>
    <mergeCell ref="AA110:AB110"/>
    <mergeCell ref="AA111:AB111"/>
    <mergeCell ref="AA112:AB112"/>
    <mergeCell ref="AA113:AB113"/>
    <mergeCell ref="AA114:AB114"/>
    <mergeCell ref="AA115:AB115"/>
    <mergeCell ref="AA116:AB116"/>
    <mergeCell ref="AA117:AB117"/>
    <mergeCell ref="AA118:AB118"/>
    <mergeCell ref="AA119:AB119"/>
    <mergeCell ref="AA120:AB120"/>
    <mergeCell ref="AA121:AB121"/>
    <mergeCell ref="AA122:AB122"/>
    <mergeCell ref="AA123:AB123"/>
    <mergeCell ref="AA124:AB124"/>
    <mergeCell ref="AA125:AB125"/>
    <mergeCell ref="AA127:AB127"/>
    <mergeCell ref="AA128:AB128"/>
    <mergeCell ref="AA129:AB129"/>
    <mergeCell ref="AA130:AB130"/>
    <mergeCell ref="AA131:AB131"/>
    <mergeCell ref="AA132:AB132"/>
    <mergeCell ref="AA133:AB133"/>
    <mergeCell ref="AA134:AB134"/>
    <mergeCell ref="AA135:AB135"/>
    <mergeCell ref="AA136:AB136"/>
    <mergeCell ref="AA137:AB137"/>
    <mergeCell ref="AA138:AB138"/>
    <mergeCell ref="AA139:AB139"/>
    <mergeCell ref="AA140:AB140"/>
    <mergeCell ref="AA141:AB141"/>
    <mergeCell ref="AA142:AB142"/>
    <mergeCell ref="AA143:AB143"/>
    <mergeCell ref="AA144:AB144"/>
    <mergeCell ref="AA145:AB145"/>
    <mergeCell ref="AA146:AB146"/>
    <mergeCell ref="AA147:AB147"/>
    <mergeCell ref="AA148:AB148"/>
    <mergeCell ref="AA149:AB149"/>
    <mergeCell ref="AA150:AB150"/>
    <mergeCell ref="AA151:AB151"/>
    <mergeCell ref="AA152:AB152"/>
    <mergeCell ref="AA153:AB153"/>
    <mergeCell ref="AA154:AB154"/>
    <mergeCell ref="AA155:AB155"/>
    <mergeCell ref="AA156:AB156"/>
    <mergeCell ref="AA157:AB157"/>
    <mergeCell ref="AA158:AB158"/>
    <mergeCell ref="AA159:AB159"/>
    <mergeCell ref="AA160:AB160"/>
    <mergeCell ref="AA161:AB161"/>
    <mergeCell ref="AA162:AB162"/>
    <mergeCell ref="AA163:AB163"/>
    <mergeCell ref="AA164:AB164"/>
    <mergeCell ref="AA165:AB165"/>
    <mergeCell ref="AA166:AB166"/>
    <mergeCell ref="AA167:AB167"/>
    <mergeCell ref="AA168:AB168"/>
    <mergeCell ref="AA169:AB169"/>
    <mergeCell ref="AA170:AB170"/>
    <mergeCell ref="AA171:AB171"/>
    <mergeCell ref="AA172:AB172"/>
    <mergeCell ref="AA173:AB173"/>
    <mergeCell ref="AA174:AB174"/>
    <mergeCell ref="AA175:AB175"/>
    <mergeCell ref="AA176:AB176"/>
    <mergeCell ref="AA177:AB177"/>
    <mergeCell ref="AA178:AB178"/>
    <mergeCell ref="AA179:AB179"/>
    <mergeCell ref="AA180:AB180"/>
    <mergeCell ref="AA181:AB181"/>
    <mergeCell ref="AA182:AB182"/>
    <mergeCell ref="AA183:AB183"/>
    <mergeCell ref="AA184:AB184"/>
    <mergeCell ref="AA185:AB185"/>
    <mergeCell ref="AA186:AB186"/>
    <mergeCell ref="AA187:AB187"/>
    <mergeCell ref="AA188:AB188"/>
    <mergeCell ref="AA189:AB189"/>
    <mergeCell ref="AA190:AB190"/>
    <mergeCell ref="AA191:AB191"/>
    <mergeCell ref="AA192:AB192"/>
    <mergeCell ref="AA193:AB193"/>
    <mergeCell ref="AA194:AB194"/>
    <mergeCell ref="AA196:AB196"/>
    <mergeCell ref="AA197:AB197"/>
    <mergeCell ref="AA198:AB198"/>
    <mergeCell ref="AA199:AB199"/>
    <mergeCell ref="AA200:AB200"/>
    <mergeCell ref="AA201:AB201"/>
    <mergeCell ref="AA202:AB202"/>
    <mergeCell ref="AA203:AB203"/>
    <mergeCell ref="AA204:AB204"/>
    <mergeCell ref="AA205:AB205"/>
    <mergeCell ref="AA206:AB206"/>
    <mergeCell ref="AA207:AB207"/>
    <mergeCell ref="AA208:AB208"/>
    <mergeCell ref="AA209:AB209"/>
    <mergeCell ref="AA210:AB210"/>
    <mergeCell ref="AA211:AB211"/>
    <mergeCell ref="AA212:AB212"/>
    <mergeCell ref="AA213:AB213"/>
    <mergeCell ref="AA214:AB214"/>
    <mergeCell ref="AA215:AB215"/>
    <mergeCell ref="AA216:AB216"/>
    <mergeCell ref="AA217:AB217"/>
    <mergeCell ref="AA218:AB218"/>
    <mergeCell ref="AA219:AB219"/>
    <mergeCell ref="AA220:AB220"/>
    <mergeCell ref="AA221:AB221"/>
    <mergeCell ref="AA222:AB222"/>
    <mergeCell ref="AA223:AB223"/>
    <mergeCell ref="AA224:AB224"/>
    <mergeCell ref="AA225:AB225"/>
    <mergeCell ref="AA226:AB226"/>
    <mergeCell ref="AA227:AB227"/>
    <mergeCell ref="AA228:AB228"/>
    <mergeCell ref="AA229:AB229"/>
    <mergeCell ref="AA251:AB251"/>
    <mergeCell ref="AA252:AB252"/>
    <mergeCell ref="AA253:AB253"/>
    <mergeCell ref="AA233:AB233"/>
    <mergeCell ref="AA234:AB234"/>
    <mergeCell ref="AA235:AB235"/>
    <mergeCell ref="AA236:AB236"/>
    <mergeCell ref="AA237:AB237"/>
    <mergeCell ref="AA238:AB238"/>
    <mergeCell ref="AA239:AB239"/>
    <mergeCell ref="AA240:AB240"/>
    <mergeCell ref="AA241:AB241"/>
    <mergeCell ref="AA242:AB242"/>
    <mergeCell ref="AA243:AB243"/>
    <mergeCell ref="AA244:AB244"/>
    <mergeCell ref="AA245:AB245"/>
    <mergeCell ref="AA246:AB246"/>
    <mergeCell ref="AA247:AB247"/>
    <mergeCell ref="AA248:AB248"/>
    <mergeCell ref="AA249:AB249"/>
  </mergeCells>
  <conditionalFormatting sqref="A1:A2">
    <cfRule type="containsText" dxfId="151" priority="136" operator="containsText" text="NO VIGENTE">
      <formula>NOT(ISERROR(SEARCH("NO VIGENTE",A1)))</formula>
    </cfRule>
    <cfRule type="containsText" dxfId="150" priority="137" operator="containsText" text="VIGENTE">
      <formula>NOT(ISERROR(SEARCH("VIGENTE",A1)))</formula>
    </cfRule>
  </conditionalFormatting>
  <conditionalFormatting sqref="B5:AC39">
    <cfRule type="containsBlanks" dxfId="149" priority="138">
      <formula>LEN(TRIM(B5))=0</formula>
    </cfRule>
  </conditionalFormatting>
  <conditionalFormatting sqref="A44:A253">
    <cfRule type="timePeriod" dxfId="148" priority="16" timePeriod="today">
      <formula>FLOOR(A44,1)=TODAY()</formula>
    </cfRule>
  </conditionalFormatting>
  <conditionalFormatting sqref="AD79:AG113">
    <cfRule type="cellIs" dxfId="147" priority="13" operator="lessThan">
      <formula>$AD$44</formula>
    </cfRule>
    <cfRule type="cellIs" dxfId="146" priority="14" operator="equal">
      <formula>$AD$44</formula>
    </cfRule>
    <cfRule type="cellIs" dxfId="145" priority="15" operator="greaterThan">
      <formula>$AD$44</formula>
    </cfRule>
  </conditionalFormatting>
  <conditionalFormatting sqref="AD114:AG148">
    <cfRule type="cellIs" dxfId="144" priority="10" operator="lessThan">
      <formula>$AD$79</formula>
    </cfRule>
    <cfRule type="cellIs" dxfId="143" priority="11" operator="equal">
      <formula>$AD$79</formula>
    </cfRule>
    <cfRule type="cellIs" dxfId="142" priority="12" operator="greaterThan">
      <formula>$AD$79</formula>
    </cfRule>
  </conditionalFormatting>
  <conditionalFormatting sqref="AD149:AG183">
    <cfRule type="cellIs" dxfId="141" priority="7" operator="lessThan">
      <formula>$AD$114</formula>
    </cfRule>
    <cfRule type="cellIs" dxfId="140" priority="8" operator="equal">
      <formula>$AD$114</formula>
    </cfRule>
    <cfRule type="cellIs" dxfId="139" priority="9" operator="greaterThan">
      <formula>$AD$114</formula>
    </cfRule>
  </conditionalFormatting>
  <conditionalFormatting sqref="AD184:AG218">
    <cfRule type="cellIs" dxfId="138" priority="4" operator="lessThan">
      <formula>$AD$149</formula>
    </cfRule>
    <cfRule type="cellIs" dxfId="137" priority="5" operator="equal">
      <formula>$AD$149</formula>
    </cfRule>
    <cfRule type="cellIs" dxfId="136" priority="6" operator="greaterThan">
      <formula>$AD$149</formula>
    </cfRule>
  </conditionalFormatting>
  <conditionalFormatting sqref="AD219:AG253">
    <cfRule type="cellIs" dxfId="135" priority="1" operator="lessThan">
      <formula>$AD$184</formula>
    </cfRule>
    <cfRule type="cellIs" dxfId="134" priority="2" operator="equal">
      <formula>$AD$184</formula>
    </cfRule>
    <cfRule type="cellIs" dxfId="133" priority="3" operator="greaterThan">
      <formula>$AD$184</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35C33-88A5-4F83-A720-9804D720B4EC}">
  <sheetPr codeName="Hoja12"/>
  <dimension ref="A1:AJ253"/>
  <sheetViews>
    <sheetView showZeros="0" zoomScale="85" zoomScaleNormal="85" workbookViewId="0">
      <selection activeCell="AD1" sqref="AD1"/>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44652</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44742</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44666</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26">
        <f t="shared" ca="1" si="1"/>
        <v>0</v>
      </c>
      <c r="D62" s="127"/>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44680</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44694</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44708</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44722</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44736</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t="shared" ca="1" si="127"/>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132" priority="17" operator="containsText" text="NO VIGENTE">
      <formula>NOT(ISERROR(SEARCH("NO VIGENTE",A1)))</formula>
    </cfRule>
    <cfRule type="containsText" dxfId="131" priority="18" operator="containsText" text="VIGENTE">
      <formula>NOT(ISERROR(SEARCH("VIGENTE",A1)))</formula>
    </cfRule>
  </conditionalFormatting>
  <conditionalFormatting sqref="B5:AC39">
    <cfRule type="containsBlanks" dxfId="130" priority="19">
      <formula>LEN(TRIM(B5))=0</formula>
    </cfRule>
  </conditionalFormatting>
  <conditionalFormatting sqref="A44:A253">
    <cfRule type="timePeriod" dxfId="129" priority="16" timePeriod="today">
      <formula>FLOOR(A44,1)=TODAY()</formula>
    </cfRule>
  </conditionalFormatting>
  <conditionalFormatting sqref="AD79:AG113">
    <cfRule type="cellIs" dxfId="128" priority="13" operator="lessThan">
      <formula>$AD$44</formula>
    </cfRule>
    <cfRule type="cellIs" dxfId="127" priority="14" operator="equal">
      <formula>$AD$44</formula>
    </cfRule>
    <cfRule type="cellIs" dxfId="126" priority="15" operator="greaterThan">
      <formula>$AD$44</formula>
    </cfRule>
  </conditionalFormatting>
  <conditionalFormatting sqref="AD114:AG148">
    <cfRule type="cellIs" dxfId="125" priority="10" operator="lessThan">
      <formula>$AD$79</formula>
    </cfRule>
    <cfRule type="cellIs" dxfId="124" priority="11" operator="equal">
      <formula>$AD$79</formula>
    </cfRule>
    <cfRule type="cellIs" dxfId="123" priority="12" operator="greaterThan">
      <formula>$AD$79</formula>
    </cfRule>
  </conditionalFormatting>
  <conditionalFormatting sqref="AD149:AG183">
    <cfRule type="cellIs" dxfId="122" priority="7" operator="lessThan">
      <formula>$AD$114</formula>
    </cfRule>
    <cfRule type="cellIs" dxfId="121" priority="8" operator="equal">
      <formula>$AD$114</formula>
    </cfRule>
    <cfRule type="cellIs" dxfId="120" priority="9" operator="greaterThan">
      <formula>$AD$114</formula>
    </cfRule>
  </conditionalFormatting>
  <conditionalFormatting sqref="AD184:AG218">
    <cfRule type="cellIs" dxfId="119" priority="4" operator="lessThan">
      <formula>$AD$149</formula>
    </cfRule>
    <cfRule type="cellIs" dxfId="118" priority="5" operator="equal">
      <formula>$AD$149</formula>
    </cfRule>
    <cfRule type="cellIs" dxfId="117" priority="6" operator="greaterThan">
      <formula>$AD$149</formula>
    </cfRule>
  </conditionalFormatting>
  <conditionalFormatting sqref="AD219:AG253">
    <cfRule type="cellIs" dxfId="116" priority="1" operator="lessThan">
      <formula>$AD$184</formula>
    </cfRule>
    <cfRule type="cellIs" dxfId="115" priority="2" operator="equal">
      <formula>$AD$184</formula>
    </cfRule>
    <cfRule type="cellIs" dxfId="114" priority="3" operator="greaterThan">
      <formula>$AD$184</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08BA8-5359-4233-BFA3-79B00C3F07FD}">
  <sheetPr codeName="Hoja13"/>
  <dimension ref="A1:AJ253"/>
  <sheetViews>
    <sheetView showZeros="0" zoomScale="85" zoomScaleNormal="85" workbookViewId="0">
      <selection activeCell="AF23" sqref="AF23"/>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44743</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44834</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44757</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26">
        <f t="shared" ca="1" si="1"/>
        <v>0</v>
      </c>
      <c r="D62" s="127"/>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44771</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44785</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44799</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44813</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44827</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t="shared" ca="1" si="127"/>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113" priority="18" operator="containsText" text="NO VIGENTE">
      <formula>NOT(ISERROR(SEARCH("NO VIGENTE",A1)))</formula>
    </cfRule>
    <cfRule type="containsText" dxfId="112" priority="19" operator="containsText" text="VIGENTE">
      <formula>NOT(ISERROR(SEARCH("VIGENTE",A1)))</formula>
    </cfRule>
  </conditionalFormatting>
  <conditionalFormatting sqref="B5:AC39">
    <cfRule type="containsBlanks" dxfId="111" priority="20">
      <formula>LEN(TRIM(B5))=0</formula>
    </cfRule>
  </conditionalFormatting>
  <conditionalFormatting sqref="AD79:AG113">
    <cfRule type="cellIs" dxfId="110" priority="14" operator="lessThan">
      <formula>$AD$44</formula>
    </cfRule>
    <cfRule type="cellIs" dxfId="109" priority="15" operator="equal">
      <formula>$AD$44</formula>
    </cfRule>
    <cfRule type="cellIs" dxfId="108" priority="16" operator="greaterThan">
      <formula>$AD$44</formula>
    </cfRule>
  </conditionalFormatting>
  <conditionalFormatting sqref="AD114:AG148">
    <cfRule type="cellIs" dxfId="107" priority="11" operator="lessThan">
      <formula>$AD$79</formula>
    </cfRule>
    <cfRule type="cellIs" dxfId="106" priority="12" operator="equal">
      <formula>$AD$79</formula>
    </cfRule>
    <cfRule type="cellIs" dxfId="105" priority="13" operator="greaterThan">
      <formula>$AD$79</formula>
    </cfRule>
  </conditionalFormatting>
  <conditionalFormatting sqref="AD149:AG183">
    <cfRule type="cellIs" dxfId="104" priority="8" operator="lessThan">
      <formula>$AD$114</formula>
    </cfRule>
    <cfRule type="cellIs" dxfId="103" priority="9" operator="equal">
      <formula>$AD$114</formula>
    </cfRule>
    <cfRule type="cellIs" dxfId="102" priority="10" operator="greaterThan">
      <formula>$AD$114</formula>
    </cfRule>
  </conditionalFormatting>
  <conditionalFormatting sqref="AD184:AG218">
    <cfRule type="cellIs" dxfId="101" priority="5" operator="lessThan">
      <formula>$AD$149</formula>
    </cfRule>
    <cfRule type="cellIs" dxfId="100" priority="6" operator="equal">
      <formula>$AD$149</formula>
    </cfRule>
    <cfRule type="cellIs" dxfId="99" priority="7" operator="greaterThan">
      <formula>$AD$149</formula>
    </cfRule>
  </conditionalFormatting>
  <conditionalFormatting sqref="AD219:AG253">
    <cfRule type="cellIs" dxfId="98" priority="2" operator="lessThan">
      <formula>$AD$184</formula>
    </cfRule>
    <cfRule type="cellIs" dxfId="97" priority="3" operator="equal">
      <formula>$AD$184</formula>
    </cfRule>
    <cfRule type="cellIs" dxfId="96" priority="4" operator="greaterThan">
      <formula>$AD$184</formula>
    </cfRule>
  </conditionalFormatting>
  <conditionalFormatting sqref="A44:A253">
    <cfRule type="timePeriod" dxfId="95" priority="1" timePeriod="today">
      <formula>FLOOR(A44,1)=TODAY()</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A5A5-4146-434D-8112-E95EBA48BC51}">
  <sheetPr codeName="Hoja14"/>
  <dimension ref="A1:AJ253"/>
  <sheetViews>
    <sheetView showZeros="0" zoomScale="85" zoomScaleNormal="85" workbookViewId="0">
      <selection activeCell="AF26" sqref="AF26"/>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44835</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44926</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44849</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62">
        <f t="shared" ca="1" si="1"/>
        <v>0</v>
      </c>
      <c r="D62" s="163"/>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44863</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44877</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44891</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44905</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44919</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ca="1">IF(TODAY()=$A$219,AC20,AC234)</f>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94" priority="18" operator="containsText" text="NO VIGENTE">
      <formula>NOT(ISERROR(SEARCH("NO VIGENTE",A1)))</formula>
    </cfRule>
    <cfRule type="containsText" dxfId="93" priority="19" operator="containsText" text="VIGENTE">
      <formula>NOT(ISERROR(SEARCH("VIGENTE",A1)))</formula>
    </cfRule>
  </conditionalFormatting>
  <conditionalFormatting sqref="B5:AC39">
    <cfRule type="containsBlanks" dxfId="92" priority="20">
      <formula>LEN(TRIM(B5))=0</formula>
    </cfRule>
  </conditionalFormatting>
  <conditionalFormatting sqref="AD79:AG113">
    <cfRule type="cellIs" dxfId="91" priority="15" operator="lessThan">
      <formula>$AD$44</formula>
    </cfRule>
    <cfRule type="cellIs" dxfId="90" priority="16" operator="equal">
      <formula>$AD$44</formula>
    </cfRule>
    <cfRule type="cellIs" dxfId="89" priority="17" operator="greaterThan">
      <formula>$AD$44</formula>
    </cfRule>
  </conditionalFormatting>
  <conditionalFormatting sqref="AD114:AG148">
    <cfRule type="cellIs" dxfId="88" priority="12" operator="lessThan">
      <formula>$AD$79</formula>
    </cfRule>
    <cfRule type="cellIs" dxfId="87" priority="13" operator="equal">
      <formula>$AD$79</formula>
    </cfRule>
    <cfRule type="cellIs" dxfId="86" priority="14" operator="greaterThan">
      <formula>$AD$79</formula>
    </cfRule>
  </conditionalFormatting>
  <conditionalFormatting sqref="AD149:AG183">
    <cfRule type="cellIs" dxfId="85" priority="9" operator="lessThan">
      <formula>$AD$114</formula>
    </cfRule>
    <cfRule type="cellIs" dxfId="84" priority="10" operator="equal">
      <formula>$AD$114</formula>
    </cfRule>
    <cfRule type="cellIs" dxfId="83" priority="11" operator="greaterThan">
      <formula>$AD$114</formula>
    </cfRule>
  </conditionalFormatting>
  <conditionalFormatting sqref="AD184:AG218">
    <cfRule type="cellIs" dxfId="82" priority="6" operator="lessThan">
      <formula>$AD$149</formula>
    </cfRule>
    <cfRule type="cellIs" dxfId="81" priority="7" operator="equal">
      <formula>$AD$149</formula>
    </cfRule>
    <cfRule type="cellIs" dxfId="80" priority="8" operator="greaterThan">
      <formula>$AD$149</formula>
    </cfRule>
  </conditionalFormatting>
  <conditionalFormatting sqref="AD219:AG253">
    <cfRule type="cellIs" dxfId="79" priority="3" operator="lessThan">
      <formula>$AD$184</formula>
    </cfRule>
    <cfRule type="cellIs" dxfId="78" priority="4" operator="equal">
      <formula>$AD$184</formula>
    </cfRule>
    <cfRule type="cellIs" dxfId="77" priority="5" operator="greaterThan">
      <formula>$AD$184</formula>
    </cfRule>
  </conditionalFormatting>
  <conditionalFormatting sqref="A44:A253">
    <cfRule type="timePeriod" dxfId="76" priority="1" timePeriod="today">
      <formula>FLOOR(A44,1)=TODAY()</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81E9-D15A-46E3-9A8F-1A3B6962BEE4}">
  <sheetPr codeName="Hoja15"/>
  <dimension ref="A1:AJ253"/>
  <sheetViews>
    <sheetView showZeros="0" zoomScale="85" zoomScaleNormal="85" workbookViewId="0">
      <selection activeCell="AH35" sqref="AH35"/>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44927</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45016</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44941</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62">
        <f t="shared" ca="1" si="1"/>
        <v>0</v>
      </c>
      <c r="D62" s="163"/>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44955</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44969</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44983</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44997</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44646</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ca="1">IF(TODAY()=$A$219,AC20,AC234)</f>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75" priority="18" operator="containsText" text="NO VIGENTE">
      <formula>NOT(ISERROR(SEARCH("NO VIGENTE",A1)))</formula>
    </cfRule>
    <cfRule type="containsText" dxfId="74" priority="19" operator="containsText" text="VIGENTE">
      <formula>NOT(ISERROR(SEARCH("VIGENTE",A1)))</formula>
    </cfRule>
  </conditionalFormatting>
  <conditionalFormatting sqref="B5:AC39">
    <cfRule type="containsBlanks" dxfId="73" priority="20">
      <formula>LEN(TRIM(B5))=0</formula>
    </cfRule>
  </conditionalFormatting>
  <conditionalFormatting sqref="AD79:AG113">
    <cfRule type="cellIs" dxfId="72" priority="15" operator="lessThan">
      <formula>$AD$44</formula>
    </cfRule>
    <cfRule type="cellIs" dxfId="71" priority="16" operator="equal">
      <formula>$AD$44</formula>
    </cfRule>
    <cfRule type="cellIs" dxfId="70" priority="17" operator="greaterThan">
      <formula>$AD$44</formula>
    </cfRule>
  </conditionalFormatting>
  <conditionalFormatting sqref="AD114:AG148">
    <cfRule type="cellIs" dxfId="69" priority="12" operator="lessThan">
      <formula>$AD$79</formula>
    </cfRule>
    <cfRule type="cellIs" dxfId="68" priority="13" operator="equal">
      <formula>$AD$79</formula>
    </cfRule>
    <cfRule type="cellIs" dxfId="67" priority="14" operator="greaterThan">
      <formula>$AD$79</formula>
    </cfRule>
  </conditionalFormatting>
  <conditionalFormatting sqref="AD149:AG183">
    <cfRule type="cellIs" dxfId="66" priority="9" operator="lessThan">
      <formula>$AD$114</formula>
    </cfRule>
    <cfRule type="cellIs" dxfId="65" priority="10" operator="equal">
      <formula>$AD$114</formula>
    </cfRule>
    <cfRule type="cellIs" dxfId="64" priority="11" operator="greaterThan">
      <formula>$AD$114</formula>
    </cfRule>
  </conditionalFormatting>
  <conditionalFormatting sqref="AD184:AG218">
    <cfRule type="cellIs" dxfId="63" priority="6" operator="lessThan">
      <formula>$AD$149</formula>
    </cfRule>
    <cfRule type="cellIs" dxfId="62" priority="7" operator="equal">
      <formula>$AD$149</formula>
    </cfRule>
    <cfRule type="cellIs" dxfId="61" priority="8" operator="greaterThan">
      <formula>$AD$149</formula>
    </cfRule>
  </conditionalFormatting>
  <conditionalFormatting sqref="AD219:AG253">
    <cfRule type="cellIs" dxfId="60" priority="3" operator="lessThan">
      <formula>$AD$184</formula>
    </cfRule>
    <cfRule type="cellIs" dxfId="59" priority="4" operator="equal">
      <formula>$AD$184</formula>
    </cfRule>
    <cfRule type="cellIs" dxfId="58" priority="5" operator="greaterThan">
      <formula>$AD$184</formula>
    </cfRule>
  </conditionalFormatting>
  <conditionalFormatting sqref="A44:A253">
    <cfRule type="timePeriod" dxfId="57" priority="1" timePeriod="today">
      <formula>FLOOR(A44,1)=TODAY()</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26A24-7B35-4CC4-91BE-E017C54BBD3D}">
  <sheetPr codeName="Hoja16"/>
  <dimension ref="A1:AJ253"/>
  <sheetViews>
    <sheetView showZeros="0" zoomScale="85" zoomScaleNormal="85" workbookViewId="0">
      <selection activeCell="AF22" sqref="AF22"/>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45017</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45107</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45031</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62">
        <f t="shared" ca="1" si="1"/>
        <v>0</v>
      </c>
      <c r="D62" s="163"/>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45045</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45059</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45073</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45087</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45101</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ca="1">IF(TODAY()=$A$219,AC20,AC234)</f>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56" priority="18" operator="containsText" text="NO VIGENTE">
      <formula>NOT(ISERROR(SEARCH("NO VIGENTE",A1)))</formula>
    </cfRule>
    <cfRule type="containsText" dxfId="55" priority="19" operator="containsText" text="VIGENTE">
      <formula>NOT(ISERROR(SEARCH("VIGENTE",A1)))</formula>
    </cfRule>
  </conditionalFormatting>
  <conditionalFormatting sqref="B5:AC39">
    <cfRule type="containsBlanks" dxfId="54" priority="20">
      <formula>LEN(TRIM(B5))=0</formula>
    </cfRule>
  </conditionalFormatting>
  <conditionalFormatting sqref="AD79:AG113">
    <cfRule type="cellIs" dxfId="53" priority="15" operator="lessThan">
      <formula>$AD$44</formula>
    </cfRule>
    <cfRule type="cellIs" dxfId="52" priority="16" operator="equal">
      <formula>$AD$44</formula>
    </cfRule>
    <cfRule type="cellIs" dxfId="51" priority="17" operator="greaterThan">
      <formula>$AD$44</formula>
    </cfRule>
  </conditionalFormatting>
  <conditionalFormatting sqref="AD114:AG148">
    <cfRule type="cellIs" dxfId="50" priority="12" operator="lessThan">
      <formula>$AD$79</formula>
    </cfRule>
    <cfRule type="cellIs" dxfId="49" priority="13" operator="equal">
      <formula>$AD$79</formula>
    </cfRule>
    <cfRule type="cellIs" dxfId="48" priority="14" operator="greaterThan">
      <formula>$AD$79</formula>
    </cfRule>
  </conditionalFormatting>
  <conditionalFormatting sqref="AD149:AG183">
    <cfRule type="cellIs" dxfId="47" priority="9" operator="lessThan">
      <formula>$AD$114</formula>
    </cfRule>
    <cfRule type="cellIs" dxfId="46" priority="10" operator="equal">
      <formula>$AD$114</formula>
    </cfRule>
    <cfRule type="cellIs" dxfId="45" priority="11" operator="greaterThan">
      <formula>$AD$114</formula>
    </cfRule>
  </conditionalFormatting>
  <conditionalFormatting sqref="AD184:AG218">
    <cfRule type="cellIs" dxfId="44" priority="6" operator="lessThan">
      <formula>$AD$149</formula>
    </cfRule>
    <cfRule type="cellIs" dxfId="43" priority="7" operator="equal">
      <formula>$AD$149</formula>
    </cfRule>
    <cfRule type="cellIs" dxfId="42" priority="8" operator="greaterThan">
      <formula>$AD$149</formula>
    </cfRule>
  </conditionalFormatting>
  <conditionalFormatting sqref="AD219:AG253">
    <cfRule type="cellIs" dxfId="41" priority="3" operator="lessThan">
      <formula>$AD$184</formula>
    </cfRule>
    <cfRule type="cellIs" dxfId="40" priority="4" operator="equal">
      <formula>$AD$184</formula>
    </cfRule>
    <cfRule type="cellIs" dxfId="39" priority="5" operator="greaterThan">
      <formula>$AD$184</formula>
    </cfRule>
  </conditionalFormatting>
  <conditionalFormatting sqref="A44:A253">
    <cfRule type="timePeriod" dxfId="38" priority="1" timePeriod="today">
      <formula>FLOOR(A44,1)=TODAY()</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CB62D-4ACE-40D4-BB87-F32BB9FAA322}">
  <sheetPr codeName="Hoja17"/>
  <dimension ref="A1:AJ253"/>
  <sheetViews>
    <sheetView showZeros="0" zoomScale="85" zoomScaleNormal="85" workbookViewId="0">
      <selection activeCell="AE24" sqref="AE24"/>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45108</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45199</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45122</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62">
        <f t="shared" ca="1" si="1"/>
        <v>0</v>
      </c>
      <c r="D62" s="163"/>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45136</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45150</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45164</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45178</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45192</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ca="1">IF(TODAY()=$A$219,AC20,AC234)</f>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37" priority="18" operator="containsText" text="NO VIGENTE">
      <formula>NOT(ISERROR(SEARCH("NO VIGENTE",A1)))</formula>
    </cfRule>
    <cfRule type="containsText" dxfId="36" priority="19" operator="containsText" text="VIGENTE">
      <formula>NOT(ISERROR(SEARCH("VIGENTE",A1)))</formula>
    </cfRule>
  </conditionalFormatting>
  <conditionalFormatting sqref="B5:AC39">
    <cfRule type="containsBlanks" dxfId="35" priority="20">
      <formula>LEN(TRIM(B5))=0</formula>
    </cfRule>
  </conditionalFormatting>
  <conditionalFormatting sqref="AD79:AG113">
    <cfRule type="cellIs" dxfId="34" priority="15" operator="lessThan">
      <formula>$AD$44</formula>
    </cfRule>
    <cfRule type="cellIs" dxfId="33" priority="16" operator="equal">
      <formula>$AD$44</formula>
    </cfRule>
    <cfRule type="cellIs" dxfId="32" priority="17" operator="greaterThan">
      <formula>$AD$44</formula>
    </cfRule>
  </conditionalFormatting>
  <conditionalFormatting sqref="AD114:AG148">
    <cfRule type="cellIs" dxfId="31" priority="12" operator="lessThan">
      <formula>$AD$79</formula>
    </cfRule>
    <cfRule type="cellIs" dxfId="30" priority="13" operator="equal">
      <formula>$AD$79</formula>
    </cfRule>
    <cfRule type="cellIs" dxfId="29" priority="14" operator="greaterThan">
      <formula>$AD$79</formula>
    </cfRule>
  </conditionalFormatting>
  <conditionalFormatting sqref="AD149:AG183">
    <cfRule type="cellIs" dxfId="28" priority="9" operator="lessThan">
      <formula>$AD$114</formula>
    </cfRule>
    <cfRule type="cellIs" dxfId="27" priority="10" operator="equal">
      <formula>$AD$114</formula>
    </cfRule>
    <cfRule type="cellIs" dxfId="26" priority="11" operator="greaterThan">
      <formula>$AD$114</formula>
    </cfRule>
  </conditionalFormatting>
  <conditionalFormatting sqref="AD184:AG218">
    <cfRule type="cellIs" dxfId="25" priority="6" operator="lessThan">
      <formula>$AD$149</formula>
    </cfRule>
    <cfRule type="cellIs" dxfId="24" priority="7" operator="equal">
      <formula>$AD$149</formula>
    </cfRule>
    <cfRule type="cellIs" dxfId="23" priority="8" operator="greaterThan">
      <formula>$AD$149</formula>
    </cfRule>
  </conditionalFormatting>
  <conditionalFormatting sqref="AD219:AG253">
    <cfRule type="cellIs" dxfId="22" priority="3" operator="lessThan">
      <formula>$AD$184</formula>
    </cfRule>
    <cfRule type="cellIs" dxfId="21" priority="4" operator="equal">
      <formula>$AD$184</formula>
    </cfRule>
    <cfRule type="cellIs" dxfId="20" priority="5" operator="greaterThan">
      <formula>$AD$184</formula>
    </cfRule>
  </conditionalFormatting>
  <conditionalFormatting sqref="A44:A253">
    <cfRule type="timePeriod" dxfId="19" priority="1" timePeriod="today">
      <formula>FLOOR(A44,1)=TODAY()</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5D8FA-3024-4330-A7B0-03087113C943}">
  <sheetPr codeName="Hoja18"/>
  <dimension ref="A1:AJ253"/>
  <sheetViews>
    <sheetView showZeros="0" zoomScale="85" zoomScaleNormal="85" workbookViewId="0">
      <selection activeCell="AF25" sqref="AF25"/>
    </sheetView>
  </sheetViews>
  <sheetFormatPr baseColWidth="10" defaultColWidth="10.7109375" defaultRowHeight="15" x14ac:dyDescent="0.25"/>
  <cols>
    <col min="2" max="2" width="23.28515625" customWidth="1"/>
    <col min="3" max="5" width="6" customWidth="1"/>
    <col min="6" max="6" width="23.28515625" customWidth="1"/>
    <col min="7" max="9" width="6" customWidth="1"/>
    <col min="10" max="10" width="23.28515625" customWidth="1"/>
    <col min="11" max="13" width="6" customWidth="1"/>
    <col min="14" max="14" width="23.28515625" customWidth="1"/>
    <col min="15" max="17" width="6" customWidth="1"/>
    <col min="18" max="18" width="23.28515625" customWidth="1"/>
    <col min="19" max="21" width="6" customWidth="1"/>
    <col min="22" max="22" width="23.28515625" customWidth="1"/>
    <col min="23" max="25" width="6" customWidth="1"/>
    <col min="26" max="26" width="23.28515625" customWidth="1"/>
    <col min="27" max="29" width="6" customWidth="1"/>
    <col min="30" max="30" width="4.5703125" customWidth="1"/>
    <col min="31" max="31" width="4.140625" customWidth="1"/>
    <col min="32" max="32" width="4" customWidth="1"/>
    <col min="33" max="33" width="3.7109375" customWidth="1"/>
    <col min="34" max="34" width="12.85546875" customWidth="1"/>
    <col min="35" max="35" width="7.7109375" customWidth="1"/>
    <col min="36" max="36" width="7.28515625" customWidth="1"/>
  </cols>
  <sheetData>
    <row r="1" spans="1:29" x14ac:dyDescent="0.25">
      <c r="A1" s="110" t="str">
        <f ca="1">IF(AND(TODAY()&gt;=A3,TODAY()&lt;=A4),"Vigente","NO vigente")</f>
        <v>NO vigente</v>
      </c>
      <c r="B1" s="159" t="s">
        <v>687</v>
      </c>
      <c r="C1" s="159"/>
      <c r="D1" s="159"/>
      <c r="E1" s="159"/>
      <c r="F1" s="159" t="s">
        <v>688</v>
      </c>
      <c r="G1" s="159"/>
      <c r="H1" s="159"/>
      <c r="I1" s="159"/>
      <c r="J1" s="159" t="s">
        <v>689</v>
      </c>
      <c r="K1" s="159"/>
      <c r="L1" s="159"/>
      <c r="M1" s="159"/>
      <c r="N1" s="159" t="s">
        <v>690</v>
      </c>
      <c r="O1" s="159"/>
      <c r="P1" s="159"/>
      <c r="Q1" s="159"/>
      <c r="R1" s="159" t="s">
        <v>691</v>
      </c>
      <c r="S1" s="159"/>
      <c r="T1" s="159"/>
      <c r="U1" s="159"/>
      <c r="V1" s="159" t="s">
        <v>692</v>
      </c>
      <c r="W1" s="159"/>
      <c r="X1" s="159"/>
      <c r="Y1" s="159"/>
      <c r="Z1" s="159" t="s">
        <v>693</v>
      </c>
      <c r="AA1" s="159"/>
      <c r="AB1" s="159"/>
      <c r="AC1" s="159"/>
    </row>
    <row r="2" spans="1:29" x14ac:dyDescent="0.25">
      <c r="A2" s="110"/>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row>
    <row r="3" spans="1:29" x14ac:dyDescent="0.25">
      <c r="A3" s="3">
        <v>45200</v>
      </c>
      <c r="B3" s="158" t="s">
        <v>694</v>
      </c>
      <c r="C3" s="158" t="s">
        <v>695</v>
      </c>
      <c r="D3" s="158" t="s">
        <v>696</v>
      </c>
      <c r="E3" s="158" t="s">
        <v>697</v>
      </c>
      <c r="F3" s="158" t="s">
        <v>694</v>
      </c>
      <c r="G3" s="158" t="s">
        <v>695</v>
      </c>
      <c r="H3" s="158" t="s">
        <v>696</v>
      </c>
      <c r="I3" s="158" t="s">
        <v>697</v>
      </c>
      <c r="J3" s="158" t="s">
        <v>694</v>
      </c>
      <c r="K3" s="158" t="s">
        <v>695</v>
      </c>
      <c r="L3" s="158" t="s">
        <v>696</v>
      </c>
      <c r="M3" s="158" t="s">
        <v>697</v>
      </c>
      <c r="N3" s="158" t="s">
        <v>694</v>
      </c>
      <c r="O3" s="158" t="s">
        <v>695</v>
      </c>
      <c r="P3" s="158" t="s">
        <v>696</v>
      </c>
      <c r="Q3" s="158" t="s">
        <v>697</v>
      </c>
      <c r="R3" s="158" t="s">
        <v>694</v>
      </c>
      <c r="S3" s="158" t="s">
        <v>695</v>
      </c>
      <c r="T3" s="158" t="s">
        <v>696</v>
      </c>
      <c r="U3" s="158" t="s">
        <v>697</v>
      </c>
      <c r="V3" s="158" t="s">
        <v>694</v>
      </c>
      <c r="W3" s="158" t="s">
        <v>695</v>
      </c>
      <c r="X3" s="158" t="s">
        <v>696</v>
      </c>
      <c r="Y3" s="158" t="s">
        <v>697</v>
      </c>
      <c r="Z3" s="158" t="s">
        <v>694</v>
      </c>
      <c r="AA3" s="158" t="s">
        <v>695</v>
      </c>
      <c r="AB3" s="158" t="s">
        <v>696</v>
      </c>
      <c r="AC3" s="158" t="s">
        <v>697</v>
      </c>
    </row>
    <row r="4" spans="1:29" x14ac:dyDescent="0.25">
      <c r="A4" s="3">
        <v>45291</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row>
    <row r="5" spans="1:29" x14ac:dyDescent="0.25">
      <c r="A5" s="159" t="s">
        <v>698</v>
      </c>
      <c r="B5" s="6"/>
      <c r="C5" s="7"/>
      <c r="D5" s="7"/>
      <c r="E5" s="7"/>
      <c r="F5" s="6"/>
      <c r="G5" s="7"/>
      <c r="H5" s="7"/>
      <c r="I5" s="7"/>
      <c r="J5" s="6"/>
      <c r="K5" s="7"/>
      <c r="L5" s="7"/>
      <c r="M5" s="7"/>
      <c r="N5" s="6"/>
      <c r="O5" s="7"/>
      <c r="P5" s="7"/>
      <c r="Q5" s="7"/>
      <c r="R5" s="6"/>
      <c r="S5" s="7"/>
      <c r="T5" s="7"/>
      <c r="U5" s="7"/>
      <c r="V5" s="6"/>
      <c r="W5" s="7"/>
      <c r="X5" s="7"/>
      <c r="Y5" s="7"/>
      <c r="Z5" s="6"/>
      <c r="AA5" s="7"/>
      <c r="AB5" s="7"/>
      <c r="AC5" s="7"/>
    </row>
    <row r="6" spans="1:29" x14ac:dyDescent="0.25">
      <c r="A6" s="159"/>
      <c r="B6" s="6"/>
      <c r="C6" s="7"/>
      <c r="D6" s="7"/>
      <c r="E6" s="7"/>
      <c r="F6" s="6"/>
      <c r="G6" s="7"/>
      <c r="H6" s="7"/>
      <c r="I6" s="7"/>
      <c r="J6" s="6"/>
      <c r="K6" s="7"/>
      <c r="L6" s="7"/>
      <c r="M6" s="7"/>
      <c r="N6" s="6"/>
      <c r="O6" s="7"/>
      <c r="P6" s="7"/>
      <c r="Q6" s="7"/>
      <c r="R6" s="6"/>
      <c r="S6" s="7"/>
      <c r="T6" s="7"/>
      <c r="U6" s="7"/>
      <c r="V6" s="6"/>
      <c r="W6" s="7"/>
      <c r="X6" s="7"/>
      <c r="Y6" s="7"/>
      <c r="Z6" s="6"/>
      <c r="AA6" s="7"/>
      <c r="AB6" s="7"/>
      <c r="AC6" s="7"/>
    </row>
    <row r="7" spans="1:29" x14ac:dyDescent="0.25">
      <c r="A7" s="159"/>
      <c r="B7" s="6"/>
      <c r="C7" s="7"/>
      <c r="D7" s="7"/>
      <c r="E7" s="7"/>
      <c r="F7" s="6"/>
      <c r="G7" s="7"/>
      <c r="H7" s="7"/>
      <c r="I7" s="7"/>
      <c r="J7" s="6"/>
      <c r="K7" s="7"/>
      <c r="L7" s="7"/>
      <c r="M7" s="7"/>
      <c r="N7" s="6"/>
      <c r="O7" s="7"/>
      <c r="P7" s="7"/>
      <c r="Q7" s="7"/>
      <c r="R7" s="6"/>
      <c r="S7" s="7"/>
      <c r="T7" s="7"/>
      <c r="U7" s="7"/>
      <c r="V7" s="6"/>
      <c r="W7" s="7"/>
      <c r="X7" s="7"/>
      <c r="Y7" s="7"/>
      <c r="Z7" s="6"/>
      <c r="AA7" s="7"/>
      <c r="AB7" s="7"/>
      <c r="AC7" s="7"/>
    </row>
    <row r="8" spans="1:29" x14ac:dyDescent="0.25">
      <c r="A8" s="159"/>
      <c r="B8" s="6"/>
      <c r="C8" s="7"/>
      <c r="D8" s="7"/>
      <c r="E8" s="7"/>
      <c r="F8" s="6"/>
      <c r="G8" s="7"/>
      <c r="H8" s="7"/>
      <c r="I8" s="7"/>
      <c r="J8" s="6"/>
      <c r="K8" s="7"/>
      <c r="L8" s="7"/>
      <c r="M8" s="7"/>
      <c r="N8" s="6"/>
      <c r="O8" s="7"/>
      <c r="P8" s="7"/>
      <c r="Q8" s="7"/>
      <c r="R8" s="6"/>
      <c r="S8" s="7"/>
      <c r="T8" s="7"/>
      <c r="U8" s="7"/>
      <c r="V8" s="6"/>
      <c r="W8" s="7"/>
      <c r="X8" s="7"/>
      <c r="Y8" s="7"/>
      <c r="Z8" s="6"/>
      <c r="AA8" s="7"/>
      <c r="AB8" s="7"/>
      <c r="AC8" s="7"/>
    </row>
    <row r="9" spans="1:29" x14ac:dyDescent="0.25">
      <c r="A9" s="159"/>
      <c r="B9" s="6"/>
      <c r="C9" s="7"/>
      <c r="D9" s="7"/>
      <c r="E9" s="7"/>
      <c r="F9" s="6"/>
      <c r="G9" s="7"/>
      <c r="H9" s="7"/>
      <c r="I9" s="7"/>
      <c r="J9" s="6"/>
      <c r="K9" s="7"/>
      <c r="L9" s="7"/>
      <c r="M9" s="7"/>
      <c r="N9" s="6"/>
      <c r="O9" s="7"/>
      <c r="P9" s="7"/>
      <c r="Q9" s="7"/>
      <c r="R9" s="6"/>
      <c r="S9" s="7"/>
      <c r="T9" s="7"/>
      <c r="U9" s="7"/>
      <c r="V9" s="6"/>
      <c r="W9" s="7"/>
      <c r="X9" s="7"/>
      <c r="Y9" s="7"/>
      <c r="Z9" s="6"/>
      <c r="AA9" s="7"/>
      <c r="AB9" s="7"/>
      <c r="AC9" s="7"/>
    </row>
    <row r="10" spans="1:29" x14ac:dyDescent="0.25">
      <c r="A10" s="159" t="s">
        <v>700</v>
      </c>
      <c r="B10" s="6"/>
      <c r="C10" s="7"/>
      <c r="D10" s="7"/>
      <c r="E10" s="7"/>
      <c r="F10" s="6"/>
      <c r="G10" s="7"/>
      <c r="H10" s="7"/>
      <c r="I10" s="7"/>
      <c r="J10" s="6"/>
      <c r="K10" s="7"/>
      <c r="L10" s="7"/>
      <c r="M10" s="7"/>
      <c r="N10" s="6"/>
      <c r="O10" s="7"/>
      <c r="P10" s="7"/>
      <c r="Q10" s="7"/>
      <c r="R10" s="6"/>
      <c r="S10" s="7"/>
      <c r="T10" s="7"/>
      <c r="U10" s="7"/>
      <c r="V10" s="6"/>
      <c r="W10" s="7"/>
      <c r="X10" s="7"/>
      <c r="Y10" s="7"/>
      <c r="Z10" s="6"/>
      <c r="AA10" s="7"/>
      <c r="AB10" s="7"/>
      <c r="AC10" s="7"/>
    </row>
    <row r="11" spans="1:29" x14ac:dyDescent="0.25">
      <c r="A11" s="159"/>
      <c r="B11" s="6"/>
      <c r="C11" s="7"/>
      <c r="D11" s="7"/>
      <c r="E11" s="7"/>
      <c r="F11" s="6"/>
      <c r="G11" s="7"/>
      <c r="H11" s="7"/>
      <c r="I11" s="7"/>
      <c r="J11" s="6"/>
      <c r="K11" s="7"/>
      <c r="L11" s="7"/>
      <c r="M11" s="7"/>
      <c r="N11" s="6"/>
      <c r="O11" s="7"/>
      <c r="P11" s="7"/>
      <c r="Q11" s="7"/>
      <c r="R11" s="6"/>
      <c r="S11" s="7"/>
      <c r="T11" s="7"/>
      <c r="U11" s="7"/>
      <c r="V11" s="6"/>
      <c r="W11" s="7"/>
      <c r="X11" s="7"/>
      <c r="Y11" s="7"/>
      <c r="Z11" s="6"/>
      <c r="AA11" s="7"/>
      <c r="AB11" s="7"/>
      <c r="AC11" s="7"/>
    </row>
    <row r="12" spans="1:29" x14ac:dyDescent="0.25">
      <c r="A12" s="159"/>
      <c r="B12" s="6"/>
      <c r="C12" s="7"/>
      <c r="D12" s="7"/>
      <c r="E12" s="7"/>
      <c r="F12" s="6"/>
      <c r="G12" s="7"/>
      <c r="H12" s="7"/>
      <c r="I12" s="7"/>
      <c r="J12" s="6"/>
      <c r="K12" s="7"/>
      <c r="L12" s="7"/>
      <c r="M12" s="7"/>
      <c r="N12" s="6"/>
      <c r="O12" s="7"/>
      <c r="P12" s="7"/>
      <c r="Q12" s="7"/>
      <c r="R12" s="6"/>
      <c r="S12" s="7"/>
      <c r="T12" s="7"/>
      <c r="U12" s="7"/>
      <c r="V12" s="6"/>
      <c r="W12" s="7"/>
      <c r="X12" s="7"/>
      <c r="Y12" s="7"/>
      <c r="Z12" s="6"/>
      <c r="AA12" s="7"/>
      <c r="AB12" s="7"/>
      <c r="AC12" s="7"/>
    </row>
    <row r="13" spans="1:29" x14ac:dyDescent="0.25">
      <c r="A13" s="159"/>
      <c r="B13" s="6"/>
      <c r="C13" s="7"/>
      <c r="D13" s="7"/>
      <c r="E13" s="7"/>
      <c r="F13" s="6"/>
      <c r="G13" s="7"/>
      <c r="H13" s="7"/>
      <c r="I13" s="7"/>
      <c r="J13" s="6"/>
      <c r="K13" s="7"/>
      <c r="L13" s="7"/>
      <c r="M13" s="7"/>
      <c r="N13" s="6"/>
      <c r="O13" s="7"/>
      <c r="P13" s="7"/>
      <c r="Q13" s="7"/>
      <c r="R13" s="6"/>
      <c r="S13" s="7"/>
      <c r="T13" s="7"/>
      <c r="U13" s="7"/>
      <c r="V13" s="6"/>
      <c r="W13" s="7"/>
      <c r="X13" s="7"/>
      <c r="Y13" s="7"/>
      <c r="Z13" s="6"/>
      <c r="AA13" s="7"/>
      <c r="AB13" s="7"/>
      <c r="AC13" s="7"/>
    </row>
    <row r="14" spans="1:29" x14ac:dyDescent="0.25">
      <c r="A14" s="159"/>
      <c r="B14" s="6"/>
      <c r="C14" s="7"/>
      <c r="D14" s="7"/>
      <c r="E14" s="7"/>
      <c r="F14" s="6"/>
      <c r="G14" s="7"/>
      <c r="H14" s="7"/>
      <c r="I14" s="7"/>
      <c r="J14" s="6"/>
      <c r="K14" s="7"/>
      <c r="L14" s="7"/>
      <c r="M14" s="7"/>
      <c r="N14" s="6"/>
      <c r="O14" s="7"/>
      <c r="P14" s="7"/>
      <c r="Q14" s="7"/>
      <c r="R14" s="6"/>
      <c r="S14" s="7"/>
      <c r="T14" s="7"/>
      <c r="U14" s="7"/>
      <c r="V14" s="6"/>
      <c r="W14" s="7"/>
      <c r="X14" s="7"/>
      <c r="Y14" s="7"/>
      <c r="Z14" s="6"/>
      <c r="AA14" s="7"/>
      <c r="AB14" s="7"/>
      <c r="AC14" s="7"/>
    </row>
    <row r="15" spans="1:29" x14ac:dyDescent="0.25">
      <c r="A15" s="159" t="s">
        <v>702</v>
      </c>
      <c r="B15" s="4"/>
      <c r="C15" s="8"/>
      <c r="D15" s="8"/>
      <c r="E15" s="8"/>
      <c r="F15" s="4"/>
      <c r="G15" s="5"/>
      <c r="H15" s="5"/>
      <c r="I15" s="5"/>
      <c r="J15" s="4"/>
      <c r="K15" s="5"/>
      <c r="L15" s="5"/>
      <c r="M15" s="5"/>
      <c r="N15" s="4"/>
      <c r="O15" s="5"/>
      <c r="P15" s="5"/>
      <c r="Q15" s="5"/>
      <c r="R15" s="4"/>
      <c r="S15" s="5"/>
      <c r="T15" s="5"/>
      <c r="U15" s="5"/>
      <c r="V15" s="4"/>
      <c r="W15" s="5"/>
      <c r="X15" s="5"/>
      <c r="Y15" s="5"/>
      <c r="Z15" s="4"/>
      <c r="AA15" s="5"/>
      <c r="AB15" s="5"/>
      <c r="AC15" s="5"/>
    </row>
    <row r="16" spans="1:29" x14ac:dyDescent="0.25">
      <c r="A16" s="159"/>
      <c r="B16" s="4"/>
      <c r="C16" s="8"/>
      <c r="D16" s="8"/>
      <c r="E16" s="8"/>
      <c r="F16" s="4"/>
      <c r="G16" s="5"/>
      <c r="H16" s="5"/>
      <c r="I16" s="5"/>
      <c r="J16" s="4"/>
      <c r="K16" s="5"/>
      <c r="L16" s="5"/>
      <c r="M16" s="5"/>
      <c r="N16" s="4"/>
      <c r="O16" s="5"/>
      <c r="P16" s="5"/>
      <c r="Q16" s="5"/>
      <c r="R16" s="4"/>
      <c r="S16" s="5"/>
      <c r="T16" s="5"/>
      <c r="U16" s="5"/>
      <c r="V16" s="4"/>
      <c r="W16" s="5"/>
      <c r="X16" s="5"/>
      <c r="Y16" s="5"/>
      <c r="Z16" s="4"/>
      <c r="AA16" s="5"/>
      <c r="AB16" s="5"/>
      <c r="AC16" s="5"/>
    </row>
    <row r="17" spans="1:29" x14ac:dyDescent="0.25">
      <c r="A17" s="159"/>
      <c r="B17" s="4"/>
      <c r="C17" s="8"/>
      <c r="D17" s="8"/>
      <c r="E17" s="8"/>
      <c r="F17" s="4"/>
      <c r="G17" s="5"/>
      <c r="H17" s="5"/>
      <c r="I17" s="5"/>
      <c r="J17" s="4"/>
      <c r="K17" s="5"/>
      <c r="L17" s="5"/>
      <c r="M17" s="5"/>
      <c r="N17" s="4"/>
      <c r="O17" s="5"/>
      <c r="P17" s="5"/>
      <c r="Q17" s="5"/>
      <c r="R17" s="4"/>
      <c r="S17" s="5"/>
      <c r="T17" s="5"/>
      <c r="U17" s="5"/>
      <c r="V17" s="4"/>
      <c r="W17" s="5"/>
      <c r="X17" s="5"/>
      <c r="Y17" s="5"/>
      <c r="Z17" s="4"/>
      <c r="AA17" s="5"/>
      <c r="AB17" s="5"/>
      <c r="AC17" s="5"/>
    </row>
    <row r="18" spans="1:29" x14ac:dyDescent="0.25">
      <c r="A18" s="159"/>
      <c r="B18" s="4"/>
      <c r="C18" s="8"/>
      <c r="D18" s="8"/>
      <c r="E18" s="8"/>
      <c r="F18" s="4"/>
      <c r="G18" s="5"/>
      <c r="H18" s="5"/>
      <c r="I18" s="5"/>
      <c r="J18" s="4"/>
      <c r="K18" s="5"/>
      <c r="L18" s="5"/>
      <c r="M18" s="5"/>
      <c r="N18" s="4"/>
      <c r="O18" s="5"/>
      <c r="P18" s="5"/>
      <c r="Q18" s="5"/>
      <c r="R18" s="4"/>
      <c r="S18" s="5"/>
      <c r="T18" s="5"/>
      <c r="U18" s="5"/>
      <c r="V18" s="4"/>
      <c r="W18" s="5"/>
      <c r="X18" s="5"/>
      <c r="Y18" s="5"/>
      <c r="Z18" s="4"/>
      <c r="AA18" s="5"/>
      <c r="AB18" s="5"/>
      <c r="AC18" s="5"/>
    </row>
    <row r="19" spans="1:29" x14ac:dyDescent="0.25">
      <c r="A19" s="159"/>
      <c r="B19" s="4"/>
      <c r="C19" s="8"/>
      <c r="D19" s="8"/>
      <c r="E19" s="8"/>
      <c r="F19" s="4"/>
      <c r="G19" s="5"/>
      <c r="H19" s="5"/>
      <c r="I19" s="5"/>
      <c r="J19" s="4"/>
      <c r="K19" s="5"/>
      <c r="L19" s="5"/>
      <c r="M19" s="5"/>
      <c r="N19" s="4"/>
      <c r="O19" s="5"/>
      <c r="P19" s="5"/>
      <c r="Q19" s="5"/>
      <c r="R19" s="4"/>
      <c r="S19" s="5"/>
      <c r="T19" s="5"/>
      <c r="U19" s="5"/>
      <c r="V19" s="4"/>
      <c r="W19" s="5"/>
      <c r="X19" s="5"/>
      <c r="Y19" s="5"/>
      <c r="Z19" s="4"/>
      <c r="AA19" s="5"/>
      <c r="AB19" s="5"/>
      <c r="AC19" s="5"/>
    </row>
    <row r="20" spans="1:29" x14ac:dyDescent="0.25">
      <c r="A20" s="159" t="s">
        <v>703</v>
      </c>
      <c r="B20" s="6"/>
      <c r="C20" s="7"/>
      <c r="D20" s="7"/>
      <c r="E20" s="7"/>
      <c r="F20" s="6"/>
      <c r="G20" s="7"/>
      <c r="H20" s="7"/>
      <c r="I20" s="7"/>
      <c r="J20" s="6"/>
      <c r="K20" s="7"/>
      <c r="L20" s="7"/>
      <c r="M20" s="7"/>
      <c r="N20" s="6"/>
      <c r="O20" s="7"/>
      <c r="P20" s="7"/>
      <c r="Q20" s="7"/>
      <c r="R20" s="6"/>
      <c r="S20" s="7"/>
      <c r="T20" s="7"/>
      <c r="U20" s="7"/>
      <c r="V20" s="6"/>
      <c r="W20" s="7"/>
      <c r="X20" s="7"/>
      <c r="Y20" s="7"/>
      <c r="Z20" s="6"/>
      <c r="AA20" s="7"/>
      <c r="AB20" s="7"/>
      <c r="AC20" s="7"/>
    </row>
    <row r="21" spans="1:29" x14ac:dyDescent="0.25">
      <c r="A21" s="159"/>
      <c r="B21" s="6"/>
      <c r="C21" s="7"/>
      <c r="D21" s="7"/>
      <c r="E21" s="7"/>
      <c r="F21" s="6"/>
      <c r="G21" s="7"/>
      <c r="H21" s="7"/>
      <c r="I21" s="7"/>
      <c r="J21" s="6"/>
      <c r="K21" s="7"/>
      <c r="L21" s="7"/>
      <c r="M21" s="7"/>
      <c r="N21" s="6"/>
      <c r="O21" s="7"/>
      <c r="P21" s="7"/>
      <c r="Q21" s="7"/>
      <c r="R21" s="6"/>
      <c r="S21" s="7"/>
      <c r="T21" s="7"/>
      <c r="U21" s="7"/>
      <c r="V21" s="6"/>
      <c r="W21" s="7"/>
      <c r="X21" s="7"/>
      <c r="Y21" s="7"/>
      <c r="Z21" s="6"/>
      <c r="AA21" s="7"/>
      <c r="AB21" s="7"/>
      <c r="AC21" s="7"/>
    </row>
    <row r="22" spans="1:29" x14ac:dyDescent="0.25">
      <c r="A22" s="159"/>
      <c r="B22" s="6"/>
      <c r="C22" s="7"/>
      <c r="D22" s="7"/>
      <c r="E22" s="7"/>
      <c r="F22" s="6"/>
      <c r="G22" s="7"/>
      <c r="H22" s="7"/>
      <c r="I22" s="7"/>
      <c r="J22" s="6"/>
      <c r="K22" s="7"/>
      <c r="L22" s="7"/>
      <c r="M22" s="7"/>
      <c r="N22" s="6"/>
      <c r="O22" s="7"/>
      <c r="P22" s="7"/>
      <c r="Q22" s="7"/>
      <c r="R22" s="6"/>
      <c r="S22" s="7"/>
      <c r="T22" s="7"/>
      <c r="U22" s="7"/>
      <c r="V22" s="6"/>
      <c r="W22" s="7"/>
      <c r="X22" s="7"/>
      <c r="Y22" s="7"/>
      <c r="Z22" s="6"/>
      <c r="AA22" s="7"/>
      <c r="AB22" s="7"/>
      <c r="AC22" s="7"/>
    </row>
    <row r="23" spans="1:29" x14ac:dyDescent="0.25">
      <c r="A23" s="159"/>
      <c r="B23" s="6"/>
      <c r="C23" s="7"/>
      <c r="D23" s="7"/>
      <c r="E23" s="7"/>
      <c r="F23" s="6"/>
      <c r="G23" s="7"/>
      <c r="H23" s="7"/>
      <c r="I23" s="7"/>
      <c r="J23" s="6"/>
      <c r="K23" s="7"/>
      <c r="L23" s="7"/>
      <c r="M23" s="7"/>
      <c r="N23" s="6"/>
      <c r="O23" s="7"/>
      <c r="P23" s="7"/>
      <c r="Q23" s="7"/>
      <c r="R23" s="6"/>
      <c r="S23" s="7"/>
      <c r="T23" s="7"/>
      <c r="U23" s="7"/>
      <c r="V23" s="6"/>
      <c r="W23" s="7"/>
      <c r="X23" s="7"/>
      <c r="Y23" s="7"/>
      <c r="Z23" s="6"/>
      <c r="AA23" s="7"/>
      <c r="AB23" s="7"/>
      <c r="AC23" s="7"/>
    </row>
    <row r="24" spans="1:29" x14ac:dyDescent="0.25">
      <c r="A24" s="159"/>
      <c r="B24" s="6"/>
      <c r="C24" s="7"/>
      <c r="D24" s="7"/>
      <c r="E24" s="7"/>
      <c r="F24" s="6"/>
      <c r="G24" s="7"/>
      <c r="H24" s="7"/>
      <c r="I24" s="7"/>
      <c r="J24" s="6"/>
      <c r="K24" s="7"/>
      <c r="L24" s="7"/>
      <c r="M24" s="7"/>
      <c r="N24" s="6"/>
      <c r="O24" s="7"/>
      <c r="P24" s="7"/>
      <c r="Q24" s="7"/>
      <c r="R24" s="6"/>
      <c r="S24" s="7"/>
      <c r="T24" s="7"/>
      <c r="U24" s="7"/>
      <c r="V24" s="6"/>
      <c r="W24" s="7"/>
      <c r="X24" s="7"/>
      <c r="Y24" s="7"/>
      <c r="Z24" s="6"/>
      <c r="AA24" s="7"/>
      <c r="AB24" s="7"/>
      <c r="AC24" s="7"/>
    </row>
    <row r="25" spans="1:29" x14ac:dyDescent="0.25">
      <c r="A25" s="159" t="s">
        <v>704</v>
      </c>
      <c r="B25" s="6"/>
      <c r="C25" s="7"/>
      <c r="D25" s="7"/>
      <c r="E25" s="7"/>
      <c r="F25" s="6"/>
      <c r="G25" s="7"/>
      <c r="H25" s="7"/>
      <c r="I25" s="7"/>
      <c r="J25" s="6"/>
      <c r="K25" s="7"/>
      <c r="L25" s="7"/>
      <c r="M25" s="7"/>
      <c r="N25" s="6"/>
      <c r="O25" s="7"/>
      <c r="P25" s="7"/>
      <c r="Q25" s="7"/>
      <c r="R25" s="6"/>
      <c r="S25" s="7"/>
      <c r="T25" s="7"/>
      <c r="U25" s="7"/>
      <c r="V25" s="6"/>
      <c r="W25" s="7"/>
      <c r="X25" s="7"/>
      <c r="Y25" s="7"/>
      <c r="Z25" s="6"/>
      <c r="AA25" s="7"/>
      <c r="AB25" s="7"/>
      <c r="AC25" s="7"/>
    </row>
    <row r="26" spans="1:29" x14ac:dyDescent="0.25">
      <c r="A26" s="159"/>
      <c r="B26" s="6"/>
      <c r="C26" s="7"/>
      <c r="D26" s="7"/>
      <c r="E26" s="7"/>
      <c r="F26" s="6"/>
      <c r="G26" s="7"/>
      <c r="H26" s="7"/>
      <c r="I26" s="7"/>
      <c r="J26" s="6"/>
      <c r="K26" s="7"/>
      <c r="L26" s="7"/>
      <c r="M26" s="7"/>
      <c r="N26" s="6"/>
      <c r="O26" s="7"/>
      <c r="P26" s="7"/>
      <c r="Q26" s="7"/>
      <c r="R26" s="6"/>
      <c r="S26" s="7"/>
      <c r="T26" s="7"/>
      <c r="U26" s="7"/>
      <c r="V26" s="6"/>
      <c r="W26" s="7"/>
      <c r="X26" s="7"/>
      <c r="Y26" s="7"/>
      <c r="Z26" s="6"/>
      <c r="AA26" s="7"/>
      <c r="AB26" s="7"/>
      <c r="AC26" s="7"/>
    </row>
    <row r="27" spans="1:29" x14ac:dyDescent="0.25">
      <c r="A27" s="159"/>
      <c r="B27" s="6"/>
      <c r="C27" s="7"/>
      <c r="D27" s="7"/>
      <c r="E27" s="7"/>
      <c r="F27" s="6"/>
      <c r="G27" s="7"/>
      <c r="H27" s="7"/>
      <c r="I27" s="7"/>
      <c r="J27" s="6"/>
      <c r="K27" s="7"/>
      <c r="L27" s="7"/>
      <c r="M27" s="7"/>
      <c r="N27" s="6"/>
      <c r="O27" s="7"/>
      <c r="P27" s="7"/>
      <c r="Q27" s="7"/>
      <c r="R27" s="6"/>
      <c r="S27" s="7"/>
      <c r="T27" s="7"/>
      <c r="U27" s="7"/>
      <c r="V27" s="6"/>
      <c r="W27" s="7"/>
      <c r="X27" s="7"/>
      <c r="Y27" s="7"/>
      <c r="Z27" s="6"/>
      <c r="AA27" s="7"/>
      <c r="AB27" s="7"/>
      <c r="AC27" s="7"/>
    </row>
    <row r="28" spans="1:29" x14ac:dyDescent="0.25">
      <c r="A28" s="159"/>
      <c r="B28" s="6"/>
      <c r="C28" s="7"/>
      <c r="D28" s="7"/>
      <c r="E28" s="7"/>
      <c r="F28" s="6"/>
      <c r="G28" s="7"/>
      <c r="H28" s="7"/>
      <c r="I28" s="7"/>
      <c r="J28" s="6"/>
      <c r="K28" s="7"/>
      <c r="L28" s="7"/>
      <c r="M28" s="7"/>
      <c r="N28" s="6"/>
      <c r="O28" s="7"/>
      <c r="P28" s="7"/>
      <c r="Q28" s="7"/>
      <c r="R28" s="6"/>
      <c r="S28" s="7"/>
      <c r="T28" s="7"/>
      <c r="U28" s="7"/>
      <c r="V28" s="6"/>
      <c r="W28" s="7"/>
      <c r="X28" s="7"/>
      <c r="Y28" s="7"/>
      <c r="Z28" s="6"/>
      <c r="AA28" s="7"/>
      <c r="AB28" s="7"/>
      <c r="AC28" s="7"/>
    </row>
    <row r="29" spans="1:29" x14ac:dyDescent="0.25">
      <c r="A29" s="159"/>
      <c r="B29" s="6"/>
      <c r="C29" s="7"/>
      <c r="D29" s="7"/>
      <c r="E29" s="7"/>
      <c r="F29" s="6"/>
      <c r="G29" s="7"/>
      <c r="H29" s="7"/>
      <c r="I29" s="7"/>
      <c r="J29" s="6"/>
      <c r="K29" s="7"/>
      <c r="L29" s="7"/>
      <c r="M29" s="7"/>
      <c r="N29" s="6"/>
      <c r="O29" s="7"/>
      <c r="P29" s="7"/>
      <c r="Q29" s="7"/>
      <c r="R29" s="6"/>
      <c r="S29" s="7"/>
      <c r="T29" s="7"/>
      <c r="U29" s="7"/>
      <c r="V29" s="6"/>
      <c r="W29" s="7"/>
      <c r="X29" s="7"/>
      <c r="Y29" s="7"/>
      <c r="Z29" s="6"/>
      <c r="AA29" s="7"/>
      <c r="AB29" s="7"/>
      <c r="AC29" s="7"/>
    </row>
    <row r="30" spans="1:29" x14ac:dyDescent="0.25">
      <c r="A30" s="159" t="s">
        <v>705</v>
      </c>
      <c r="B30" s="6"/>
      <c r="C30" s="7"/>
      <c r="D30" s="7"/>
      <c r="E30" s="7"/>
      <c r="F30" s="6"/>
      <c r="G30" s="7"/>
      <c r="H30" s="7"/>
      <c r="I30" s="7"/>
      <c r="J30" s="6"/>
      <c r="K30" s="7"/>
      <c r="L30" s="7"/>
      <c r="M30" s="7"/>
      <c r="N30" s="6"/>
      <c r="O30" s="7"/>
      <c r="P30" s="7"/>
      <c r="Q30" s="7"/>
      <c r="R30" s="6"/>
      <c r="S30" s="7"/>
      <c r="T30" s="7"/>
      <c r="U30" s="7"/>
      <c r="V30" s="6"/>
      <c r="W30" s="7"/>
      <c r="X30" s="7"/>
      <c r="Y30" s="7"/>
      <c r="Z30" s="6"/>
      <c r="AA30" s="7"/>
      <c r="AB30" s="7"/>
      <c r="AC30" s="7"/>
    </row>
    <row r="31" spans="1:29" x14ac:dyDescent="0.25">
      <c r="A31" s="159"/>
      <c r="B31" s="6"/>
      <c r="C31" s="7"/>
      <c r="D31" s="7"/>
      <c r="E31" s="7"/>
      <c r="F31" s="6"/>
      <c r="G31" s="7"/>
      <c r="H31" s="7"/>
      <c r="I31" s="7"/>
      <c r="J31" s="6"/>
      <c r="K31" s="7"/>
      <c r="L31" s="7"/>
      <c r="M31" s="7"/>
      <c r="N31" s="6"/>
      <c r="O31" s="7"/>
      <c r="P31" s="7"/>
      <c r="Q31" s="7"/>
      <c r="R31" s="6"/>
      <c r="S31" s="7"/>
      <c r="T31" s="7"/>
      <c r="U31" s="7"/>
      <c r="V31" s="6"/>
      <c r="W31" s="7"/>
      <c r="X31" s="7"/>
      <c r="Y31" s="7"/>
      <c r="Z31" s="6"/>
      <c r="AA31" s="7"/>
      <c r="AB31" s="7"/>
      <c r="AC31" s="7"/>
    </row>
    <row r="32" spans="1:29" x14ac:dyDescent="0.25">
      <c r="A32" s="159"/>
      <c r="B32" s="6"/>
      <c r="C32" s="7"/>
      <c r="D32" s="7"/>
      <c r="E32" s="7"/>
      <c r="F32" s="6"/>
      <c r="G32" s="7"/>
      <c r="H32" s="7"/>
      <c r="I32" s="7"/>
      <c r="J32" s="6"/>
      <c r="K32" s="7"/>
      <c r="L32" s="7"/>
      <c r="M32" s="7"/>
      <c r="N32" s="6"/>
      <c r="O32" s="7"/>
      <c r="P32" s="7"/>
      <c r="Q32" s="7"/>
      <c r="R32" s="6"/>
      <c r="S32" s="7"/>
      <c r="T32" s="7"/>
      <c r="U32" s="7"/>
      <c r="V32" s="6"/>
      <c r="W32" s="7"/>
      <c r="X32" s="7"/>
      <c r="Y32" s="7"/>
      <c r="Z32" s="6"/>
      <c r="AA32" s="7"/>
      <c r="AB32" s="7"/>
      <c r="AC32" s="7"/>
    </row>
    <row r="33" spans="1:36" x14ac:dyDescent="0.25">
      <c r="A33" s="159"/>
      <c r="B33" s="6"/>
      <c r="C33" s="7"/>
      <c r="D33" s="7"/>
      <c r="E33" s="7"/>
      <c r="F33" s="6"/>
      <c r="G33" s="7"/>
      <c r="H33" s="7"/>
      <c r="I33" s="7"/>
      <c r="J33" s="6"/>
      <c r="K33" s="7"/>
      <c r="L33" s="7"/>
      <c r="M33" s="7"/>
      <c r="N33" s="6"/>
      <c r="O33" s="7"/>
      <c r="P33" s="7"/>
      <c r="Q33" s="7"/>
      <c r="R33" s="6"/>
      <c r="S33" s="7"/>
      <c r="T33" s="7"/>
      <c r="U33" s="7"/>
      <c r="V33" s="6"/>
      <c r="W33" s="7"/>
      <c r="X33" s="7"/>
      <c r="Y33" s="7"/>
      <c r="Z33" s="6"/>
      <c r="AA33" s="7"/>
      <c r="AB33" s="7"/>
      <c r="AC33" s="7"/>
    </row>
    <row r="34" spans="1:36" x14ac:dyDescent="0.25">
      <c r="A34" s="159"/>
      <c r="B34" s="6"/>
      <c r="C34" s="7"/>
      <c r="D34" s="7"/>
      <c r="E34" s="7"/>
      <c r="F34" s="6"/>
      <c r="G34" s="7"/>
      <c r="H34" s="7"/>
      <c r="I34" s="7"/>
      <c r="J34" s="6"/>
      <c r="K34" s="7"/>
      <c r="L34" s="7"/>
      <c r="M34" s="7"/>
      <c r="N34" s="6"/>
      <c r="O34" s="7"/>
      <c r="P34" s="7"/>
      <c r="Q34" s="7"/>
      <c r="R34" s="6"/>
      <c r="S34" s="7"/>
      <c r="T34" s="7"/>
      <c r="U34" s="7"/>
      <c r="V34" s="6"/>
      <c r="W34" s="7"/>
      <c r="X34" s="7"/>
      <c r="Y34" s="7"/>
      <c r="Z34" s="6"/>
      <c r="AA34" s="7"/>
      <c r="AB34" s="7"/>
      <c r="AC34" s="7"/>
    </row>
    <row r="35" spans="1:36" x14ac:dyDescent="0.25">
      <c r="A35" s="159" t="s">
        <v>706</v>
      </c>
      <c r="B35" s="4"/>
      <c r="C35" s="8"/>
      <c r="D35" s="8"/>
      <c r="E35" s="8"/>
      <c r="F35" s="4"/>
      <c r="G35" s="5"/>
      <c r="H35" s="5"/>
      <c r="I35" s="5"/>
      <c r="J35" s="4"/>
      <c r="K35" s="5"/>
      <c r="L35" s="5"/>
      <c r="M35" s="5"/>
      <c r="N35" s="4"/>
      <c r="O35" s="5"/>
      <c r="P35" s="5"/>
      <c r="Q35" s="5"/>
      <c r="R35" s="4"/>
      <c r="S35" s="5"/>
      <c r="T35" s="5"/>
      <c r="U35" s="5"/>
      <c r="V35" s="4"/>
      <c r="W35" s="5"/>
      <c r="X35" s="5"/>
      <c r="Y35" s="5"/>
      <c r="Z35" s="4"/>
      <c r="AA35" s="5"/>
      <c r="AB35" s="5"/>
      <c r="AC35" s="5"/>
    </row>
    <row r="36" spans="1:36" x14ac:dyDescent="0.25">
      <c r="A36" s="159"/>
      <c r="B36" s="4"/>
      <c r="C36" s="8"/>
      <c r="D36" s="8"/>
      <c r="E36" s="8"/>
      <c r="F36" s="4"/>
      <c r="G36" s="5"/>
      <c r="H36" s="5"/>
      <c r="I36" s="5"/>
      <c r="J36" s="4"/>
      <c r="K36" s="5"/>
      <c r="L36" s="5"/>
      <c r="M36" s="5"/>
      <c r="N36" s="4"/>
      <c r="O36" s="5"/>
      <c r="P36" s="5"/>
      <c r="Q36" s="5"/>
      <c r="R36" s="4"/>
      <c r="S36" s="5"/>
      <c r="T36" s="5"/>
      <c r="U36" s="5"/>
      <c r="V36" s="4"/>
      <c r="W36" s="5"/>
      <c r="X36" s="5"/>
      <c r="Y36" s="5"/>
      <c r="Z36" s="4"/>
      <c r="AA36" s="5"/>
      <c r="AB36" s="5"/>
      <c r="AC36" s="5"/>
    </row>
    <row r="37" spans="1:36" x14ac:dyDescent="0.25">
      <c r="A37" s="159"/>
      <c r="B37" s="4"/>
      <c r="C37" s="8"/>
      <c r="D37" s="8"/>
      <c r="E37" s="8"/>
      <c r="F37" s="4"/>
      <c r="G37" s="5"/>
      <c r="H37" s="5"/>
      <c r="I37" s="5"/>
      <c r="J37" s="4"/>
      <c r="K37" s="5"/>
      <c r="L37" s="5"/>
      <c r="M37" s="5"/>
      <c r="N37" s="4"/>
      <c r="O37" s="5"/>
      <c r="P37" s="5"/>
      <c r="Q37" s="5"/>
      <c r="R37" s="4"/>
      <c r="S37" s="5"/>
      <c r="T37" s="5"/>
      <c r="U37" s="5"/>
      <c r="V37" s="4"/>
      <c r="W37" s="5"/>
      <c r="X37" s="5"/>
      <c r="Y37" s="5"/>
      <c r="Z37" s="4"/>
      <c r="AA37" s="5"/>
      <c r="AB37" s="5"/>
      <c r="AC37" s="5"/>
    </row>
    <row r="38" spans="1:36" x14ac:dyDescent="0.25">
      <c r="A38" s="159"/>
      <c r="B38" s="4"/>
      <c r="C38" s="8"/>
      <c r="D38" s="8"/>
      <c r="E38" s="8"/>
      <c r="F38" s="4"/>
      <c r="G38" s="5"/>
      <c r="H38" s="5"/>
      <c r="I38" s="5"/>
      <c r="J38" s="4"/>
      <c r="K38" s="5"/>
      <c r="L38" s="5"/>
      <c r="M38" s="5"/>
      <c r="N38" s="4"/>
      <c r="O38" s="5"/>
      <c r="P38" s="5"/>
      <c r="Q38" s="5"/>
      <c r="R38" s="4"/>
      <c r="S38" s="5"/>
      <c r="T38" s="5"/>
      <c r="U38" s="5"/>
      <c r="V38" s="4"/>
      <c r="W38" s="5"/>
      <c r="X38" s="5"/>
      <c r="Y38" s="5"/>
      <c r="Z38" s="4"/>
      <c r="AA38" s="5"/>
      <c r="AB38" s="5"/>
      <c r="AC38" s="5"/>
    </row>
    <row r="39" spans="1:36" x14ac:dyDescent="0.25">
      <c r="A39" s="160"/>
      <c r="B39" s="9"/>
      <c r="C39" s="10"/>
      <c r="D39" s="10"/>
      <c r="E39" s="10"/>
      <c r="F39" s="9"/>
      <c r="G39" s="11"/>
      <c r="H39" s="11"/>
      <c r="I39" s="11"/>
      <c r="J39" s="9"/>
      <c r="K39" s="11"/>
      <c r="L39" s="11"/>
      <c r="M39" s="11"/>
      <c r="N39" s="9"/>
      <c r="O39" s="11"/>
      <c r="P39" s="11"/>
      <c r="Q39" s="11"/>
      <c r="R39" s="9"/>
      <c r="S39" s="11"/>
      <c r="T39" s="11"/>
      <c r="U39" s="11"/>
      <c r="V39" s="9"/>
      <c r="W39" s="11"/>
      <c r="X39" s="11"/>
      <c r="Y39" s="11"/>
      <c r="Z39" s="9"/>
      <c r="AA39" s="11"/>
      <c r="AB39" s="11"/>
      <c r="AC39" s="11"/>
    </row>
    <row r="40" spans="1:36" x14ac:dyDescent="0.25">
      <c r="A40" s="159" t="s">
        <v>707</v>
      </c>
      <c r="B40" s="159"/>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row>
    <row r="41" spans="1:36" x14ac:dyDescent="0.25">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row>
    <row r="42" spans="1:36" ht="15" customHeight="1" x14ac:dyDescent="0.25">
      <c r="A42" s="157" t="s">
        <v>708</v>
      </c>
      <c r="B42" s="129" t="s">
        <v>694</v>
      </c>
      <c r="C42" s="131" t="s">
        <v>709</v>
      </c>
      <c r="D42" s="132"/>
      <c r="E42" s="129" t="s">
        <v>697</v>
      </c>
      <c r="F42" s="129" t="s">
        <v>694</v>
      </c>
      <c r="G42" s="131" t="s">
        <v>709</v>
      </c>
      <c r="H42" s="132"/>
      <c r="I42" s="129" t="s">
        <v>697</v>
      </c>
      <c r="J42" s="129" t="s">
        <v>694</v>
      </c>
      <c r="K42" s="131" t="s">
        <v>709</v>
      </c>
      <c r="L42" s="132"/>
      <c r="M42" s="129" t="s">
        <v>697</v>
      </c>
      <c r="N42" s="129" t="s">
        <v>694</v>
      </c>
      <c r="O42" s="131" t="s">
        <v>709</v>
      </c>
      <c r="P42" s="132"/>
      <c r="Q42" s="129" t="s">
        <v>697</v>
      </c>
      <c r="R42" s="129" t="s">
        <v>694</v>
      </c>
      <c r="S42" s="131" t="s">
        <v>709</v>
      </c>
      <c r="T42" s="132"/>
      <c r="U42" s="129" t="s">
        <v>697</v>
      </c>
      <c r="V42" s="129" t="s">
        <v>694</v>
      </c>
      <c r="W42" s="131" t="s">
        <v>709</v>
      </c>
      <c r="X42" s="132"/>
      <c r="Y42" s="129" t="s">
        <v>697</v>
      </c>
      <c r="Z42" s="129" t="s">
        <v>694</v>
      </c>
      <c r="AA42" s="131" t="s">
        <v>709</v>
      </c>
      <c r="AB42" s="132"/>
      <c r="AC42" s="129" t="s">
        <v>697</v>
      </c>
      <c r="AD42" s="156" t="s">
        <v>710</v>
      </c>
      <c r="AE42" s="156"/>
      <c r="AF42" s="156"/>
      <c r="AG42" s="156"/>
      <c r="AH42" s="156" t="s">
        <v>711</v>
      </c>
      <c r="AI42" s="156" t="s">
        <v>712</v>
      </c>
      <c r="AJ42" s="157"/>
    </row>
    <row r="43" spans="1:36" x14ac:dyDescent="0.25">
      <c r="A43" s="157"/>
      <c r="B43" s="130"/>
      <c r="C43" s="133"/>
      <c r="D43" s="134"/>
      <c r="E43" s="130"/>
      <c r="F43" s="130"/>
      <c r="G43" s="133"/>
      <c r="H43" s="134"/>
      <c r="I43" s="130"/>
      <c r="J43" s="130"/>
      <c r="K43" s="133"/>
      <c r="L43" s="134"/>
      <c r="M43" s="130"/>
      <c r="N43" s="130"/>
      <c r="O43" s="133"/>
      <c r="P43" s="134"/>
      <c r="Q43" s="130"/>
      <c r="R43" s="130"/>
      <c r="S43" s="133"/>
      <c r="T43" s="134"/>
      <c r="U43" s="130"/>
      <c r="V43" s="130"/>
      <c r="W43" s="133"/>
      <c r="X43" s="134"/>
      <c r="Y43" s="130"/>
      <c r="Z43" s="130"/>
      <c r="AA43" s="133"/>
      <c r="AB43" s="134"/>
      <c r="AC43" s="130"/>
      <c r="AD43" s="156"/>
      <c r="AE43" s="156"/>
      <c r="AF43" s="156"/>
      <c r="AG43" s="156"/>
      <c r="AH43" s="157"/>
      <c r="AI43" s="157"/>
      <c r="AJ43" s="157"/>
    </row>
    <row r="44" spans="1:36" x14ac:dyDescent="0.25">
      <c r="A44" s="137">
        <v>45214</v>
      </c>
      <c r="B44" s="2">
        <f>B5</f>
        <v>0</v>
      </c>
      <c r="C44" s="126">
        <f ca="1">IF(TODAY()=$A$44,C5*D5*E5,C44)</f>
        <v>1980</v>
      </c>
      <c r="D44" s="127"/>
      <c r="E44" s="12">
        <f ca="1">IF(TODAY()=$A$44,E5,E44)</f>
        <v>0</v>
      </c>
      <c r="F44" s="2">
        <f>F5</f>
        <v>0</v>
      </c>
      <c r="G44" s="126">
        <f ca="1">IF(TODAY()=$A$44,G5*H5*I5,G44)</f>
        <v>900</v>
      </c>
      <c r="H44" s="127"/>
      <c r="I44" s="12">
        <f ca="1">IF(TODAY()=$A$44,I5,I44)</f>
        <v>0</v>
      </c>
      <c r="J44" s="2">
        <f>J5</f>
        <v>0</v>
      </c>
      <c r="K44" s="126">
        <f ca="1">IF(TODAY()=$A$44,K5*L5*M5,K44)</f>
        <v>0</v>
      </c>
      <c r="L44" s="127"/>
      <c r="M44" s="12">
        <f ca="1">IF(TODAY()=$A$44,M5,M44)</f>
        <v>0</v>
      </c>
      <c r="N44" s="2">
        <f>N5</f>
        <v>0</v>
      </c>
      <c r="O44" s="126">
        <f ca="1">IF(TODAY()=$A$44,O5*P5*Q5,O44)</f>
        <v>0</v>
      </c>
      <c r="P44" s="127"/>
      <c r="Q44" s="12">
        <f ca="1">IF(TODAY()=$A$44,Q5,Q44)</f>
        <v>0</v>
      </c>
      <c r="R44" s="2">
        <f>R5</f>
        <v>0</v>
      </c>
      <c r="S44" s="126">
        <f ca="1">IF(TODAY()=$A$44,S5*T5*U5,S44)</f>
        <v>0</v>
      </c>
      <c r="T44" s="127"/>
      <c r="U44" s="12">
        <f ca="1">IF(TODAY()=$A$44,U5,U44)</f>
        <v>0</v>
      </c>
      <c r="V44" s="2">
        <f>V5</f>
        <v>0</v>
      </c>
      <c r="W44" s="126">
        <f ca="1">IF(TODAY()=$A$44,W5*X5*Y5,W44)</f>
        <v>0</v>
      </c>
      <c r="X44" s="127"/>
      <c r="Y44" s="12">
        <f ca="1">IF(TODAY()=$A$44,Y5,Y44)</f>
        <v>0</v>
      </c>
      <c r="Z44" s="2">
        <f>Z5</f>
        <v>0</v>
      </c>
      <c r="AA44" s="126">
        <f ca="1">IF(TODAY()=$A$44,AA5*AB5*AC5,AA44)</f>
        <v>0</v>
      </c>
      <c r="AB44" s="127"/>
      <c r="AC44" s="12">
        <f ca="1">IF(TODAY()=$A$44,AC5,AC44)</f>
        <v>0</v>
      </c>
      <c r="AD44" s="139">
        <f ca="1">SUM(C44:E78,G44:I78,K44:M78,O44:Q78,S44:U78,W44:Y78,AA44:AC78)</f>
        <v>62355</v>
      </c>
      <c r="AE44" s="139"/>
      <c r="AF44" s="139"/>
      <c r="AG44" s="139"/>
      <c r="AH44" s="115"/>
      <c r="AI44" s="135"/>
      <c r="AJ44" s="135"/>
    </row>
    <row r="45" spans="1:36" x14ac:dyDescent="0.25">
      <c r="A45" s="137"/>
      <c r="B45" s="1">
        <f t="shared" ref="B45:B78" si="0">B6</f>
        <v>0</v>
      </c>
      <c r="C45" s="126">
        <f t="shared" ref="C45:C78" ca="1" si="1">IF(TODAY()=$A$44,C6*D6*E6,C45)</f>
        <v>1350</v>
      </c>
      <c r="D45" s="127"/>
      <c r="E45" s="12">
        <f t="shared" ref="E45:E78" ca="1" si="2">IF(TODAY()=$A$44,E6,E45)</f>
        <v>0</v>
      </c>
      <c r="F45" s="1">
        <f t="shared" ref="F45:F78" si="3">F6</f>
        <v>0</v>
      </c>
      <c r="G45" s="126">
        <f t="shared" ref="G45:G78" ca="1" si="4">IF(TODAY()=$A$44,G6*H6*I6,G45)</f>
        <v>720</v>
      </c>
      <c r="H45" s="127"/>
      <c r="I45" s="12">
        <f t="shared" ref="I45:I78" ca="1" si="5">IF(TODAY()=$A$44,I6,I45)</f>
        <v>0</v>
      </c>
      <c r="J45" s="1">
        <f t="shared" ref="J45:J78" si="6">J6</f>
        <v>0</v>
      </c>
      <c r="K45" s="126">
        <f t="shared" ref="K45:K78" ca="1" si="7">IF(TODAY()=$A$44,K6*L6*M6,K45)</f>
        <v>0</v>
      </c>
      <c r="L45" s="127"/>
      <c r="M45" s="12">
        <f t="shared" ref="M45:M78" ca="1" si="8">IF(TODAY()=$A$44,M6,M45)</f>
        <v>0</v>
      </c>
      <c r="N45" s="1">
        <f t="shared" ref="N45:N78" si="9">N6</f>
        <v>0</v>
      </c>
      <c r="O45" s="126">
        <f t="shared" ref="O45:O78" ca="1" si="10">IF(TODAY()=$A$44,O6*P6*Q6,O45)</f>
        <v>0</v>
      </c>
      <c r="P45" s="127"/>
      <c r="Q45" s="12">
        <f t="shared" ref="Q45:Q78" ca="1" si="11">IF(TODAY()=$A$44,Q6,Q45)</f>
        <v>0</v>
      </c>
      <c r="R45" s="1">
        <f t="shared" ref="R45:R78" si="12">R6</f>
        <v>0</v>
      </c>
      <c r="S45" s="126">
        <f t="shared" ref="S45:S78" ca="1" si="13">IF(TODAY()=$A$44,S6*T6*U6,S45)</f>
        <v>0</v>
      </c>
      <c r="T45" s="127"/>
      <c r="U45" s="12">
        <f t="shared" ref="U45:U78" ca="1" si="14">IF(TODAY()=$A$44,U6,U45)</f>
        <v>0</v>
      </c>
      <c r="V45" s="1">
        <f t="shared" ref="V45:V78" si="15">V6</f>
        <v>0</v>
      </c>
      <c r="W45" s="126">
        <f t="shared" ref="W45:W78" ca="1" si="16">IF(TODAY()=$A$44,W6*X6*Y6,W45)</f>
        <v>0</v>
      </c>
      <c r="X45" s="127"/>
      <c r="Y45" s="12">
        <f t="shared" ref="Y45:Y78" ca="1" si="17">IF(TODAY()=$A$44,Y6,Y45)</f>
        <v>0</v>
      </c>
      <c r="Z45" s="1">
        <f t="shared" ref="Z45:Z78" si="18">Z6</f>
        <v>0</v>
      </c>
      <c r="AA45" s="126">
        <f t="shared" ref="AA45:AA78" ca="1" si="19">IF(TODAY()=$A$44,AA6*AB6*AC6,AA45)</f>
        <v>0</v>
      </c>
      <c r="AB45" s="127"/>
      <c r="AC45" s="12">
        <f t="shared" ref="AC45:AC78" ca="1" si="20">IF(TODAY()=$A$44,AC6,AC45)</f>
        <v>0</v>
      </c>
      <c r="AD45" s="140"/>
      <c r="AE45" s="140"/>
      <c r="AF45" s="140"/>
      <c r="AG45" s="140"/>
      <c r="AH45" s="116"/>
      <c r="AI45" s="136"/>
      <c r="AJ45" s="136"/>
    </row>
    <row r="46" spans="1:36" x14ac:dyDescent="0.25">
      <c r="A46" s="137"/>
      <c r="B46" s="1">
        <f t="shared" si="0"/>
        <v>0</v>
      </c>
      <c r="C46" s="126">
        <f t="shared" ca="1" si="1"/>
        <v>2700</v>
      </c>
      <c r="D46" s="127"/>
      <c r="E46" s="12">
        <f t="shared" ca="1" si="2"/>
        <v>0</v>
      </c>
      <c r="F46" s="1">
        <f t="shared" si="3"/>
        <v>0</v>
      </c>
      <c r="G46" s="126">
        <f t="shared" ca="1" si="4"/>
        <v>1050</v>
      </c>
      <c r="H46" s="127"/>
      <c r="I46" s="12">
        <f t="shared" ca="1" si="5"/>
        <v>0</v>
      </c>
      <c r="J46" s="1">
        <f t="shared" si="6"/>
        <v>0</v>
      </c>
      <c r="K46" s="126">
        <f t="shared" ca="1" si="7"/>
        <v>0</v>
      </c>
      <c r="L46" s="127"/>
      <c r="M46" s="12">
        <f t="shared" ca="1" si="8"/>
        <v>0</v>
      </c>
      <c r="N46" s="1">
        <f t="shared" si="9"/>
        <v>0</v>
      </c>
      <c r="O46" s="126">
        <f t="shared" ca="1" si="10"/>
        <v>0</v>
      </c>
      <c r="P46" s="127"/>
      <c r="Q46" s="12">
        <f t="shared" ca="1" si="11"/>
        <v>0</v>
      </c>
      <c r="R46" s="1">
        <f t="shared" si="12"/>
        <v>0</v>
      </c>
      <c r="S46" s="126">
        <f t="shared" ca="1" si="13"/>
        <v>0</v>
      </c>
      <c r="T46" s="127"/>
      <c r="U46" s="12">
        <f t="shared" ca="1" si="14"/>
        <v>0</v>
      </c>
      <c r="V46" s="1">
        <f t="shared" si="15"/>
        <v>0</v>
      </c>
      <c r="W46" s="126">
        <f t="shared" ca="1" si="16"/>
        <v>0</v>
      </c>
      <c r="X46" s="127"/>
      <c r="Y46" s="12">
        <f t="shared" ca="1" si="17"/>
        <v>0</v>
      </c>
      <c r="Z46" s="1">
        <f t="shared" si="18"/>
        <v>0</v>
      </c>
      <c r="AA46" s="126">
        <f t="shared" ca="1" si="19"/>
        <v>0</v>
      </c>
      <c r="AB46" s="127"/>
      <c r="AC46" s="12">
        <f t="shared" ca="1" si="20"/>
        <v>0</v>
      </c>
      <c r="AD46" s="140"/>
      <c r="AE46" s="140"/>
      <c r="AF46" s="140"/>
      <c r="AG46" s="140"/>
      <c r="AH46" s="116"/>
      <c r="AI46" s="136"/>
      <c r="AJ46" s="136"/>
    </row>
    <row r="47" spans="1:36" x14ac:dyDescent="0.25">
      <c r="A47" s="137"/>
      <c r="B47" s="1">
        <f t="shared" si="0"/>
        <v>0</v>
      </c>
      <c r="C47" s="126">
        <f t="shared" ca="1" si="1"/>
        <v>1620</v>
      </c>
      <c r="D47" s="127"/>
      <c r="E47" s="12">
        <f t="shared" ca="1" si="2"/>
        <v>0</v>
      </c>
      <c r="F47" s="1">
        <f t="shared" si="3"/>
        <v>0</v>
      </c>
      <c r="G47" s="126">
        <f t="shared" ca="1" si="4"/>
        <v>450</v>
      </c>
      <c r="H47" s="127"/>
      <c r="I47" s="12">
        <f t="shared" ca="1" si="5"/>
        <v>0</v>
      </c>
      <c r="J47" s="1">
        <f t="shared" si="6"/>
        <v>0</v>
      </c>
      <c r="K47" s="126">
        <f t="shared" ca="1" si="7"/>
        <v>0</v>
      </c>
      <c r="L47" s="127"/>
      <c r="M47" s="12">
        <f t="shared" ca="1" si="8"/>
        <v>0</v>
      </c>
      <c r="N47" s="1">
        <f t="shared" si="9"/>
        <v>0</v>
      </c>
      <c r="O47" s="126">
        <f t="shared" ca="1" si="10"/>
        <v>0</v>
      </c>
      <c r="P47" s="127"/>
      <c r="Q47" s="12">
        <f t="shared" ca="1" si="11"/>
        <v>0</v>
      </c>
      <c r="R47" s="1">
        <f t="shared" si="12"/>
        <v>0</v>
      </c>
      <c r="S47" s="126">
        <f t="shared" ca="1" si="13"/>
        <v>0</v>
      </c>
      <c r="T47" s="127"/>
      <c r="U47" s="12">
        <f t="shared" ca="1" si="14"/>
        <v>0</v>
      </c>
      <c r="V47" s="1">
        <f t="shared" si="15"/>
        <v>0</v>
      </c>
      <c r="W47" s="126">
        <f t="shared" ca="1" si="16"/>
        <v>0</v>
      </c>
      <c r="X47" s="127"/>
      <c r="Y47" s="12">
        <f t="shared" ca="1" si="17"/>
        <v>0</v>
      </c>
      <c r="Z47" s="1">
        <f t="shared" si="18"/>
        <v>0</v>
      </c>
      <c r="AA47" s="126">
        <f t="shared" ca="1" si="19"/>
        <v>0</v>
      </c>
      <c r="AB47" s="127"/>
      <c r="AC47" s="12">
        <f t="shared" ca="1" si="20"/>
        <v>0</v>
      </c>
      <c r="AD47" s="140"/>
      <c r="AE47" s="140"/>
      <c r="AF47" s="140"/>
      <c r="AG47" s="140"/>
      <c r="AH47" s="116"/>
      <c r="AI47" s="136"/>
      <c r="AJ47" s="136"/>
    </row>
    <row r="48" spans="1:36" x14ac:dyDescent="0.25">
      <c r="A48" s="137"/>
      <c r="B48" s="1">
        <f t="shared" si="0"/>
        <v>0</v>
      </c>
      <c r="C48" s="126">
        <f t="shared" ca="1" si="1"/>
        <v>1950</v>
      </c>
      <c r="D48" s="127"/>
      <c r="E48" s="12">
        <f t="shared" ca="1" si="2"/>
        <v>0</v>
      </c>
      <c r="F48" s="1">
        <f t="shared" si="3"/>
        <v>0</v>
      </c>
      <c r="G48" s="126">
        <f t="shared" ca="1" si="4"/>
        <v>0</v>
      </c>
      <c r="H48" s="127"/>
      <c r="I48" s="12">
        <f t="shared" ca="1" si="5"/>
        <v>0</v>
      </c>
      <c r="J48" s="1">
        <f t="shared" si="6"/>
        <v>0</v>
      </c>
      <c r="K48" s="126">
        <f t="shared" ca="1" si="7"/>
        <v>0</v>
      </c>
      <c r="L48" s="127"/>
      <c r="M48" s="12">
        <f t="shared" ca="1" si="8"/>
        <v>0</v>
      </c>
      <c r="N48" s="1">
        <f t="shared" si="9"/>
        <v>0</v>
      </c>
      <c r="O48" s="126">
        <f t="shared" ca="1" si="10"/>
        <v>0</v>
      </c>
      <c r="P48" s="127"/>
      <c r="Q48" s="12">
        <f t="shared" ca="1" si="11"/>
        <v>0</v>
      </c>
      <c r="R48" s="1">
        <f t="shared" si="12"/>
        <v>0</v>
      </c>
      <c r="S48" s="126">
        <f t="shared" ca="1" si="13"/>
        <v>0</v>
      </c>
      <c r="T48" s="127"/>
      <c r="U48" s="12">
        <f t="shared" ca="1" si="14"/>
        <v>0</v>
      </c>
      <c r="V48" s="1">
        <f t="shared" si="15"/>
        <v>0</v>
      </c>
      <c r="W48" s="126">
        <f t="shared" ca="1" si="16"/>
        <v>0</v>
      </c>
      <c r="X48" s="127"/>
      <c r="Y48" s="12">
        <f t="shared" ca="1" si="17"/>
        <v>0</v>
      </c>
      <c r="Z48" s="1">
        <f t="shared" si="18"/>
        <v>0</v>
      </c>
      <c r="AA48" s="126">
        <f t="shared" ca="1" si="19"/>
        <v>0</v>
      </c>
      <c r="AB48" s="127"/>
      <c r="AC48" s="12">
        <f t="shared" ca="1" si="20"/>
        <v>0</v>
      </c>
      <c r="AD48" s="140"/>
      <c r="AE48" s="140"/>
      <c r="AF48" s="140"/>
      <c r="AG48" s="140"/>
      <c r="AH48" s="116"/>
      <c r="AI48" s="136"/>
      <c r="AJ48" s="136"/>
    </row>
    <row r="49" spans="1:36" x14ac:dyDescent="0.25">
      <c r="A49" s="137"/>
      <c r="B49" s="1">
        <f t="shared" si="0"/>
        <v>0</v>
      </c>
      <c r="C49" s="126">
        <f t="shared" ca="1" si="1"/>
        <v>0</v>
      </c>
      <c r="D49" s="127"/>
      <c r="E49" s="12">
        <f t="shared" ca="1" si="2"/>
        <v>0</v>
      </c>
      <c r="F49" s="1">
        <f t="shared" si="3"/>
        <v>0</v>
      </c>
      <c r="G49" s="126">
        <f t="shared" ca="1" si="4"/>
        <v>0</v>
      </c>
      <c r="H49" s="127"/>
      <c r="I49" s="12">
        <f t="shared" ca="1" si="5"/>
        <v>0</v>
      </c>
      <c r="J49" s="1">
        <f t="shared" si="6"/>
        <v>0</v>
      </c>
      <c r="K49" s="126">
        <f t="shared" ca="1" si="7"/>
        <v>30</v>
      </c>
      <c r="L49" s="127"/>
      <c r="M49" s="12">
        <f t="shared" ca="1" si="8"/>
        <v>0</v>
      </c>
      <c r="N49" s="1">
        <f t="shared" si="9"/>
        <v>0</v>
      </c>
      <c r="O49" s="126">
        <f t="shared" ca="1" si="10"/>
        <v>1080</v>
      </c>
      <c r="P49" s="127"/>
      <c r="Q49" s="12">
        <f t="shared" ca="1" si="11"/>
        <v>0</v>
      </c>
      <c r="R49" s="1">
        <f t="shared" si="12"/>
        <v>0</v>
      </c>
      <c r="S49" s="126">
        <f t="shared" ca="1" si="13"/>
        <v>0</v>
      </c>
      <c r="T49" s="127"/>
      <c r="U49" s="12">
        <f t="shared" ca="1" si="14"/>
        <v>0</v>
      </c>
      <c r="V49" s="1">
        <f t="shared" si="15"/>
        <v>0</v>
      </c>
      <c r="W49" s="126">
        <f t="shared" ca="1" si="16"/>
        <v>0</v>
      </c>
      <c r="X49" s="127"/>
      <c r="Y49" s="12">
        <f t="shared" ca="1" si="17"/>
        <v>0</v>
      </c>
      <c r="Z49" s="1">
        <f t="shared" si="18"/>
        <v>0</v>
      </c>
      <c r="AA49" s="126">
        <f t="shared" ca="1" si="19"/>
        <v>0</v>
      </c>
      <c r="AB49" s="127"/>
      <c r="AC49" s="12">
        <f t="shared" ca="1" si="20"/>
        <v>0</v>
      </c>
      <c r="AD49" s="140"/>
      <c r="AE49" s="140"/>
      <c r="AF49" s="140"/>
      <c r="AG49" s="140"/>
      <c r="AH49" s="116"/>
      <c r="AI49" s="136"/>
      <c r="AJ49" s="136"/>
    </row>
    <row r="50" spans="1:36" x14ac:dyDescent="0.25">
      <c r="A50" s="137"/>
      <c r="B50" s="1">
        <f t="shared" si="0"/>
        <v>0</v>
      </c>
      <c r="C50" s="126">
        <f t="shared" ca="1" si="1"/>
        <v>0</v>
      </c>
      <c r="D50" s="127"/>
      <c r="E50" s="12">
        <f t="shared" ca="1" si="2"/>
        <v>0</v>
      </c>
      <c r="F50" s="1">
        <f t="shared" si="3"/>
        <v>0</v>
      </c>
      <c r="G50" s="126">
        <f t="shared" ca="1" si="4"/>
        <v>0</v>
      </c>
      <c r="H50" s="127"/>
      <c r="I50" s="12">
        <f t="shared" ca="1" si="5"/>
        <v>0</v>
      </c>
      <c r="J50" s="1">
        <f t="shared" si="6"/>
        <v>0</v>
      </c>
      <c r="K50" s="126">
        <f t="shared" ca="1" si="7"/>
        <v>1800</v>
      </c>
      <c r="L50" s="127"/>
      <c r="M50" s="12">
        <f t="shared" ca="1" si="8"/>
        <v>0</v>
      </c>
      <c r="N50" s="1">
        <f t="shared" si="9"/>
        <v>0</v>
      </c>
      <c r="O50" s="126">
        <f t="shared" ca="1" si="10"/>
        <v>5670</v>
      </c>
      <c r="P50" s="127"/>
      <c r="Q50" s="12">
        <f t="shared" ca="1" si="11"/>
        <v>0</v>
      </c>
      <c r="R50" s="1">
        <f t="shared" si="12"/>
        <v>0</v>
      </c>
      <c r="S50" s="126">
        <f t="shared" ca="1" si="13"/>
        <v>0</v>
      </c>
      <c r="T50" s="127"/>
      <c r="U50" s="12">
        <f t="shared" ca="1" si="14"/>
        <v>0</v>
      </c>
      <c r="V50" s="1">
        <f t="shared" si="15"/>
        <v>0</v>
      </c>
      <c r="W50" s="126">
        <f t="shared" ca="1" si="16"/>
        <v>0</v>
      </c>
      <c r="X50" s="127"/>
      <c r="Y50" s="12">
        <f t="shared" ca="1" si="17"/>
        <v>0</v>
      </c>
      <c r="Z50" s="1">
        <f t="shared" si="18"/>
        <v>0</v>
      </c>
      <c r="AA50" s="126">
        <f t="shared" ca="1" si="19"/>
        <v>0</v>
      </c>
      <c r="AB50" s="127"/>
      <c r="AC50" s="12">
        <f t="shared" ca="1" si="20"/>
        <v>0</v>
      </c>
      <c r="AD50" s="140"/>
      <c r="AE50" s="140"/>
      <c r="AF50" s="140"/>
      <c r="AG50" s="140"/>
      <c r="AH50" s="116"/>
      <c r="AI50" s="136"/>
      <c r="AJ50" s="136"/>
    </row>
    <row r="51" spans="1:36" x14ac:dyDescent="0.25">
      <c r="A51" s="137"/>
      <c r="B51" s="1">
        <f t="shared" si="0"/>
        <v>0</v>
      </c>
      <c r="C51" s="126">
        <f t="shared" ca="1" si="1"/>
        <v>0</v>
      </c>
      <c r="D51" s="127"/>
      <c r="E51" s="12">
        <f t="shared" ca="1" si="2"/>
        <v>0</v>
      </c>
      <c r="F51" s="1">
        <f t="shared" si="3"/>
        <v>0</v>
      </c>
      <c r="G51" s="126">
        <f t="shared" ca="1" si="4"/>
        <v>0</v>
      </c>
      <c r="H51" s="127"/>
      <c r="I51" s="12">
        <f t="shared" ca="1" si="5"/>
        <v>0</v>
      </c>
      <c r="J51" s="1">
        <f t="shared" si="6"/>
        <v>0</v>
      </c>
      <c r="K51" s="126">
        <f t="shared" ca="1" si="7"/>
        <v>360</v>
      </c>
      <c r="L51" s="127"/>
      <c r="M51" s="12">
        <f t="shared" ca="1" si="8"/>
        <v>0</v>
      </c>
      <c r="N51" s="1">
        <f t="shared" si="9"/>
        <v>0</v>
      </c>
      <c r="O51" s="126">
        <f t="shared" ca="1" si="10"/>
        <v>900</v>
      </c>
      <c r="P51" s="127"/>
      <c r="Q51" s="12">
        <f t="shared" ca="1" si="11"/>
        <v>0</v>
      </c>
      <c r="R51" s="1">
        <f t="shared" si="12"/>
        <v>0</v>
      </c>
      <c r="S51" s="126">
        <f t="shared" ca="1" si="13"/>
        <v>0</v>
      </c>
      <c r="T51" s="127"/>
      <c r="U51" s="12">
        <f t="shared" ca="1" si="14"/>
        <v>0</v>
      </c>
      <c r="V51" s="1">
        <f t="shared" si="15"/>
        <v>0</v>
      </c>
      <c r="W51" s="126">
        <f t="shared" ca="1" si="16"/>
        <v>0</v>
      </c>
      <c r="X51" s="127"/>
      <c r="Y51" s="12">
        <f t="shared" ca="1" si="17"/>
        <v>0</v>
      </c>
      <c r="Z51" s="1">
        <f t="shared" si="18"/>
        <v>0</v>
      </c>
      <c r="AA51" s="126">
        <f t="shared" ca="1" si="19"/>
        <v>0</v>
      </c>
      <c r="AB51" s="127"/>
      <c r="AC51" s="12">
        <f t="shared" ca="1" si="20"/>
        <v>0</v>
      </c>
      <c r="AD51" s="140"/>
      <c r="AE51" s="140"/>
      <c r="AF51" s="140"/>
      <c r="AG51" s="140"/>
      <c r="AH51" s="116"/>
      <c r="AI51" s="136"/>
      <c r="AJ51" s="136"/>
    </row>
    <row r="52" spans="1:36" x14ac:dyDescent="0.25">
      <c r="A52" s="137"/>
      <c r="B52" s="1">
        <f t="shared" si="0"/>
        <v>0</v>
      </c>
      <c r="C52" s="126">
        <f t="shared" ca="1" si="1"/>
        <v>0</v>
      </c>
      <c r="D52" s="127"/>
      <c r="E52" s="12">
        <f t="shared" ca="1" si="2"/>
        <v>0</v>
      </c>
      <c r="F52" s="1">
        <f t="shared" si="3"/>
        <v>0</v>
      </c>
      <c r="G52" s="126">
        <f t="shared" ca="1" si="4"/>
        <v>0</v>
      </c>
      <c r="H52" s="127"/>
      <c r="I52" s="12">
        <f t="shared" ca="1" si="5"/>
        <v>0</v>
      </c>
      <c r="J52" s="1">
        <f t="shared" si="6"/>
        <v>0</v>
      </c>
      <c r="K52" s="126">
        <f t="shared" ca="1" si="7"/>
        <v>720</v>
      </c>
      <c r="L52" s="127"/>
      <c r="M52" s="12">
        <f t="shared" ca="1" si="8"/>
        <v>0</v>
      </c>
      <c r="N52" s="1">
        <f t="shared" si="9"/>
        <v>0</v>
      </c>
      <c r="O52" s="126">
        <f t="shared" ca="1" si="10"/>
        <v>1200</v>
      </c>
      <c r="P52" s="127"/>
      <c r="Q52" s="12">
        <f t="shared" ca="1" si="11"/>
        <v>0</v>
      </c>
      <c r="R52" s="1">
        <f t="shared" si="12"/>
        <v>0</v>
      </c>
      <c r="S52" s="126">
        <f t="shared" ca="1" si="13"/>
        <v>0</v>
      </c>
      <c r="T52" s="127"/>
      <c r="U52" s="12">
        <f t="shared" ca="1" si="14"/>
        <v>0</v>
      </c>
      <c r="V52" s="1">
        <f t="shared" si="15"/>
        <v>0</v>
      </c>
      <c r="W52" s="126">
        <f t="shared" ca="1" si="16"/>
        <v>0</v>
      </c>
      <c r="X52" s="127"/>
      <c r="Y52" s="12">
        <f t="shared" ca="1" si="17"/>
        <v>0</v>
      </c>
      <c r="Z52" s="1">
        <f t="shared" si="18"/>
        <v>0</v>
      </c>
      <c r="AA52" s="126">
        <f t="shared" ca="1" si="19"/>
        <v>0</v>
      </c>
      <c r="AB52" s="127"/>
      <c r="AC52" s="12">
        <f t="shared" ca="1" si="20"/>
        <v>0</v>
      </c>
      <c r="AD52" s="140"/>
      <c r="AE52" s="140"/>
      <c r="AF52" s="140"/>
      <c r="AG52" s="140"/>
      <c r="AH52" s="116"/>
      <c r="AI52" s="136"/>
      <c r="AJ52" s="136"/>
    </row>
    <row r="53" spans="1:36" x14ac:dyDescent="0.25">
      <c r="A53" s="137"/>
      <c r="B53" s="1">
        <f t="shared" si="0"/>
        <v>0</v>
      </c>
      <c r="C53" s="126">
        <f t="shared" ca="1" si="1"/>
        <v>0</v>
      </c>
      <c r="D53" s="127"/>
      <c r="E53" s="12">
        <f t="shared" ca="1" si="2"/>
        <v>0</v>
      </c>
      <c r="F53" s="1">
        <f t="shared" si="3"/>
        <v>0</v>
      </c>
      <c r="G53" s="126">
        <f t="shared" ca="1" si="4"/>
        <v>0</v>
      </c>
      <c r="H53" s="127"/>
      <c r="I53" s="12">
        <f t="shared" ca="1" si="5"/>
        <v>0</v>
      </c>
      <c r="J53" s="1">
        <f t="shared" si="6"/>
        <v>0</v>
      </c>
      <c r="K53" s="126">
        <f t="shared" ca="1" si="7"/>
        <v>4680</v>
      </c>
      <c r="L53" s="127"/>
      <c r="M53" s="12">
        <f t="shared" ca="1" si="8"/>
        <v>0</v>
      </c>
      <c r="N53" s="1">
        <f t="shared" si="9"/>
        <v>0</v>
      </c>
      <c r="O53" s="126">
        <f t="shared" ca="1" si="10"/>
        <v>0</v>
      </c>
      <c r="P53" s="127"/>
      <c r="Q53" s="12">
        <f t="shared" ca="1" si="11"/>
        <v>0</v>
      </c>
      <c r="R53" s="1">
        <f t="shared" si="12"/>
        <v>0</v>
      </c>
      <c r="S53" s="126">
        <f t="shared" ca="1" si="13"/>
        <v>0</v>
      </c>
      <c r="T53" s="127"/>
      <c r="U53" s="12">
        <f t="shared" ca="1" si="14"/>
        <v>0</v>
      </c>
      <c r="V53" s="1">
        <f t="shared" si="15"/>
        <v>0</v>
      </c>
      <c r="W53" s="126">
        <f t="shared" ca="1" si="16"/>
        <v>0</v>
      </c>
      <c r="X53" s="127"/>
      <c r="Y53" s="12">
        <f t="shared" ca="1" si="17"/>
        <v>0</v>
      </c>
      <c r="Z53" s="1">
        <f t="shared" si="18"/>
        <v>0</v>
      </c>
      <c r="AA53" s="126">
        <f t="shared" ca="1" si="19"/>
        <v>0</v>
      </c>
      <c r="AB53" s="127"/>
      <c r="AC53" s="12">
        <f t="shared" ca="1" si="20"/>
        <v>0</v>
      </c>
      <c r="AD53" s="140"/>
      <c r="AE53" s="140"/>
      <c r="AF53" s="140"/>
      <c r="AG53" s="140"/>
      <c r="AH53" s="116"/>
      <c r="AI53" s="136"/>
      <c r="AJ53" s="136"/>
    </row>
    <row r="54" spans="1:36" x14ac:dyDescent="0.25">
      <c r="A54" s="137"/>
      <c r="B54" s="1">
        <f t="shared" si="0"/>
        <v>0</v>
      </c>
      <c r="C54" s="126">
        <f t="shared" ca="1" si="1"/>
        <v>0</v>
      </c>
      <c r="D54" s="127"/>
      <c r="E54" s="12">
        <f t="shared" ca="1" si="2"/>
        <v>0</v>
      </c>
      <c r="F54" s="1">
        <f t="shared" si="3"/>
        <v>0</v>
      </c>
      <c r="G54" s="126">
        <f t="shared" ca="1" si="4"/>
        <v>0</v>
      </c>
      <c r="H54" s="127"/>
      <c r="I54" s="12">
        <f t="shared" ca="1" si="5"/>
        <v>0</v>
      </c>
      <c r="J54" s="1">
        <f t="shared" si="6"/>
        <v>0</v>
      </c>
      <c r="K54" s="126">
        <f t="shared" ca="1" si="7"/>
        <v>0</v>
      </c>
      <c r="L54" s="127"/>
      <c r="M54" s="12">
        <f t="shared" ca="1" si="8"/>
        <v>0</v>
      </c>
      <c r="N54" s="1">
        <f t="shared" si="9"/>
        <v>0</v>
      </c>
      <c r="O54" s="126">
        <f t="shared" ca="1" si="10"/>
        <v>0</v>
      </c>
      <c r="P54" s="127"/>
      <c r="Q54" s="12">
        <f t="shared" ca="1" si="11"/>
        <v>0</v>
      </c>
      <c r="R54" s="1">
        <f t="shared" si="12"/>
        <v>0</v>
      </c>
      <c r="S54" s="126">
        <f t="shared" ca="1" si="13"/>
        <v>0</v>
      </c>
      <c r="T54" s="127"/>
      <c r="U54" s="12">
        <f t="shared" ca="1" si="14"/>
        <v>0</v>
      </c>
      <c r="V54" s="1">
        <f t="shared" si="15"/>
        <v>0</v>
      </c>
      <c r="W54" s="126">
        <f t="shared" ca="1" si="16"/>
        <v>0</v>
      </c>
      <c r="X54" s="127"/>
      <c r="Y54" s="12">
        <f t="shared" ca="1" si="17"/>
        <v>0</v>
      </c>
      <c r="Z54" s="1">
        <f t="shared" si="18"/>
        <v>0</v>
      </c>
      <c r="AA54" s="126">
        <f t="shared" ca="1" si="19"/>
        <v>0</v>
      </c>
      <c r="AB54" s="127"/>
      <c r="AC54" s="12">
        <f t="shared" ca="1" si="20"/>
        <v>0</v>
      </c>
      <c r="AD54" s="140"/>
      <c r="AE54" s="140"/>
      <c r="AF54" s="140"/>
      <c r="AG54" s="140"/>
      <c r="AH54" s="116"/>
      <c r="AI54" s="136"/>
      <c r="AJ54" s="136"/>
    </row>
    <row r="55" spans="1:36" x14ac:dyDescent="0.25">
      <c r="A55" s="137"/>
      <c r="B55" s="1">
        <f t="shared" si="0"/>
        <v>0</v>
      </c>
      <c r="C55" s="126">
        <f t="shared" ca="1" si="1"/>
        <v>0</v>
      </c>
      <c r="D55" s="127"/>
      <c r="E55" s="12">
        <f t="shared" ca="1" si="2"/>
        <v>0</v>
      </c>
      <c r="F55" s="1">
        <f t="shared" si="3"/>
        <v>0</v>
      </c>
      <c r="G55" s="126">
        <f t="shared" ca="1" si="4"/>
        <v>0</v>
      </c>
      <c r="H55" s="127"/>
      <c r="I55" s="12">
        <f t="shared" ca="1" si="5"/>
        <v>0</v>
      </c>
      <c r="J55" s="1">
        <f t="shared" si="6"/>
        <v>0</v>
      </c>
      <c r="K55" s="126">
        <f t="shared" ca="1" si="7"/>
        <v>0</v>
      </c>
      <c r="L55" s="127"/>
      <c r="M55" s="12">
        <f t="shared" ca="1" si="8"/>
        <v>0</v>
      </c>
      <c r="N55" s="1">
        <f t="shared" si="9"/>
        <v>0</v>
      </c>
      <c r="O55" s="126">
        <f t="shared" ca="1" si="10"/>
        <v>0</v>
      </c>
      <c r="P55" s="127"/>
      <c r="Q55" s="12">
        <f t="shared" ca="1" si="11"/>
        <v>0</v>
      </c>
      <c r="R55" s="1">
        <f t="shared" si="12"/>
        <v>0</v>
      </c>
      <c r="S55" s="126">
        <f t="shared" ca="1" si="13"/>
        <v>0</v>
      </c>
      <c r="T55" s="127"/>
      <c r="U55" s="12">
        <f t="shared" ca="1" si="14"/>
        <v>0</v>
      </c>
      <c r="V55" s="1">
        <f t="shared" si="15"/>
        <v>0</v>
      </c>
      <c r="W55" s="126">
        <f t="shared" ca="1" si="16"/>
        <v>0</v>
      </c>
      <c r="X55" s="127"/>
      <c r="Y55" s="12">
        <f t="shared" ca="1" si="17"/>
        <v>0</v>
      </c>
      <c r="Z55" s="1">
        <f t="shared" si="18"/>
        <v>0</v>
      </c>
      <c r="AA55" s="126">
        <f t="shared" ca="1" si="19"/>
        <v>0</v>
      </c>
      <c r="AB55" s="127"/>
      <c r="AC55" s="12">
        <f t="shared" ca="1" si="20"/>
        <v>0</v>
      </c>
      <c r="AD55" s="140"/>
      <c r="AE55" s="140"/>
      <c r="AF55" s="140"/>
      <c r="AG55" s="140"/>
      <c r="AH55" s="116"/>
      <c r="AI55" s="136"/>
      <c r="AJ55" s="136"/>
    </row>
    <row r="56" spans="1:36" x14ac:dyDescent="0.25">
      <c r="A56" s="137"/>
      <c r="B56" s="1">
        <f t="shared" si="0"/>
        <v>0</v>
      </c>
      <c r="C56" s="126">
        <f t="shared" ca="1" si="1"/>
        <v>0</v>
      </c>
      <c r="D56" s="127"/>
      <c r="E56" s="12">
        <f t="shared" ca="1" si="2"/>
        <v>0</v>
      </c>
      <c r="F56" s="1">
        <f t="shared" si="3"/>
        <v>0</v>
      </c>
      <c r="G56" s="126">
        <f t="shared" ca="1" si="4"/>
        <v>0</v>
      </c>
      <c r="H56" s="127"/>
      <c r="I56" s="12">
        <f t="shared" ca="1" si="5"/>
        <v>0</v>
      </c>
      <c r="J56" s="1">
        <f t="shared" si="6"/>
        <v>0</v>
      </c>
      <c r="K56" s="126">
        <f t="shared" ca="1" si="7"/>
        <v>0</v>
      </c>
      <c r="L56" s="127"/>
      <c r="M56" s="12">
        <f t="shared" ca="1" si="8"/>
        <v>0</v>
      </c>
      <c r="N56" s="1">
        <f t="shared" si="9"/>
        <v>0</v>
      </c>
      <c r="O56" s="126">
        <f t="shared" ca="1" si="10"/>
        <v>0</v>
      </c>
      <c r="P56" s="127"/>
      <c r="Q56" s="12">
        <f t="shared" ca="1" si="11"/>
        <v>0</v>
      </c>
      <c r="R56" s="1">
        <f t="shared" si="12"/>
        <v>0</v>
      </c>
      <c r="S56" s="126">
        <f t="shared" ca="1" si="13"/>
        <v>0</v>
      </c>
      <c r="T56" s="127"/>
      <c r="U56" s="12">
        <f t="shared" ca="1" si="14"/>
        <v>0</v>
      </c>
      <c r="V56" s="1">
        <f t="shared" si="15"/>
        <v>0</v>
      </c>
      <c r="W56" s="126">
        <f t="shared" ca="1" si="16"/>
        <v>0</v>
      </c>
      <c r="X56" s="127"/>
      <c r="Y56" s="12">
        <f t="shared" ca="1" si="17"/>
        <v>0</v>
      </c>
      <c r="Z56" s="1">
        <f t="shared" si="18"/>
        <v>0</v>
      </c>
      <c r="AA56" s="126">
        <f t="shared" ca="1" si="19"/>
        <v>0</v>
      </c>
      <c r="AB56" s="127"/>
      <c r="AC56" s="12">
        <f t="shared" ca="1" si="20"/>
        <v>0</v>
      </c>
      <c r="AD56" s="140"/>
      <c r="AE56" s="140"/>
      <c r="AF56" s="140"/>
      <c r="AG56" s="140"/>
      <c r="AH56" s="116"/>
      <c r="AI56" s="136"/>
      <c r="AJ56" s="136"/>
    </row>
    <row r="57" spans="1:36" x14ac:dyDescent="0.25">
      <c r="A57" s="137"/>
      <c r="B57" s="1">
        <f t="shared" si="0"/>
        <v>0</v>
      </c>
      <c r="C57" s="126">
        <f t="shared" ca="1" si="1"/>
        <v>0</v>
      </c>
      <c r="D57" s="127"/>
      <c r="E57" s="12">
        <f t="shared" ca="1" si="2"/>
        <v>0</v>
      </c>
      <c r="F57" s="1">
        <f t="shared" si="3"/>
        <v>0</v>
      </c>
      <c r="G57" s="126">
        <f t="shared" ca="1" si="4"/>
        <v>0</v>
      </c>
      <c r="H57" s="127"/>
      <c r="I57" s="12">
        <f t="shared" ca="1" si="5"/>
        <v>0</v>
      </c>
      <c r="J57" s="1">
        <f t="shared" si="6"/>
        <v>0</v>
      </c>
      <c r="K57" s="126">
        <f t="shared" ca="1" si="7"/>
        <v>0</v>
      </c>
      <c r="L57" s="127"/>
      <c r="M57" s="12">
        <f t="shared" ca="1" si="8"/>
        <v>0</v>
      </c>
      <c r="N57" s="1">
        <f t="shared" si="9"/>
        <v>0</v>
      </c>
      <c r="O57" s="126">
        <f t="shared" ca="1" si="10"/>
        <v>0</v>
      </c>
      <c r="P57" s="127"/>
      <c r="Q57" s="12">
        <f t="shared" ca="1" si="11"/>
        <v>0</v>
      </c>
      <c r="R57" s="1">
        <f t="shared" si="12"/>
        <v>0</v>
      </c>
      <c r="S57" s="126">
        <f t="shared" ca="1" si="13"/>
        <v>0</v>
      </c>
      <c r="T57" s="127"/>
      <c r="U57" s="12">
        <f t="shared" ca="1" si="14"/>
        <v>0</v>
      </c>
      <c r="V57" s="1">
        <f t="shared" si="15"/>
        <v>0</v>
      </c>
      <c r="W57" s="126">
        <f t="shared" ca="1" si="16"/>
        <v>0</v>
      </c>
      <c r="X57" s="127"/>
      <c r="Y57" s="12">
        <f t="shared" ca="1" si="17"/>
        <v>0</v>
      </c>
      <c r="Z57" s="1">
        <f t="shared" si="18"/>
        <v>0</v>
      </c>
      <c r="AA57" s="126">
        <f t="shared" ca="1" si="19"/>
        <v>0</v>
      </c>
      <c r="AB57" s="127"/>
      <c r="AC57" s="12">
        <f t="shared" ca="1" si="20"/>
        <v>0</v>
      </c>
      <c r="AD57" s="140"/>
      <c r="AE57" s="140"/>
      <c r="AF57" s="140"/>
      <c r="AG57" s="140"/>
      <c r="AH57" s="116"/>
      <c r="AI57" s="136"/>
      <c r="AJ57" s="136"/>
    </row>
    <row r="58" spans="1:36" x14ac:dyDescent="0.25">
      <c r="A58" s="137"/>
      <c r="B58" s="1">
        <f t="shared" si="0"/>
        <v>0</v>
      </c>
      <c r="C58" s="126">
        <f t="shared" ca="1" si="1"/>
        <v>0</v>
      </c>
      <c r="D58" s="127"/>
      <c r="E58" s="12">
        <f t="shared" ca="1" si="2"/>
        <v>0</v>
      </c>
      <c r="F58" s="1">
        <f t="shared" si="3"/>
        <v>0</v>
      </c>
      <c r="G58" s="126">
        <f t="shared" ca="1" si="4"/>
        <v>0</v>
      </c>
      <c r="H58" s="127"/>
      <c r="I58" s="12">
        <f t="shared" ca="1" si="5"/>
        <v>0</v>
      </c>
      <c r="J58" s="1">
        <f t="shared" si="6"/>
        <v>0</v>
      </c>
      <c r="K58" s="126">
        <f t="shared" ca="1" si="7"/>
        <v>0</v>
      </c>
      <c r="L58" s="127"/>
      <c r="M58" s="12">
        <f t="shared" ca="1" si="8"/>
        <v>0</v>
      </c>
      <c r="N58" s="1">
        <f t="shared" si="9"/>
        <v>0</v>
      </c>
      <c r="O58" s="126">
        <f t="shared" ca="1" si="10"/>
        <v>0</v>
      </c>
      <c r="P58" s="127"/>
      <c r="Q58" s="12">
        <f t="shared" ca="1" si="11"/>
        <v>0</v>
      </c>
      <c r="R58" s="1">
        <f t="shared" si="12"/>
        <v>0</v>
      </c>
      <c r="S58" s="126">
        <f t="shared" ca="1" si="13"/>
        <v>0</v>
      </c>
      <c r="T58" s="127"/>
      <c r="U58" s="12">
        <f t="shared" ca="1" si="14"/>
        <v>0</v>
      </c>
      <c r="V58" s="1">
        <f t="shared" si="15"/>
        <v>0</v>
      </c>
      <c r="W58" s="126">
        <f t="shared" ca="1" si="16"/>
        <v>0</v>
      </c>
      <c r="X58" s="127"/>
      <c r="Y58" s="12">
        <f t="shared" ca="1" si="17"/>
        <v>0</v>
      </c>
      <c r="Z58" s="1">
        <f t="shared" si="18"/>
        <v>0</v>
      </c>
      <c r="AA58" s="126">
        <f t="shared" ca="1" si="19"/>
        <v>0</v>
      </c>
      <c r="AB58" s="127"/>
      <c r="AC58" s="12">
        <f t="shared" ca="1" si="20"/>
        <v>0</v>
      </c>
      <c r="AD58" s="140"/>
      <c r="AE58" s="140"/>
      <c r="AF58" s="140"/>
      <c r="AG58" s="140"/>
      <c r="AH58" s="116"/>
      <c r="AI58" s="136"/>
      <c r="AJ58" s="136"/>
    </row>
    <row r="59" spans="1:36" x14ac:dyDescent="0.25">
      <c r="A59" s="137"/>
      <c r="B59" s="1">
        <f t="shared" si="0"/>
        <v>0</v>
      </c>
      <c r="C59" s="126">
        <f t="shared" ca="1" si="1"/>
        <v>0</v>
      </c>
      <c r="D59" s="127"/>
      <c r="E59" s="12">
        <f t="shared" ca="1" si="2"/>
        <v>0</v>
      </c>
      <c r="F59" s="1">
        <f t="shared" si="3"/>
        <v>0</v>
      </c>
      <c r="G59" s="126">
        <f t="shared" ca="1" si="4"/>
        <v>0</v>
      </c>
      <c r="H59" s="127"/>
      <c r="I59" s="12">
        <f t="shared" ca="1" si="5"/>
        <v>0</v>
      </c>
      <c r="J59" s="1">
        <f t="shared" si="6"/>
        <v>0</v>
      </c>
      <c r="K59" s="126">
        <f t="shared" ca="1" si="7"/>
        <v>0</v>
      </c>
      <c r="L59" s="127"/>
      <c r="M59" s="12">
        <f t="shared" ca="1" si="8"/>
        <v>0</v>
      </c>
      <c r="N59" s="1">
        <f t="shared" si="9"/>
        <v>0</v>
      </c>
      <c r="O59" s="126">
        <f t="shared" ca="1" si="10"/>
        <v>0</v>
      </c>
      <c r="P59" s="127"/>
      <c r="Q59" s="12">
        <f t="shared" ca="1" si="11"/>
        <v>0</v>
      </c>
      <c r="R59" s="1">
        <f t="shared" si="12"/>
        <v>0</v>
      </c>
      <c r="S59" s="126">
        <f t="shared" ca="1" si="13"/>
        <v>0</v>
      </c>
      <c r="T59" s="127"/>
      <c r="U59" s="12">
        <f t="shared" ca="1" si="14"/>
        <v>0</v>
      </c>
      <c r="V59" s="1">
        <f t="shared" si="15"/>
        <v>0</v>
      </c>
      <c r="W59" s="126">
        <f t="shared" ca="1" si="16"/>
        <v>1620</v>
      </c>
      <c r="X59" s="127"/>
      <c r="Y59" s="12">
        <f t="shared" ca="1" si="17"/>
        <v>0</v>
      </c>
      <c r="Z59" s="1">
        <f t="shared" si="18"/>
        <v>0</v>
      </c>
      <c r="AA59" s="126">
        <f t="shared" ca="1" si="19"/>
        <v>36</v>
      </c>
      <c r="AB59" s="127"/>
      <c r="AC59" s="12">
        <f t="shared" ca="1" si="20"/>
        <v>0</v>
      </c>
      <c r="AD59" s="140"/>
      <c r="AE59" s="140"/>
      <c r="AF59" s="140"/>
      <c r="AG59" s="140"/>
      <c r="AH59" s="116"/>
      <c r="AI59" s="136"/>
      <c r="AJ59" s="136"/>
    </row>
    <row r="60" spans="1:36" x14ac:dyDescent="0.25">
      <c r="A60" s="137"/>
      <c r="B60" s="1">
        <f t="shared" si="0"/>
        <v>0</v>
      </c>
      <c r="C60" s="126">
        <f t="shared" ca="1" si="1"/>
        <v>0</v>
      </c>
      <c r="D60" s="127"/>
      <c r="E60" s="12">
        <f t="shared" ca="1" si="2"/>
        <v>0</v>
      </c>
      <c r="F60" s="1">
        <f t="shared" si="3"/>
        <v>0</v>
      </c>
      <c r="G60" s="126">
        <f t="shared" ca="1" si="4"/>
        <v>0</v>
      </c>
      <c r="H60" s="127"/>
      <c r="I60" s="12">
        <f t="shared" ca="1" si="5"/>
        <v>0</v>
      </c>
      <c r="J60" s="1">
        <f t="shared" si="6"/>
        <v>0</v>
      </c>
      <c r="K60" s="126">
        <f t="shared" ca="1" si="7"/>
        <v>0</v>
      </c>
      <c r="L60" s="127"/>
      <c r="M60" s="12">
        <f t="shared" ca="1" si="8"/>
        <v>0</v>
      </c>
      <c r="N60" s="1">
        <f t="shared" si="9"/>
        <v>0</v>
      </c>
      <c r="O60" s="126">
        <f t="shared" ca="1" si="10"/>
        <v>0</v>
      </c>
      <c r="P60" s="127"/>
      <c r="Q60" s="12">
        <f t="shared" ca="1" si="11"/>
        <v>0</v>
      </c>
      <c r="R60" s="1">
        <f t="shared" si="12"/>
        <v>0</v>
      </c>
      <c r="S60" s="126">
        <f t="shared" ca="1" si="13"/>
        <v>0</v>
      </c>
      <c r="T60" s="127"/>
      <c r="U60" s="12">
        <f t="shared" ca="1" si="14"/>
        <v>0</v>
      </c>
      <c r="V60" s="1">
        <f t="shared" si="15"/>
        <v>0</v>
      </c>
      <c r="W60" s="126">
        <f t="shared" ca="1" si="16"/>
        <v>1350</v>
      </c>
      <c r="X60" s="127"/>
      <c r="Y60" s="12">
        <f t="shared" ca="1" si="17"/>
        <v>0</v>
      </c>
      <c r="Z60" s="1">
        <f t="shared" si="18"/>
        <v>0</v>
      </c>
      <c r="AA60" s="126">
        <f t="shared" ca="1" si="19"/>
        <v>36</v>
      </c>
      <c r="AB60" s="127"/>
      <c r="AC60" s="12">
        <f t="shared" ca="1" si="20"/>
        <v>0</v>
      </c>
      <c r="AD60" s="140"/>
      <c r="AE60" s="140"/>
      <c r="AF60" s="140"/>
      <c r="AG60" s="140"/>
      <c r="AH60" s="116"/>
      <c r="AI60" s="136"/>
      <c r="AJ60" s="136"/>
    </row>
    <row r="61" spans="1:36" x14ac:dyDescent="0.25">
      <c r="A61" s="137"/>
      <c r="B61" s="1">
        <f t="shared" si="0"/>
        <v>0</v>
      </c>
      <c r="C61" s="126">
        <f t="shared" ca="1" si="1"/>
        <v>0</v>
      </c>
      <c r="D61" s="127"/>
      <c r="E61" s="12">
        <f t="shared" ca="1" si="2"/>
        <v>0</v>
      </c>
      <c r="F61" s="1">
        <f t="shared" si="3"/>
        <v>0</v>
      </c>
      <c r="G61" s="126">
        <f t="shared" ca="1" si="4"/>
        <v>0</v>
      </c>
      <c r="H61" s="127"/>
      <c r="I61" s="12">
        <f t="shared" ca="1" si="5"/>
        <v>0</v>
      </c>
      <c r="J61" s="1">
        <f t="shared" si="6"/>
        <v>0</v>
      </c>
      <c r="K61" s="126">
        <f t="shared" ca="1" si="7"/>
        <v>0</v>
      </c>
      <c r="L61" s="127"/>
      <c r="M61" s="12">
        <f t="shared" ca="1" si="8"/>
        <v>0</v>
      </c>
      <c r="N61" s="1">
        <f t="shared" si="9"/>
        <v>0</v>
      </c>
      <c r="O61" s="126">
        <f t="shared" ca="1" si="10"/>
        <v>0</v>
      </c>
      <c r="P61" s="127"/>
      <c r="Q61" s="12">
        <f t="shared" ca="1" si="11"/>
        <v>0</v>
      </c>
      <c r="R61" s="1">
        <f t="shared" si="12"/>
        <v>0</v>
      </c>
      <c r="S61" s="126">
        <f t="shared" ca="1" si="13"/>
        <v>0</v>
      </c>
      <c r="T61" s="127"/>
      <c r="U61" s="12">
        <f t="shared" ca="1" si="14"/>
        <v>0</v>
      </c>
      <c r="V61" s="1">
        <f t="shared" si="15"/>
        <v>0</v>
      </c>
      <c r="W61" s="126">
        <f t="shared" ca="1" si="16"/>
        <v>3900</v>
      </c>
      <c r="X61" s="127"/>
      <c r="Y61" s="12">
        <f t="shared" ca="1" si="17"/>
        <v>0</v>
      </c>
      <c r="Z61" s="1">
        <f t="shared" si="18"/>
        <v>0</v>
      </c>
      <c r="AA61" s="126">
        <f t="shared" ca="1" si="19"/>
        <v>36</v>
      </c>
      <c r="AB61" s="127"/>
      <c r="AC61" s="12">
        <f t="shared" ca="1" si="20"/>
        <v>0</v>
      </c>
      <c r="AD61" s="140"/>
      <c r="AE61" s="140"/>
      <c r="AF61" s="140"/>
      <c r="AG61" s="140"/>
      <c r="AH61" s="116"/>
      <c r="AI61" s="136"/>
      <c r="AJ61" s="136"/>
    </row>
    <row r="62" spans="1:36" x14ac:dyDescent="0.25">
      <c r="A62" s="137"/>
      <c r="B62" s="1">
        <f t="shared" si="0"/>
        <v>0</v>
      </c>
      <c r="C62" s="162">
        <f t="shared" ca="1" si="1"/>
        <v>0</v>
      </c>
      <c r="D62" s="163"/>
      <c r="E62" s="12">
        <f t="shared" ca="1" si="2"/>
        <v>0</v>
      </c>
      <c r="F62" s="1">
        <f t="shared" si="3"/>
        <v>0</v>
      </c>
      <c r="G62" s="126">
        <f t="shared" ca="1" si="4"/>
        <v>0</v>
      </c>
      <c r="H62" s="127"/>
      <c r="I62" s="12">
        <f t="shared" ca="1" si="5"/>
        <v>0</v>
      </c>
      <c r="J62" s="1">
        <f t="shared" si="6"/>
        <v>0</v>
      </c>
      <c r="K62" s="126">
        <f t="shared" ca="1" si="7"/>
        <v>0</v>
      </c>
      <c r="L62" s="127"/>
      <c r="M62" s="12">
        <f t="shared" ca="1" si="8"/>
        <v>0</v>
      </c>
      <c r="N62" s="1">
        <f t="shared" si="9"/>
        <v>0</v>
      </c>
      <c r="O62" s="126">
        <f t="shared" ca="1" si="10"/>
        <v>0</v>
      </c>
      <c r="P62" s="127"/>
      <c r="Q62" s="12">
        <f t="shared" ca="1" si="11"/>
        <v>0</v>
      </c>
      <c r="R62" s="1">
        <f t="shared" si="12"/>
        <v>0</v>
      </c>
      <c r="S62" s="126">
        <f t="shared" ca="1" si="13"/>
        <v>0</v>
      </c>
      <c r="T62" s="127"/>
      <c r="U62" s="12">
        <f t="shared" ca="1" si="14"/>
        <v>0</v>
      </c>
      <c r="V62" s="1">
        <f t="shared" si="15"/>
        <v>0</v>
      </c>
      <c r="W62" s="126">
        <f t="shared" ca="1" si="16"/>
        <v>2160</v>
      </c>
      <c r="X62" s="127"/>
      <c r="Y62" s="12">
        <f t="shared" ca="1" si="17"/>
        <v>0</v>
      </c>
      <c r="Z62" s="1">
        <f t="shared" si="18"/>
        <v>0</v>
      </c>
      <c r="AA62" s="126">
        <f t="shared" ca="1" si="19"/>
        <v>36</v>
      </c>
      <c r="AB62" s="127"/>
      <c r="AC62" s="12">
        <f t="shared" ca="1" si="20"/>
        <v>0</v>
      </c>
      <c r="AD62" s="140"/>
      <c r="AE62" s="140"/>
      <c r="AF62" s="140"/>
      <c r="AG62" s="140"/>
      <c r="AH62" s="116"/>
      <c r="AI62" s="136"/>
      <c r="AJ62" s="136"/>
    </row>
    <row r="63" spans="1:36" x14ac:dyDescent="0.25">
      <c r="A63" s="137"/>
      <c r="B63" s="1">
        <f t="shared" si="0"/>
        <v>0</v>
      </c>
      <c r="C63" s="126">
        <f t="shared" ca="1" si="1"/>
        <v>0</v>
      </c>
      <c r="D63" s="127"/>
      <c r="E63" s="12">
        <f t="shared" ca="1" si="2"/>
        <v>0</v>
      </c>
      <c r="F63" s="1">
        <f t="shared" si="3"/>
        <v>0</v>
      </c>
      <c r="G63" s="126">
        <f t="shared" ca="1" si="4"/>
        <v>0</v>
      </c>
      <c r="H63" s="127"/>
      <c r="I63" s="12">
        <f t="shared" ca="1" si="5"/>
        <v>0</v>
      </c>
      <c r="J63" s="1">
        <f t="shared" si="6"/>
        <v>0</v>
      </c>
      <c r="K63" s="126">
        <f t="shared" ca="1" si="7"/>
        <v>0</v>
      </c>
      <c r="L63" s="127"/>
      <c r="M63" s="12">
        <f t="shared" ca="1" si="8"/>
        <v>0</v>
      </c>
      <c r="N63" s="1">
        <f t="shared" si="9"/>
        <v>0</v>
      </c>
      <c r="O63" s="126">
        <f t="shared" ca="1" si="10"/>
        <v>0</v>
      </c>
      <c r="P63" s="127"/>
      <c r="Q63" s="12">
        <f t="shared" ca="1" si="11"/>
        <v>0</v>
      </c>
      <c r="R63" s="1">
        <f t="shared" si="12"/>
        <v>0</v>
      </c>
      <c r="S63" s="126">
        <f t="shared" ca="1" si="13"/>
        <v>0</v>
      </c>
      <c r="T63" s="127"/>
      <c r="U63" s="12">
        <f t="shared" ca="1" si="14"/>
        <v>0</v>
      </c>
      <c r="V63" s="1">
        <f t="shared" si="15"/>
        <v>0</v>
      </c>
      <c r="W63" s="126">
        <f t="shared" ca="1" si="16"/>
        <v>4800</v>
      </c>
      <c r="X63" s="127"/>
      <c r="Y63" s="12">
        <f t="shared" ca="1" si="17"/>
        <v>0</v>
      </c>
      <c r="Z63" s="1">
        <f t="shared" si="18"/>
        <v>0</v>
      </c>
      <c r="AA63" s="126">
        <f t="shared" ca="1" si="19"/>
        <v>36</v>
      </c>
      <c r="AB63" s="127"/>
      <c r="AC63" s="12">
        <f t="shared" ca="1" si="20"/>
        <v>0</v>
      </c>
      <c r="AD63" s="140"/>
      <c r="AE63" s="140"/>
      <c r="AF63" s="140"/>
      <c r="AG63" s="140"/>
      <c r="AH63" s="116"/>
      <c r="AI63" s="136"/>
      <c r="AJ63" s="136"/>
    </row>
    <row r="64" spans="1:36" x14ac:dyDescent="0.25">
      <c r="A64" s="137"/>
      <c r="B64" s="1">
        <f t="shared" si="0"/>
        <v>0</v>
      </c>
      <c r="C64" s="126">
        <f t="shared" ca="1" si="1"/>
        <v>3200</v>
      </c>
      <c r="D64" s="127"/>
      <c r="E64" s="12">
        <f t="shared" ca="1" si="2"/>
        <v>0</v>
      </c>
      <c r="F64" s="1">
        <f t="shared" si="3"/>
        <v>0</v>
      </c>
      <c r="G64" s="126">
        <f t="shared" ca="1" si="4"/>
        <v>48</v>
      </c>
      <c r="H64" s="127"/>
      <c r="I64" s="12">
        <f t="shared" ca="1" si="5"/>
        <v>0</v>
      </c>
      <c r="J64" s="1">
        <f t="shared" si="6"/>
        <v>0</v>
      </c>
      <c r="K64" s="126">
        <f t="shared" ca="1" si="7"/>
        <v>0</v>
      </c>
      <c r="L64" s="127"/>
      <c r="M64" s="12">
        <f t="shared" ca="1" si="8"/>
        <v>0</v>
      </c>
      <c r="N64" s="1">
        <f t="shared" si="9"/>
        <v>0</v>
      </c>
      <c r="O64" s="126">
        <f t="shared" ca="1" si="10"/>
        <v>0</v>
      </c>
      <c r="P64" s="127"/>
      <c r="Q64" s="12">
        <f t="shared" ca="1" si="11"/>
        <v>0</v>
      </c>
      <c r="R64" s="1">
        <f t="shared" si="12"/>
        <v>0</v>
      </c>
      <c r="S64" s="126">
        <f t="shared" ca="1" si="13"/>
        <v>0</v>
      </c>
      <c r="T64" s="127"/>
      <c r="U64" s="12">
        <f t="shared" ca="1" si="14"/>
        <v>0</v>
      </c>
      <c r="V64" s="1">
        <f t="shared" si="15"/>
        <v>0</v>
      </c>
      <c r="W64" s="126">
        <f t="shared" ca="1" si="16"/>
        <v>0</v>
      </c>
      <c r="X64" s="127"/>
      <c r="Y64" s="12">
        <f t="shared" ca="1" si="17"/>
        <v>0</v>
      </c>
      <c r="Z64" s="1">
        <f t="shared" si="18"/>
        <v>0</v>
      </c>
      <c r="AA64" s="126">
        <f t="shared" ca="1" si="19"/>
        <v>0</v>
      </c>
      <c r="AB64" s="127"/>
      <c r="AC64" s="12">
        <f t="shared" ca="1" si="20"/>
        <v>0</v>
      </c>
      <c r="AD64" s="140"/>
      <c r="AE64" s="140"/>
      <c r="AF64" s="140"/>
      <c r="AG64" s="140"/>
      <c r="AH64" s="116"/>
      <c r="AI64" s="136"/>
      <c r="AJ64" s="136"/>
    </row>
    <row r="65" spans="1:36" x14ac:dyDescent="0.25">
      <c r="A65" s="137"/>
      <c r="B65" s="1">
        <f t="shared" si="0"/>
        <v>0</v>
      </c>
      <c r="C65" s="126">
        <f t="shared" ca="1" si="1"/>
        <v>960</v>
      </c>
      <c r="D65" s="127"/>
      <c r="E65" s="12">
        <f t="shared" ca="1" si="2"/>
        <v>0</v>
      </c>
      <c r="F65" s="1">
        <f t="shared" si="3"/>
        <v>0</v>
      </c>
      <c r="G65" s="126">
        <f t="shared" ca="1" si="4"/>
        <v>1200</v>
      </c>
      <c r="H65" s="127"/>
      <c r="I65" s="12">
        <f t="shared" ca="1" si="5"/>
        <v>0</v>
      </c>
      <c r="J65" s="1">
        <f t="shared" si="6"/>
        <v>0</v>
      </c>
      <c r="K65" s="126">
        <f t="shared" ca="1" si="7"/>
        <v>0</v>
      </c>
      <c r="L65" s="127"/>
      <c r="M65" s="12">
        <f t="shared" ca="1" si="8"/>
        <v>0</v>
      </c>
      <c r="N65" s="1">
        <f t="shared" si="9"/>
        <v>0</v>
      </c>
      <c r="O65" s="126">
        <f t="shared" ca="1" si="10"/>
        <v>0</v>
      </c>
      <c r="P65" s="127"/>
      <c r="Q65" s="12">
        <f t="shared" ca="1" si="11"/>
        <v>0</v>
      </c>
      <c r="R65" s="1">
        <f t="shared" si="12"/>
        <v>0</v>
      </c>
      <c r="S65" s="126">
        <f t="shared" ca="1" si="13"/>
        <v>0</v>
      </c>
      <c r="T65" s="127"/>
      <c r="U65" s="12">
        <f t="shared" ca="1" si="14"/>
        <v>0</v>
      </c>
      <c r="V65" s="1">
        <f t="shared" si="15"/>
        <v>0</v>
      </c>
      <c r="W65" s="126">
        <f t="shared" ca="1" si="16"/>
        <v>0</v>
      </c>
      <c r="X65" s="127"/>
      <c r="Y65" s="12">
        <f t="shared" ca="1" si="17"/>
        <v>0</v>
      </c>
      <c r="Z65" s="1">
        <f t="shared" si="18"/>
        <v>0</v>
      </c>
      <c r="AA65" s="126">
        <f t="shared" ca="1" si="19"/>
        <v>0</v>
      </c>
      <c r="AB65" s="127"/>
      <c r="AC65" s="12">
        <f t="shared" ca="1" si="20"/>
        <v>0</v>
      </c>
      <c r="AD65" s="140"/>
      <c r="AE65" s="140"/>
      <c r="AF65" s="140"/>
      <c r="AG65" s="140"/>
      <c r="AH65" s="116"/>
      <c r="AI65" s="136"/>
      <c r="AJ65" s="136"/>
    </row>
    <row r="66" spans="1:36" x14ac:dyDescent="0.25">
      <c r="A66" s="137"/>
      <c r="B66" s="1">
        <f t="shared" si="0"/>
        <v>0</v>
      </c>
      <c r="C66" s="126">
        <f t="shared" ca="1" si="1"/>
        <v>2400</v>
      </c>
      <c r="D66" s="127"/>
      <c r="E66" s="12">
        <f t="shared" ca="1" si="2"/>
        <v>0</v>
      </c>
      <c r="F66" s="1">
        <f t="shared" si="3"/>
        <v>0</v>
      </c>
      <c r="G66" s="126">
        <f t="shared" ca="1" si="4"/>
        <v>900</v>
      </c>
      <c r="H66" s="127"/>
      <c r="I66" s="12">
        <f t="shared" ca="1" si="5"/>
        <v>0</v>
      </c>
      <c r="J66" s="1">
        <f t="shared" si="6"/>
        <v>0</v>
      </c>
      <c r="K66" s="126">
        <f t="shared" ca="1" si="7"/>
        <v>0</v>
      </c>
      <c r="L66" s="127"/>
      <c r="M66" s="12">
        <f t="shared" ca="1" si="8"/>
        <v>0</v>
      </c>
      <c r="N66" s="1">
        <f t="shared" si="9"/>
        <v>0</v>
      </c>
      <c r="O66" s="126">
        <f t="shared" ca="1" si="10"/>
        <v>0</v>
      </c>
      <c r="P66" s="127"/>
      <c r="Q66" s="12">
        <f t="shared" ca="1" si="11"/>
        <v>0</v>
      </c>
      <c r="R66" s="1">
        <f t="shared" si="12"/>
        <v>0</v>
      </c>
      <c r="S66" s="126">
        <f t="shared" ca="1" si="13"/>
        <v>0</v>
      </c>
      <c r="T66" s="127"/>
      <c r="U66" s="12">
        <f t="shared" ca="1" si="14"/>
        <v>0</v>
      </c>
      <c r="V66" s="1">
        <f t="shared" si="15"/>
        <v>0</v>
      </c>
      <c r="W66" s="126">
        <f t="shared" ca="1" si="16"/>
        <v>0</v>
      </c>
      <c r="X66" s="127"/>
      <c r="Y66" s="12">
        <f t="shared" ca="1" si="17"/>
        <v>0</v>
      </c>
      <c r="Z66" s="1">
        <f t="shared" si="18"/>
        <v>0</v>
      </c>
      <c r="AA66" s="126">
        <f t="shared" ca="1" si="19"/>
        <v>0</v>
      </c>
      <c r="AB66" s="127"/>
      <c r="AC66" s="12">
        <f t="shared" ca="1" si="20"/>
        <v>0</v>
      </c>
      <c r="AD66" s="140"/>
      <c r="AE66" s="140"/>
      <c r="AF66" s="140"/>
      <c r="AG66" s="140"/>
      <c r="AH66" s="116"/>
      <c r="AI66" s="136"/>
      <c r="AJ66" s="136"/>
    </row>
    <row r="67" spans="1:36" x14ac:dyDescent="0.25">
      <c r="A67" s="137"/>
      <c r="B67" s="1">
        <f t="shared" si="0"/>
        <v>0</v>
      </c>
      <c r="C67" s="126">
        <f t="shared" ca="1" si="1"/>
        <v>2250</v>
      </c>
      <c r="D67" s="127"/>
      <c r="E67" s="12">
        <f t="shared" ca="1" si="2"/>
        <v>0</v>
      </c>
      <c r="F67" s="1">
        <f t="shared" si="3"/>
        <v>0</v>
      </c>
      <c r="G67" s="126">
        <f t="shared" ca="1" si="4"/>
        <v>225</v>
      </c>
      <c r="H67" s="127"/>
      <c r="I67" s="12">
        <f t="shared" ca="1" si="5"/>
        <v>0</v>
      </c>
      <c r="J67" s="1">
        <f t="shared" si="6"/>
        <v>0</v>
      </c>
      <c r="K67" s="126">
        <f t="shared" ca="1" si="7"/>
        <v>0</v>
      </c>
      <c r="L67" s="127"/>
      <c r="M67" s="12">
        <f t="shared" ca="1" si="8"/>
        <v>0</v>
      </c>
      <c r="N67" s="1">
        <f t="shared" si="9"/>
        <v>0</v>
      </c>
      <c r="O67" s="126">
        <f t="shared" ca="1" si="10"/>
        <v>0</v>
      </c>
      <c r="P67" s="127"/>
      <c r="Q67" s="12">
        <f t="shared" ca="1" si="11"/>
        <v>0</v>
      </c>
      <c r="R67" s="1">
        <f t="shared" si="12"/>
        <v>0</v>
      </c>
      <c r="S67" s="126">
        <f t="shared" ca="1" si="13"/>
        <v>0</v>
      </c>
      <c r="T67" s="127"/>
      <c r="U67" s="12">
        <f t="shared" ca="1" si="14"/>
        <v>0</v>
      </c>
      <c r="V67" s="1">
        <f t="shared" si="15"/>
        <v>0</v>
      </c>
      <c r="W67" s="126">
        <f t="shared" ca="1" si="16"/>
        <v>0</v>
      </c>
      <c r="X67" s="127"/>
      <c r="Y67" s="12">
        <f t="shared" ca="1" si="17"/>
        <v>0</v>
      </c>
      <c r="Z67" s="1">
        <f t="shared" si="18"/>
        <v>0</v>
      </c>
      <c r="AA67" s="126">
        <f t="shared" ca="1" si="19"/>
        <v>0</v>
      </c>
      <c r="AB67" s="127"/>
      <c r="AC67" s="12">
        <f t="shared" ca="1" si="20"/>
        <v>0</v>
      </c>
      <c r="AD67" s="140"/>
      <c r="AE67" s="140"/>
      <c r="AF67" s="140"/>
      <c r="AG67" s="140"/>
      <c r="AH67" s="116"/>
      <c r="AI67" s="136"/>
      <c r="AJ67" s="136"/>
    </row>
    <row r="68" spans="1:36" x14ac:dyDescent="0.25">
      <c r="A68" s="137"/>
      <c r="B68" s="1">
        <f t="shared" si="0"/>
        <v>0</v>
      </c>
      <c r="C68" s="126">
        <f t="shared" ca="1" si="1"/>
        <v>540</v>
      </c>
      <c r="D68" s="127"/>
      <c r="E68" s="12">
        <f t="shared" ca="1" si="2"/>
        <v>0</v>
      </c>
      <c r="F68" s="1">
        <f t="shared" si="3"/>
        <v>0</v>
      </c>
      <c r="G68" s="126">
        <f t="shared" ca="1" si="4"/>
        <v>0</v>
      </c>
      <c r="H68" s="127"/>
      <c r="I68" s="12">
        <f t="shared" ca="1" si="5"/>
        <v>0</v>
      </c>
      <c r="J68" s="1">
        <f t="shared" si="6"/>
        <v>0</v>
      </c>
      <c r="K68" s="126">
        <f t="shared" ca="1" si="7"/>
        <v>0</v>
      </c>
      <c r="L68" s="127"/>
      <c r="M68" s="12">
        <f t="shared" ca="1" si="8"/>
        <v>0</v>
      </c>
      <c r="N68" s="1">
        <f t="shared" si="9"/>
        <v>0</v>
      </c>
      <c r="O68" s="126">
        <f t="shared" ca="1" si="10"/>
        <v>0</v>
      </c>
      <c r="P68" s="127"/>
      <c r="Q68" s="12">
        <f t="shared" ca="1" si="11"/>
        <v>0</v>
      </c>
      <c r="R68" s="1">
        <f t="shared" si="12"/>
        <v>0</v>
      </c>
      <c r="S68" s="126">
        <f t="shared" ca="1" si="13"/>
        <v>0</v>
      </c>
      <c r="T68" s="127"/>
      <c r="U68" s="12">
        <f t="shared" ca="1" si="14"/>
        <v>0</v>
      </c>
      <c r="V68" s="1">
        <f t="shared" si="15"/>
        <v>0</v>
      </c>
      <c r="W68" s="126">
        <f t="shared" ca="1" si="16"/>
        <v>0</v>
      </c>
      <c r="X68" s="127"/>
      <c r="Y68" s="12">
        <f t="shared" ca="1" si="17"/>
        <v>0</v>
      </c>
      <c r="Z68" s="1">
        <f t="shared" si="18"/>
        <v>0</v>
      </c>
      <c r="AA68" s="126">
        <f t="shared" ca="1" si="19"/>
        <v>0</v>
      </c>
      <c r="AB68" s="127"/>
      <c r="AC68" s="12">
        <f t="shared" ca="1" si="20"/>
        <v>0</v>
      </c>
      <c r="AD68" s="140"/>
      <c r="AE68" s="140"/>
      <c r="AF68" s="140"/>
      <c r="AG68" s="140"/>
      <c r="AH68" s="116"/>
      <c r="AI68" s="136"/>
      <c r="AJ68" s="136"/>
    </row>
    <row r="69" spans="1:36" x14ac:dyDescent="0.25">
      <c r="A69" s="137"/>
      <c r="B69" s="1">
        <f t="shared" si="0"/>
        <v>0</v>
      </c>
      <c r="C69" s="126">
        <f t="shared" ca="1" si="1"/>
        <v>0</v>
      </c>
      <c r="D69" s="127"/>
      <c r="E69" s="12">
        <f t="shared" ca="1" si="2"/>
        <v>0</v>
      </c>
      <c r="F69" s="1">
        <f t="shared" si="3"/>
        <v>0</v>
      </c>
      <c r="G69" s="126">
        <f t="shared" ca="1" si="4"/>
        <v>0</v>
      </c>
      <c r="H69" s="127"/>
      <c r="I69" s="12">
        <f t="shared" ca="1" si="5"/>
        <v>0</v>
      </c>
      <c r="J69" s="1">
        <f t="shared" si="6"/>
        <v>0</v>
      </c>
      <c r="K69" s="126">
        <f t="shared" ca="1" si="7"/>
        <v>48</v>
      </c>
      <c r="L69" s="127"/>
      <c r="M69" s="12">
        <f t="shared" ca="1" si="8"/>
        <v>0</v>
      </c>
      <c r="N69" s="1">
        <f t="shared" si="9"/>
        <v>0</v>
      </c>
      <c r="O69" s="126">
        <f t="shared" ca="1" si="10"/>
        <v>960</v>
      </c>
      <c r="P69" s="127"/>
      <c r="Q69" s="12">
        <f t="shared" ca="1" si="11"/>
        <v>0</v>
      </c>
      <c r="R69" s="1">
        <f t="shared" si="12"/>
        <v>0</v>
      </c>
      <c r="S69" s="126">
        <f t="shared" ca="1" si="13"/>
        <v>0</v>
      </c>
      <c r="T69" s="127"/>
      <c r="U69" s="12">
        <f t="shared" ca="1" si="14"/>
        <v>0</v>
      </c>
      <c r="V69" s="1">
        <f t="shared" si="15"/>
        <v>0</v>
      </c>
      <c r="W69" s="126">
        <f t="shared" ca="1" si="16"/>
        <v>0</v>
      </c>
      <c r="X69" s="127"/>
      <c r="Y69" s="12">
        <f t="shared" ca="1" si="17"/>
        <v>0</v>
      </c>
      <c r="Z69" s="1">
        <f t="shared" si="18"/>
        <v>0</v>
      </c>
      <c r="AA69" s="126">
        <f t="shared" ca="1" si="19"/>
        <v>0</v>
      </c>
      <c r="AB69" s="127"/>
      <c r="AC69" s="12">
        <f t="shared" ca="1" si="20"/>
        <v>0</v>
      </c>
      <c r="AD69" s="140"/>
      <c r="AE69" s="140"/>
      <c r="AF69" s="140"/>
      <c r="AG69" s="140"/>
      <c r="AH69" s="116"/>
      <c r="AI69" s="136"/>
      <c r="AJ69" s="136"/>
    </row>
    <row r="70" spans="1:36" x14ac:dyDescent="0.25">
      <c r="A70" s="137"/>
      <c r="B70" s="1">
        <f t="shared" si="0"/>
        <v>0</v>
      </c>
      <c r="C70" s="126">
        <f t="shared" ca="1" si="1"/>
        <v>0</v>
      </c>
      <c r="D70" s="127"/>
      <c r="E70" s="12">
        <f t="shared" ca="1" si="2"/>
        <v>0</v>
      </c>
      <c r="F70" s="1">
        <f t="shared" si="3"/>
        <v>0</v>
      </c>
      <c r="G70" s="126">
        <f t="shared" ca="1" si="4"/>
        <v>0</v>
      </c>
      <c r="H70" s="127"/>
      <c r="I70" s="12">
        <f t="shared" ca="1" si="5"/>
        <v>0</v>
      </c>
      <c r="J70" s="1">
        <f t="shared" si="6"/>
        <v>0</v>
      </c>
      <c r="K70" s="126">
        <f t="shared" ca="1" si="7"/>
        <v>48</v>
      </c>
      <c r="L70" s="127"/>
      <c r="M70" s="12">
        <f t="shared" ca="1" si="8"/>
        <v>0</v>
      </c>
      <c r="N70" s="1">
        <f t="shared" si="9"/>
        <v>0</v>
      </c>
      <c r="O70" s="126">
        <f t="shared" ca="1" si="10"/>
        <v>960</v>
      </c>
      <c r="P70" s="127"/>
      <c r="Q70" s="12">
        <f t="shared" ca="1" si="11"/>
        <v>0</v>
      </c>
      <c r="R70" s="1">
        <f t="shared" si="12"/>
        <v>0</v>
      </c>
      <c r="S70" s="126">
        <f t="shared" ca="1" si="13"/>
        <v>0</v>
      </c>
      <c r="T70" s="127"/>
      <c r="U70" s="12">
        <f t="shared" ca="1" si="14"/>
        <v>0</v>
      </c>
      <c r="V70" s="1">
        <f t="shared" si="15"/>
        <v>0</v>
      </c>
      <c r="W70" s="126">
        <f t="shared" ca="1" si="16"/>
        <v>0</v>
      </c>
      <c r="X70" s="127"/>
      <c r="Y70" s="12">
        <f t="shared" ca="1" si="17"/>
        <v>0</v>
      </c>
      <c r="Z70" s="1">
        <f t="shared" si="18"/>
        <v>0</v>
      </c>
      <c r="AA70" s="126">
        <f t="shared" ca="1" si="19"/>
        <v>0</v>
      </c>
      <c r="AB70" s="127"/>
      <c r="AC70" s="12">
        <f t="shared" ca="1" si="20"/>
        <v>0</v>
      </c>
      <c r="AD70" s="140"/>
      <c r="AE70" s="140"/>
      <c r="AF70" s="140"/>
      <c r="AG70" s="140"/>
      <c r="AH70" s="116"/>
      <c r="AI70" s="136"/>
      <c r="AJ70" s="136"/>
    </row>
    <row r="71" spans="1:36" x14ac:dyDescent="0.25">
      <c r="A71" s="137"/>
      <c r="B71" s="1">
        <f t="shared" si="0"/>
        <v>0</v>
      </c>
      <c r="C71" s="126">
        <f t="shared" ca="1" si="1"/>
        <v>0</v>
      </c>
      <c r="D71" s="127"/>
      <c r="E71" s="12">
        <f t="shared" ca="1" si="2"/>
        <v>0</v>
      </c>
      <c r="F71" s="1">
        <f t="shared" si="3"/>
        <v>0</v>
      </c>
      <c r="G71" s="126">
        <f t="shared" ca="1" si="4"/>
        <v>0</v>
      </c>
      <c r="H71" s="127"/>
      <c r="I71" s="12">
        <f t="shared" ca="1" si="5"/>
        <v>0</v>
      </c>
      <c r="J71" s="1">
        <f t="shared" si="6"/>
        <v>0</v>
      </c>
      <c r="K71" s="126">
        <f t="shared" ca="1" si="7"/>
        <v>48</v>
      </c>
      <c r="L71" s="127"/>
      <c r="M71" s="12">
        <f t="shared" ca="1" si="8"/>
        <v>0</v>
      </c>
      <c r="N71" s="1">
        <f t="shared" si="9"/>
        <v>0</v>
      </c>
      <c r="O71" s="126">
        <f t="shared" ca="1" si="10"/>
        <v>36</v>
      </c>
      <c r="P71" s="127"/>
      <c r="Q71" s="12">
        <f t="shared" ca="1" si="11"/>
        <v>0</v>
      </c>
      <c r="R71" s="1">
        <f t="shared" si="12"/>
        <v>0</v>
      </c>
      <c r="S71" s="126">
        <f t="shared" ca="1" si="13"/>
        <v>0</v>
      </c>
      <c r="T71" s="127"/>
      <c r="U71" s="12">
        <f t="shared" ca="1" si="14"/>
        <v>0</v>
      </c>
      <c r="V71" s="1">
        <f t="shared" si="15"/>
        <v>0</v>
      </c>
      <c r="W71" s="126">
        <f t="shared" ca="1" si="16"/>
        <v>0</v>
      </c>
      <c r="X71" s="127"/>
      <c r="Y71" s="12">
        <f t="shared" ca="1" si="17"/>
        <v>0</v>
      </c>
      <c r="Z71" s="1">
        <f t="shared" si="18"/>
        <v>0</v>
      </c>
      <c r="AA71" s="126">
        <f t="shared" ca="1" si="19"/>
        <v>0</v>
      </c>
      <c r="AB71" s="127"/>
      <c r="AC71" s="12">
        <f t="shared" ca="1" si="20"/>
        <v>0</v>
      </c>
      <c r="AD71" s="140"/>
      <c r="AE71" s="140"/>
      <c r="AF71" s="140"/>
      <c r="AG71" s="140"/>
      <c r="AH71" s="116"/>
      <c r="AI71" s="136"/>
      <c r="AJ71" s="136"/>
    </row>
    <row r="72" spans="1:36" x14ac:dyDescent="0.25">
      <c r="A72" s="137"/>
      <c r="B72" s="1">
        <f t="shared" si="0"/>
        <v>0</v>
      </c>
      <c r="C72" s="126">
        <f t="shared" ca="1" si="1"/>
        <v>0</v>
      </c>
      <c r="D72" s="127"/>
      <c r="E72" s="12">
        <f t="shared" ca="1" si="2"/>
        <v>0</v>
      </c>
      <c r="F72" s="1">
        <f t="shared" si="3"/>
        <v>0</v>
      </c>
      <c r="G72" s="126">
        <f t="shared" ca="1" si="4"/>
        <v>0</v>
      </c>
      <c r="H72" s="127"/>
      <c r="I72" s="12">
        <f t="shared" ca="1" si="5"/>
        <v>0</v>
      </c>
      <c r="J72" s="1">
        <f t="shared" si="6"/>
        <v>0</v>
      </c>
      <c r="K72" s="126">
        <f t="shared" ca="1" si="7"/>
        <v>36</v>
      </c>
      <c r="L72" s="127"/>
      <c r="M72" s="12">
        <f t="shared" ca="1" si="8"/>
        <v>0</v>
      </c>
      <c r="N72" s="1">
        <f t="shared" si="9"/>
        <v>0</v>
      </c>
      <c r="O72" s="126">
        <f t="shared" ca="1" si="10"/>
        <v>720</v>
      </c>
      <c r="P72" s="127"/>
      <c r="Q72" s="12">
        <f t="shared" ca="1" si="11"/>
        <v>0</v>
      </c>
      <c r="R72" s="1">
        <f t="shared" si="12"/>
        <v>0</v>
      </c>
      <c r="S72" s="126">
        <f t="shared" ca="1" si="13"/>
        <v>0</v>
      </c>
      <c r="T72" s="127"/>
      <c r="U72" s="12">
        <f t="shared" ca="1" si="14"/>
        <v>0</v>
      </c>
      <c r="V72" s="1">
        <f t="shared" si="15"/>
        <v>0</v>
      </c>
      <c r="W72" s="126">
        <f t="shared" ca="1" si="16"/>
        <v>0</v>
      </c>
      <c r="X72" s="127"/>
      <c r="Y72" s="12">
        <f t="shared" ca="1" si="17"/>
        <v>0</v>
      </c>
      <c r="Z72" s="1">
        <f t="shared" si="18"/>
        <v>0</v>
      </c>
      <c r="AA72" s="126">
        <f t="shared" ca="1" si="19"/>
        <v>0</v>
      </c>
      <c r="AB72" s="127"/>
      <c r="AC72" s="12">
        <f t="shared" ca="1" si="20"/>
        <v>0</v>
      </c>
      <c r="AD72" s="140"/>
      <c r="AE72" s="140"/>
      <c r="AF72" s="140"/>
      <c r="AG72" s="140"/>
      <c r="AH72" s="116"/>
      <c r="AI72" s="136"/>
      <c r="AJ72" s="136"/>
    </row>
    <row r="73" spans="1:36" x14ac:dyDescent="0.25">
      <c r="A73" s="137"/>
      <c r="B73" s="1">
        <f t="shared" si="0"/>
        <v>0</v>
      </c>
      <c r="C73" s="126">
        <f t="shared" ca="1" si="1"/>
        <v>0</v>
      </c>
      <c r="D73" s="127"/>
      <c r="E73" s="12">
        <f t="shared" ca="1" si="2"/>
        <v>0</v>
      </c>
      <c r="F73" s="1">
        <f t="shared" si="3"/>
        <v>0</v>
      </c>
      <c r="G73" s="126">
        <f t="shared" ca="1" si="4"/>
        <v>0</v>
      </c>
      <c r="H73" s="127"/>
      <c r="I73" s="12">
        <f t="shared" ca="1" si="5"/>
        <v>0</v>
      </c>
      <c r="J73" s="1">
        <f t="shared" si="6"/>
        <v>0</v>
      </c>
      <c r="K73" s="126">
        <f t="shared" ca="1" si="7"/>
        <v>36</v>
      </c>
      <c r="L73" s="127"/>
      <c r="M73" s="12">
        <f t="shared" ca="1" si="8"/>
        <v>0</v>
      </c>
      <c r="N73" s="1">
        <f t="shared" si="9"/>
        <v>0</v>
      </c>
      <c r="O73" s="126">
        <f t="shared" ca="1" si="10"/>
        <v>0</v>
      </c>
      <c r="P73" s="127"/>
      <c r="Q73" s="12">
        <f t="shared" ca="1" si="11"/>
        <v>0</v>
      </c>
      <c r="R73" s="1">
        <f t="shared" si="12"/>
        <v>0</v>
      </c>
      <c r="S73" s="126">
        <f t="shared" ca="1" si="13"/>
        <v>0</v>
      </c>
      <c r="T73" s="127"/>
      <c r="U73" s="12">
        <f t="shared" ca="1" si="14"/>
        <v>0</v>
      </c>
      <c r="V73" s="1">
        <f t="shared" si="15"/>
        <v>0</v>
      </c>
      <c r="W73" s="126">
        <f t="shared" ca="1" si="16"/>
        <v>0</v>
      </c>
      <c r="X73" s="127"/>
      <c r="Y73" s="12">
        <f t="shared" ca="1" si="17"/>
        <v>0</v>
      </c>
      <c r="Z73" s="1">
        <f t="shared" si="18"/>
        <v>0</v>
      </c>
      <c r="AA73" s="126">
        <f t="shared" ca="1" si="19"/>
        <v>0</v>
      </c>
      <c r="AB73" s="127"/>
      <c r="AC73" s="12">
        <f t="shared" ca="1" si="20"/>
        <v>0</v>
      </c>
      <c r="AD73" s="140"/>
      <c r="AE73" s="140"/>
      <c r="AF73" s="140"/>
      <c r="AG73" s="140"/>
      <c r="AH73" s="116"/>
      <c r="AI73" s="136"/>
      <c r="AJ73" s="136"/>
    </row>
    <row r="74" spans="1:36" x14ac:dyDescent="0.25">
      <c r="A74" s="137"/>
      <c r="B74" s="1">
        <f t="shared" si="0"/>
        <v>0</v>
      </c>
      <c r="C74" s="126">
        <f t="shared" ca="1" si="1"/>
        <v>0</v>
      </c>
      <c r="D74" s="127"/>
      <c r="E74" s="12">
        <f t="shared" ca="1" si="2"/>
        <v>0</v>
      </c>
      <c r="F74" s="1">
        <f t="shared" si="3"/>
        <v>0</v>
      </c>
      <c r="G74" s="126">
        <f t="shared" ca="1" si="4"/>
        <v>0</v>
      </c>
      <c r="H74" s="127"/>
      <c r="I74" s="12">
        <f t="shared" ca="1" si="5"/>
        <v>0</v>
      </c>
      <c r="J74" s="1">
        <f t="shared" si="6"/>
        <v>0</v>
      </c>
      <c r="K74" s="126">
        <f t="shared" ca="1" si="7"/>
        <v>0</v>
      </c>
      <c r="L74" s="127"/>
      <c r="M74" s="12">
        <f t="shared" ca="1" si="8"/>
        <v>0</v>
      </c>
      <c r="N74" s="1">
        <f t="shared" si="9"/>
        <v>0</v>
      </c>
      <c r="O74" s="126">
        <f t="shared" ca="1" si="10"/>
        <v>0</v>
      </c>
      <c r="P74" s="127"/>
      <c r="Q74" s="12">
        <f t="shared" ca="1" si="11"/>
        <v>0</v>
      </c>
      <c r="R74" s="1">
        <f t="shared" si="12"/>
        <v>0</v>
      </c>
      <c r="S74" s="126">
        <f t="shared" ca="1" si="13"/>
        <v>540</v>
      </c>
      <c r="T74" s="127"/>
      <c r="U74" s="12">
        <f t="shared" ca="1" si="14"/>
        <v>0</v>
      </c>
      <c r="V74" s="1">
        <f t="shared" si="15"/>
        <v>0</v>
      </c>
      <c r="W74" s="126">
        <f t="shared" ca="1" si="16"/>
        <v>160</v>
      </c>
      <c r="X74" s="127"/>
      <c r="Y74" s="12">
        <f t="shared" ca="1" si="17"/>
        <v>0</v>
      </c>
      <c r="Z74" s="1">
        <f t="shared" si="18"/>
        <v>0</v>
      </c>
      <c r="AA74" s="126">
        <f t="shared" ca="1" si="19"/>
        <v>0</v>
      </c>
      <c r="AB74" s="127"/>
      <c r="AC74" s="12">
        <f t="shared" ca="1" si="20"/>
        <v>0</v>
      </c>
      <c r="AD74" s="140"/>
      <c r="AE74" s="140"/>
      <c r="AF74" s="140"/>
      <c r="AG74" s="140"/>
      <c r="AH74" s="116"/>
      <c r="AI74" s="136"/>
      <c r="AJ74" s="136"/>
    </row>
    <row r="75" spans="1:36" x14ac:dyDescent="0.25">
      <c r="A75" s="137"/>
      <c r="B75" s="1">
        <f t="shared" si="0"/>
        <v>0</v>
      </c>
      <c r="C75" s="126">
        <f t="shared" ca="1" si="1"/>
        <v>0</v>
      </c>
      <c r="D75" s="127"/>
      <c r="E75" s="12">
        <f t="shared" ca="1" si="2"/>
        <v>0</v>
      </c>
      <c r="F75" s="1">
        <f t="shared" si="3"/>
        <v>0</v>
      </c>
      <c r="G75" s="126">
        <f t="shared" ca="1" si="4"/>
        <v>0</v>
      </c>
      <c r="H75" s="127"/>
      <c r="I75" s="12">
        <f t="shared" ca="1" si="5"/>
        <v>0</v>
      </c>
      <c r="J75" s="1">
        <f t="shared" si="6"/>
        <v>0</v>
      </c>
      <c r="K75" s="126">
        <f t="shared" ca="1" si="7"/>
        <v>0</v>
      </c>
      <c r="L75" s="127"/>
      <c r="M75" s="12">
        <f t="shared" ca="1" si="8"/>
        <v>0</v>
      </c>
      <c r="N75" s="1">
        <f t="shared" si="9"/>
        <v>0</v>
      </c>
      <c r="O75" s="126">
        <f t="shared" ca="1" si="10"/>
        <v>0</v>
      </c>
      <c r="P75" s="127"/>
      <c r="Q75" s="12">
        <f t="shared" ca="1" si="11"/>
        <v>0</v>
      </c>
      <c r="R75" s="1">
        <f t="shared" si="12"/>
        <v>0</v>
      </c>
      <c r="S75" s="126">
        <f t="shared" ca="1" si="13"/>
        <v>720</v>
      </c>
      <c r="T75" s="127"/>
      <c r="U75" s="12">
        <f t="shared" ca="1" si="14"/>
        <v>0</v>
      </c>
      <c r="V75" s="1">
        <f t="shared" si="15"/>
        <v>0</v>
      </c>
      <c r="W75" s="126">
        <f t="shared" ca="1" si="16"/>
        <v>420</v>
      </c>
      <c r="X75" s="127"/>
      <c r="Y75" s="12">
        <f t="shared" ca="1" si="17"/>
        <v>0</v>
      </c>
      <c r="Z75" s="1">
        <f t="shared" si="18"/>
        <v>0</v>
      </c>
      <c r="AA75" s="126">
        <f t="shared" ca="1" si="19"/>
        <v>0</v>
      </c>
      <c r="AB75" s="127"/>
      <c r="AC75" s="12">
        <f t="shared" ca="1" si="20"/>
        <v>0</v>
      </c>
      <c r="AD75" s="140"/>
      <c r="AE75" s="140"/>
      <c r="AF75" s="140"/>
      <c r="AG75" s="140"/>
      <c r="AH75" s="116"/>
      <c r="AI75" s="136"/>
      <c r="AJ75" s="136"/>
    </row>
    <row r="76" spans="1:36" x14ac:dyDescent="0.25">
      <c r="A76" s="137"/>
      <c r="B76" s="1">
        <f t="shared" si="0"/>
        <v>0</v>
      </c>
      <c r="C76" s="126">
        <f t="shared" ca="1" si="1"/>
        <v>0</v>
      </c>
      <c r="D76" s="127"/>
      <c r="E76" s="12">
        <f t="shared" ca="1" si="2"/>
        <v>0</v>
      </c>
      <c r="F76" s="1">
        <f t="shared" si="3"/>
        <v>0</v>
      </c>
      <c r="G76" s="126">
        <f t="shared" ca="1" si="4"/>
        <v>0</v>
      </c>
      <c r="H76" s="127"/>
      <c r="I76" s="12">
        <f t="shared" ca="1" si="5"/>
        <v>0</v>
      </c>
      <c r="J76" s="1">
        <f t="shared" si="6"/>
        <v>0</v>
      </c>
      <c r="K76" s="126">
        <f t="shared" ca="1" si="7"/>
        <v>0</v>
      </c>
      <c r="L76" s="127"/>
      <c r="M76" s="12">
        <f t="shared" ca="1" si="8"/>
        <v>0</v>
      </c>
      <c r="N76" s="1">
        <f t="shared" si="9"/>
        <v>0</v>
      </c>
      <c r="O76" s="126">
        <f t="shared" ca="1" si="10"/>
        <v>0</v>
      </c>
      <c r="P76" s="127"/>
      <c r="Q76" s="12">
        <f t="shared" ca="1" si="11"/>
        <v>0</v>
      </c>
      <c r="R76" s="1">
        <f t="shared" si="12"/>
        <v>0</v>
      </c>
      <c r="S76" s="126">
        <f t="shared" ca="1" si="13"/>
        <v>1350</v>
      </c>
      <c r="T76" s="127"/>
      <c r="U76" s="12">
        <f t="shared" ca="1" si="14"/>
        <v>0</v>
      </c>
      <c r="V76" s="1">
        <f t="shared" si="15"/>
        <v>0</v>
      </c>
      <c r="W76" s="126">
        <f t="shared" ca="1" si="16"/>
        <v>180</v>
      </c>
      <c r="X76" s="127"/>
      <c r="Y76" s="12">
        <f t="shared" ca="1" si="17"/>
        <v>0</v>
      </c>
      <c r="Z76" s="1">
        <f t="shared" si="18"/>
        <v>0</v>
      </c>
      <c r="AA76" s="126">
        <f t="shared" ca="1" si="19"/>
        <v>0</v>
      </c>
      <c r="AB76" s="127"/>
      <c r="AC76" s="12">
        <f t="shared" ca="1" si="20"/>
        <v>0</v>
      </c>
      <c r="AD76" s="140"/>
      <c r="AE76" s="140"/>
      <c r="AF76" s="140"/>
      <c r="AG76" s="140"/>
      <c r="AH76" s="116"/>
      <c r="AI76" s="136"/>
      <c r="AJ76" s="136"/>
    </row>
    <row r="77" spans="1:36" x14ac:dyDescent="0.25">
      <c r="A77" s="137"/>
      <c r="B77" s="1">
        <f t="shared" si="0"/>
        <v>0</v>
      </c>
      <c r="C77" s="126">
        <f t="shared" ca="1" si="1"/>
        <v>0</v>
      </c>
      <c r="D77" s="127"/>
      <c r="E77" s="12">
        <f t="shared" ca="1" si="2"/>
        <v>0</v>
      </c>
      <c r="F77" s="1">
        <f t="shared" si="3"/>
        <v>0</v>
      </c>
      <c r="G77" s="126">
        <f t="shared" ca="1" si="4"/>
        <v>0</v>
      </c>
      <c r="H77" s="127"/>
      <c r="I77" s="12">
        <f t="shared" ca="1" si="5"/>
        <v>0</v>
      </c>
      <c r="J77" s="1">
        <f t="shared" si="6"/>
        <v>0</v>
      </c>
      <c r="K77" s="126">
        <f t="shared" ca="1" si="7"/>
        <v>0</v>
      </c>
      <c r="L77" s="127"/>
      <c r="M77" s="12">
        <f t="shared" ca="1" si="8"/>
        <v>0</v>
      </c>
      <c r="N77" s="1">
        <f t="shared" si="9"/>
        <v>0</v>
      </c>
      <c r="O77" s="126">
        <f t="shared" ca="1" si="10"/>
        <v>0</v>
      </c>
      <c r="P77" s="127"/>
      <c r="Q77" s="12">
        <f t="shared" ca="1" si="11"/>
        <v>0</v>
      </c>
      <c r="R77" s="1">
        <f t="shared" si="12"/>
        <v>0</v>
      </c>
      <c r="S77" s="126">
        <f t="shared" ca="1" si="13"/>
        <v>300</v>
      </c>
      <c r="T77" s="127"/>
      <c r="U77" s="12">
        <f t="shared" ca="1" si="14"/>
        <v>0</v>
      </c>
      <c r="V77" s="1">
        <f t="shared" si="15"/>
        <v>0</v>
      </c>
      <c r="W77" s="126">
        <f ca="1">IF(TODAY()=$A$44,W38*X38*Y38,W77)</f>
        <v>0</v>
      </c>
      <c r="X77" s="127"/>
      <c r="Y77" s="12">
        <f t="shared" ca="1" si="17"/>
        <v>0</v>
      </c>
      <c r="Z77" s="1">
        <f t="shared" si="18"/>
        <v>0</v>
      </c>
      <c r="AA77" s="126">
        <f t="shared" ca="1" si="19"/>
        <v>0</v>
      </c>
      <c r="AB77" s="127"/>
      <c r="AC77" s="12">
        <f t="shared" ca="1" si="20"/>
        <v>0</v>
      </c>
      <c r="AD77" s="140"/>
      <c r="AE77" s="140"/>
      <c r="AF77" s="140"/>
      <c r="AG77" s="140"/>
      <c r="AH77" s="116"/>
      <c r="AI77" s="136"/>
      <c r="AJ77" s="136"/>
    </row>
    <row r="78" spans="1:36" x14ac:dyDescent="0.25">
      <c r="A78" s="138"/>
      <c r="B78" s="1">
        <f t="shared" si="0"/>
        <v>0</v>
      </c>
      <c r="C78" s="126">
        <f t="shared" ca="1" si="1"/>
        <v>0</v>
      </c>
      <c r="D78" s="127"/>
      <c r="E78" s="12">
        <f t="shared" ca="1" si="2"/>
        <v>0</v>
      </c>
      <c r="F78" s="1">
        <f t="shared" si="3"/>
        <v>0</v>
      </c>
      <c r="G78" s="126">
        <f t="shared" ca="1" si="4"/>
        <v>0</v>
      </c>
      <c r="H78" s="127"/>
      <c r="I78" s="12">
        <f t="shared" ca="1" si="5"/>
        <v>0</v>
      </c>
      <c r="J78" s="1">
        <f t="shared" si="6"/>
        <v>0</v>
      </c>
      <c r="K78" s="126">
        <f t="shared" ca="1" si="7"/>
        <v>0</v>
      </c>
      <c r="L78" s="127"/>
      <c r="M78" s="12">
        <f t="shared" ca="1" si="8"/>
        <v>0</v>
      </c>
      <c r="N78" s="1">
        <f t="shared" si="9"/>
        <v>0</v>
      </c>
      <c r="O78" s="126">
        <f t="shared" ca="1" si="10"/>
        <v>0</v>
      </c>
      <c r="P78" s="127"/>
      <c r="Q78" s="12">
        <f t="shared" ca="1" si="11"/>
        <v>0</v>
      </c>
      <c r="R78" s="1">
        <f t="shared" si="12"/>
        <v>0</v>
      </c>
      <c r="S78" s="126">
        <f t="shared" ca="1" si="13"/>
        <v>900</v>
      </c>
      <c r="T78" s="127"/>
      <c r="U78" s="12">
        <f t="shared" ca="1" si="14"/>
        <v>0</v>
      </c>
      <c r="V78" s="1">
        <f t="shared" si="15"/>
        <v>0</v>
      </c>
      <c r="W78" s="126">
        <f t="shared" ca="1" si="16"/>
        <v>0</v>
      </c>
      <c r="X78" s="127"/>
      <c r="Y78" s="12">
        <f t="shared" ca="1" si="17"/>
        <v>0</v>
      </c>
      <c r="Z78" s="1">
        <f t="shared" si="18"/>
        <v>0</v>
      </c>
      <c r="AA78" s="126">
        <f t="shared" ca="1" si="19"/>
        <v>0</v>
      </c>
      <c r="AB78" s="127"/>
      <c r="AC78" s="12">
        <f t="shared" ca="1" si="20"/>
        <v>0</v>
      </c>
      <c r="AD78" s="140"/>
      <c r="AE78" s="140"/>
      <c r="AF78" s="140"/>
      <c r="AG78" s="140"/>
      <c r="AH78" s="116"/>
      <c r="AI78" s="136"/>
      <c r="AJ78" s="136"/>
    </row>
    <row r="79" spans="1:36" x14ac:dyDescent="0.25">
      <c r="A79" s="137">
        <v>45228</v>
      </c>
      <c r="B79" s="2">
        <f>B5</f>
        <v>0</v>
      </c>
      <c r="C79" s="126">
        <f ca="1">IF(TODAY()=$A$79,C5*D5*E5,C79)</f>
        <v>0</v>
      </c>
      <c r="D79" s="127"/>
      <c r="E79" s="13">
        <f ca="1">IF(TODAY()=$A$79,E5,E79)</f>
        <v>0</v>
      </c>
      <c r="F79" s="2">
        <f>F5</f>
        <v>0</v>
      </c>
      <c r="G79" s="126">
        <f ca="1">IF(TODAY()=$A$79,G5*H5*I5,G79)</f>
        <v>0</v>
      </c>
      <c r="H79" s="127"/>
      <c r="I79" s="12">
        <f ca="1">IF(TODAY()=$A$79,I5,I79)</f>
        <v>0</v>
      </c>
      <c r="J79" s="2">
        <f>J5</f>
        <v>0</v>
      </c>
      <c r="K79" s="126">
        <f ca="1">IF(TODAY()=$A$79,K5*L5*M5,K79)</f>
        <v>0</v>
      </c>
      <c r="L79" s="127"/>
      <c r="M79" s="12">
        <f ca="1">IF(TODAY()=$A$79,M5,M79)</f>
        <v>0</v>
      </c>
      <c r="N79" s="2">
        <f>N5</f>
        <v>0</v>
      </c>
      <c r="O79" s="126">
        <f ca="1">IF(TODAY()=$A$79,O5*P5*Q5,O79)</f>
        <v>0</v>
      </c>
      <c r="P79" s="127"/>
      <c r="Q79" s="12">
        <f ca="1">IF(TODAY()=$A$79,Q5,Q79)</f>
        <v>0</v>
      </c>
      <c r="R79" s="2">
        <f>R5</f>
        <v>0</v>
      </c>
      <c r="S79" s="126">
        <f ca="1">IF(TODAY()=$A$79,S5*T5*U5,S79)</f>
        <v>0</v>
      </c>
      <c r="T79" s="127"/>
      <c r="U79" s="13">
        <f ca="1">IF(TODAY()=$A$79,U5,U79)</f>
        <v>0</v>
      </c>
      <c r="V79" s="2">
        <f>V5</f>
        <v>0</v>
      </c>
      <c r="W79" s="126">
        <f ca="1">IF(TODAY()=$A$79,W5*X5*Y5,W79)</f>
        <v>0</v>
      </c>
      <c r="X79" s="127"/>
      <c r="Y79" s="12">
        <f ca="1">IF(TODAY()=$A$79,Y5,Y79)</f>
        <v>0</v>
      </c>
      <c r="Z79" s="2">
        <f>Z5</f>
        <v>0</v>
      </c>
      <c r="AA79" s="126">
        <f ca="1">IF(TODAY()=$A$79,AA5*AB5*AC5,AA79)</f>
        <v>0</v>
      </c>
      <c r="AB79" s="127"/>
      <c r="AC79" s="12">
        <f ca="1">IF(TODAY()=$A$79,AC5,AC79)</f>
        <v>0</v>
      </c>
      <c r="AD79" s="139">
        <f ca="1">SUM(C79:E113,G79:I113,K79:M113,O79:Q113,S79:U113,W79:Y113,AA79:AC113)</f>
        <v>0</v>
      </c>
      <c r="AE79" s="139"/>
      <c r="AF79" s="139"/>
      <c r="AG79" s="139"/>
      <c r="AH79" s="112">
        <f ca="1">(AD79-AD44)/AD44</f>
        <v>-1</v>
      </c>
      <c r="AI79" s="135"/>
      <c r="AJ79" s="135"/>
    </row>
    <row r="80" spans="1:36" x14ac:dyDescent="0.25">
      <c r="A80" s="137"/>
      <c r="B80" s="2">
        <f t="shared" ref="B80:B113" si="21">B6</f>
        <v>0</v>
      </c>
      <c r="C80" s="126">
        <f ca="1">IF(TODAY()=$A$79,C6*D6*E6,C80)</f>
        <v>0</v>
      </c>
      <c r="D80" s="127"/>
      <c r="E80" s="13">
        <f t="shared" ref="E80:E113" ca="1" si="22">IF(TODAY()=$A$79,E6,E80)</f>
        <v>0</v>
      </c>
      <c r="F80" s="2">
        <f t="shared" ref="F80:F113" si="23">F6</f>
        <v>0</v>
      </c>
      <c r="G80" s="126">
        <f t="shared" ref="G80:G113" ca="1" si="24">IF(TODAY()=$A$79,G6*H6*I6,G80)</f>
        <v>0</v>
      </c>
      <c r="H80" s="127"/>
      <c r="I80" s="12">
        <f t="shared" ref="I80:I113" ca="1" si="25">IF(TODAY()=$A$79,I6,I80)</f>
        <v>0</v>
      </c>
      <c r="J80" s="2">
        <f t="shared" ref="J80:J113" si="26">J6</f>
        <v>0</v>
      </c>
      <c r="K80" s="126">
        <f t="shared" ref="K80:K113" ca="1" si="27">IF(TODAY()=$A$79,K6*L6*M6,K80)</f>
        <v>0</v>
      </c>
      <c r="L80" s="127"/>
      <c r="M80" s="12">
        <f t="shared" ref="M80:M113" ca="1" si="28">IF(TODAY()=$A$79,M6,M80)</f>
        <v>0</v>
      </c>
      <c r="N80" s="2">
        <f t="shared" ref="N80:N113" si="29">N6</f>
        <v>0</v>
      </c>
      <c r="O80" s="126">
        <f t="shared" ref="O80:O113" ca="1" si="30">IF(TODAY()=$A$79,O6*P6*Q6,O80)</f>
        <v>0</v>
      </c>
      <c r="P80" s="127"/>
      <c r="Q80" s="12">
        <f t="shared" ref="Q80:Q113" ca="1" si="31">IF(TODAY()=$A$79,Q6,Q80)</f>
        <v>0</v>
      </c>
      <c r="R80" s="2">
        <f t="shared" ref="R80:R113" si="32">R6</f>
        <v>0</v>
      </c>
      <c r="S80" s="126">
        <f t="shared" ref="S80:S113" ca="1" si="33">IF(TODAY()=$A$79,S6*T6*U6,S80)</f>
        <v>0</v>
      </c>
      <c r="T80" s="127"/>
      <c r="U80" s="13">
        <f t="shared" ref="U80:U113" ca="1" si="34">IF(TODAY()=$A$79,U6,U80)</f>
        <v>0</v>
      </c>
      <c r="V80" s="2">
        <f t="shared" ref="V80:V113" si="35">V6</f>
        <v>0</v>
      </c>
      <c r="W80" s="126">
        <f t="shared" ref="W80:W113" ca="1" si="36">IF(TODAY()=$A$79,W6*X6*Y6,W80)</f>
        <v>0</v>
      </c>
      <c r="X80" s="127"/>
      <c r="Y80" s="12">
        <f t="shared" ref="Y80:Y113" ca="1" si="37">IF(TODAY()=$A$79,Y6,Y80)</f>
        <v>0</v>
      </c>
      <c r="Z80" s="2">
        <f t="shared" ref="Z80:Z113" si="38">Z6</f>
        <v>0</v>
      </c>
      <c r="AA80" s="126">
        <f t="shared" ref="AA80:AA113" ca="1" si="39">IF(TODAY()=$A$79,AA6*AB6*AC6,AA80)</f>
        <v>0</v>
      </c>
      <c r="AB80" s="127"/>
      <c r="AC80" s="12">
        <f t="shared" ref="AC80:AC113" ca="1" si="40">IF(TODAY()=$A$79,AC6,AC80)</f>
        <v>0</v>
      </c>
      <c r="AD80" s="140"/>
      <c r="AE80" s="140"/>
      <c r="AF80" s="140"/>
      <c r="AG80" s="140"/>
      <c r="AH80" s="113"/>
      <c r="AI80" s="136"/>
      <c r="AJ80" s="136"/>
    </row>
    <row r="81" spans="1:36" x14ac:dyDescent="0.25">
      <c r="A81" s="137"/>
      <c r="B81" s="2">
        <f t="shared" si="21"/>
        <v>0</v>
      </c>
      <c r="C81" s="126">
        <f t="shared" ref="C81:C113" ca="1" si="41">IF(TODAY()=$A$79,C7*D7*E7,C81)</f>
        <v>0</v>
      </c>
      <c r="D81" s="127"/>
      <c r="E81" s="13">
        <f t="shared" ca="1" si="22"/>
        <v>0</v>
      </c>
      <c r="F81" s="2">
        <f t="shared" si="23"/>
        <v>0</v>
      </c>
      <c r="G81" s="126">
        <f t="shared" ca="1" si="24"/>
        <v>0</v>
      </c>
      <c r="H81" s="127"/>
      <c r="I81" s="12">
        <f t="shared" ca="1" si="25"/>
        <v>0</v>
      </c>
      <c r="J81" s="2">
        <f t="shared" si="26"/>
        <v>0</v>
      </c>
      <c r="K81" s="126">
        <f t="shared" ca="1" si="27"/>
        <v>0</v>
      </c>
      <c r="L81" s="127"/>
      <c r="M81" s="12">
        <f t="shared" ca="1" si="28"/>
        <v>0</v>
      </c>
      <c r="N81" s="2">
        <f t="shared" si="29"/>
        <v>0</v>
      </c>
      <c r="O81" s="126">
        <f t="shared" ca="1" si="30"/>
        <v>0</v>
      </c>
      <c r="P81" s="127"/>
      <c r="Q81" s="12">
        <f t="shared" ca="1" si="31"/>
        <v>0</v>
      </c>
      <c r="R81" s="2">
        <f t="shared" si="32"/>
        <v>0</v>
      </c>
      <c r="S81" s="126">
        <f t="shared" ca="1" si="33"/>
        <v>0</v>
      </c>
      <c r="T81" s="127"/>
      <c r="U81" s="13">
        <f t="shared" ca="1" si="34"/>
        <v>0</v>
      </c>
      <c r="V81" s="2">
        <f t="shared" si="35"/>
        <v>0</v>
      </c>
      <c r="W81" s="126">
        <f t="shared" ca="1" si="36"/>
        <v>0</v>
      </c>
      <c r="X81" s="127"/>
      <c r="Y81" s="12">
        <f t="shared" ca="1" si="37"/>
        <v>0</v>
      </c>
      <c r="Z81" s="2">
        <f t="shared" si="38"/>
        <v>0</v>
      </c>
      <c r="AA81" s="126">
        <f t="shared" ca="1" si="39"/>
        <v>0</v>
      </c>
      <c r="AB81" s="127"/>
      <c r="AC81" s="12">
        <f t="shared" ca="1" si="40"/>
        <v>0</v>
      </c>
      <c r="AD81" s="140"/>
      <c r="AE81" s="140"/>
      <c r="AF81" s="140"/>
      <c r="AG81" s="140"/>
      <c r="AH81" s="113"/>
      <c r="AI81" s="136"/>
      <c r="AJ81" s="136"/>
    </row>
    <row r="82" spans="1:36" x14ac:dyDescent="0.25">
      <c r="A82" s="137"/>
      <c r="B82" s="2">
        <f t="shared" si="21"/>
        <v>0</v>
      </c>
      <c r="C82" s="126">
        <f t="shared" ca="1" si="41"/>
        <v>0</v>
      </c>
      <c r="D82" s="127"/>
      <c r="E82" s="13">
        <f t="shared" ca="1" si="22"/>
        <v>0</v>
      </c>
      <c r="F82" s="2">
        <f t="shared" si="23"/>
        <v>0</v>
      </c>
      <c r="G82" s="126">
        <f t="shared" ca="1" si="24"/>
        <v>0</v>
      </c>
      <c r="H82" s="127"/>
      <c r="I82" s="12">
        <f t="shared" ca="1" si="25"/>
        <v>0</v>
      </c>
      <c r="J82" s="2">
        <f t="shared" si="26"/>
        <v>0</v>
      </c>
      <c r="K82" s="126">
        <f t="shared" ca="1" si="27"/>
        <v>0</v>
      </c>
      <c r="L82" s="127"/>
      <c r="M82" s="12">
        <f t="shared" ca="1" si="28"/>
        <v>0</v>
      </c>
      <c r="N82" s="2">
        <f t="shared" si="29"/>
        <v>0</v>
      </c>
      <c r="O82" s="126">
        <f t="shared" ca="1" si="30"/>
        <v>0</v>
      </c>
      <c r="P82" s="127"/>
      <c r="Q82" s="12">
        <f t="shared" ca="1" si="31"/>
        <v>0</v>
      </c>
      <c r="R82" s="2">
        <f t="shared" si="32"/>
        <v>0</v>
      </c>
      <c r="S82" s="126">
        <f t="shared" ca="1" si="33"/>
        <v>0</v>
      </c>
      <c r="T82" s="127"/>
      <c r="U82" s="13">
        <f t="shared" ca="1" si="34"/>
        <v>0</v>
      </c>
      <c r="V82" s="2">
        <f t="shared" si="35"/>
        <v>0</v>
      </c>
      <c r="W82" s="126">
        <f t="shared" ca="1" si="36"/>
        <v>0</v>
      </c>
      <c r="X82" s="127"/>
      <c r="Y82" s="12">
        <f t="shared" ca="1" si="37"/>
        <v>0</v>
      </c>
      <c r="Z82" s="2">
        <f t="shared" si="38"/>
        <v>0</v>
      </c>
      <c r="AA82" s="126">
        <f t="shared" ca="1" si="39"/>
        <v>0</v>
      </c>
      <c r="AB82" s="127"/>
      <c r="AC82" s="12">
        <f t="shared" ca="1" si="40"/>
        <v>0</v>
      </c>
      <c r="AD82" s="140"/>
      <c r="AE82" s="140"/>
      <c r="AF82" s="140"/>
      <c r="AG82" s="140"/>
      <c r="AH82" s="113"/>
      <c r="AI82" s="136"/>
      <c r="AJ82" s="136"/>
    </row>
    <row r="83" spans="1:36" x14ac:dyDescent="0.25">
      <c r="A83" s="137"/>
      <c r="B83" s="2">
        <f t="shared" si="21"/>
        <v>0</v>
      </c>
      <c r="C83" s="126">
        <f t="shared" ca="1" si="41"/>
        <v>0</v>
      </c>
      <c r="D83" s="127"/>
      <c r="E83" s="13">
        <f t="shared" ca="1" si="22"/>
        <v>0</v>
      </c>
      <c r="F83" s="2">
        <f t="shared" si="23"/>
        <v>0</v>
      </c>
      <c r="G83" s="126">
        <f t="shared" ca="1" si="24"/>
        <v>0</v>
      </c>
      <c r="H83" s="127"/>
      <c r="I83" s="12">
        <f t="shared" ca="1" si="25"/>
        <v>0</v>
      </c>
      <c r="J83" s="2">
        <f t="shared" si="26"/>
        <v>0</v>
      </c>
      <c r="K83" s="126">
        <f t="shared" ca="1" si="27"/>
        <v>0</v>
      </c>
      <c r="L83" s="127"/>
      <c r="M83" s="12">
        <f t="shared" ca="1" si="28"/>
        <v>0</v>
      </c>
      <c r="N83" s="2">
        <f t="shared" si="29"/>
        <v>0</v>
      </c>
      <c r="O83" s="126">
        <f t="shared" ca="1" si="30"/>
        <v>0</v>
      </c>
      <c r="P83" s="127"/>
      <c r="Q83" s="12">
        <f t="shared" ca="1" si="31"/>
        <v>0</v>
      </c>
      <c r="R83" s="2">
        <f t="shared" si="32"/>
        <v>0</v>
      </c>
      <c r="S83" s="126">
        <f t="shared" ca="1" si="33"/>
        <v>0</v>
      </c>
      <c r="T83" s="127"/>
      <c r="U83" s="13">
        <f t="shared" ca="1" si="34"/>
        <v>0</v>
      </c>
      <c r="V83" s="2">
        <f t="shared" si="35"/>
        <v>0</v>
      </c>
      <c r="W83" s="126">
        <f t="shared" ca="1" si="36"/>
        <v>0</v>
      </c>
      <c r="X83" s="127"/>
      <c r="Y83" s="12">
        <f t="shared" ca="1" si="37"/>
        <v>0</v>
      </c>
      <c r="Z83" s="2">
        <f t="shared" si="38"/>
        <v>0</v>
      </c>
      <c r="AA83" s="126">
        <f t="shared" ca="1" si="39"/>
        <v>0</v>
      </c>
      <c r="AB83" s="127"/>
      <c r="AC83" s="12">
        <f t="shared" ca="1" si="40"/>
        <v>0</v>
      </c>
      <c r="AD83" s="140"/>
      <c r="AE83" s="140"/>
      <c r="AF83" s="140"/>
      <c r="AG83" s="140"/>
      <c r="AH83" s="113"/>
      <c r="AI83" s="136"/>
      <c r="AJ83" s="136"/>
    </row>
    <row r="84" spans="1:36" x14ac:dyDescent="0.25">
      <c r="A84" s="137"/>
      <c r="B84" s="2">
        <f t="shared" si="21"/>
        <v>0</v>
      </c>
      <c r="C84" s="126">
        <f t="shared" ca="1" si="41"/>
        <v>0</v>
      </c>
      <c r="D84" s="127"/>
      <c r="E84" s="13">
        <f t="shared" ca="1" si="22"/>
        <v>0</v>
      </c>
      <c r="F84" s="2">
        <f t="shared" si="23"/>
        <v>0</v>
      </c>
      <c r="G84" s="126">
        <f t="shared" ca="1" si="24"/>
        <v>0</v>
      </c>
      <c r="H84" s="127"/>
      <c r="I84" s="12">
        <f t="shared" ca="1" si="25"/>
        <v>0</v>
      </c>
      <c r="J84" s="2">
        <f t="shared" si="26"/>
        <v>0</v>
      </c>
      <c r="K84" s="126">
        <f t="shared" ca="1" si="27"/>
        <v>0</v>
      </c>
      <c r="L84" s="127"/>
      <c r="M84" s="12">
        <f t="shared" ca="1" si="28"/>
        <v>0</v>
      </c>
      <c r="N84" s="2">
        <f t="shared" si="29"/>
        <v>0</v>
      </c>
      <c r="O84" s="126">
        <f t="shared" ca="1" si="30"/>
        <v>0</v>
      </c>
      <c r="P84" s="127"/>
      <c r="Q84" s="12">
        <f t="shared" ca="1" si="31"/>
        <v>0</v>
      </c>
      <c r="R84" s="2">
        <f t="shared" si="32"/>
        <v>0</v>
      </c>
      <c r="S84" s="126">
        <f t="shared" ca="1" si="33"/>
        <v>0</v>
      </c>
      <c r="T84" s="127"/>
      <c r="U84" s="13">
        <f t="shared" ca="1" si="34"/>
        <v>0</v>
      </c>
      <c r="V84" s="2">
        <f t="shared" si="35"/>
        <v>0</v>
      </c>
      <c r="W84" s="126">
        <f t="shared" ca="1" si="36"/>
        <v>0</v>
      </c>
      <c r="X84" s="127"/>
      <c r="Y84" s="12">
        <f t="shared" ca="1" si="37"/>
        <v>0</v>
      </c>
      <c r="Z84" s="2">
        <f t="shared" si="38"/>
        <v>0</v>
      </c>
      <c r="AA84" s="126">
        <f t="shared" ca="1" si="39"/>
        <v>0</v>
      </c>
      <c r="AB84" s="127"/>
      <c r="AC84" s="12">
        <f t="shared" ca="1" si="40"/>
        <v>0</v>
      </c>
      <c r="AD84" s="140"/>
      <c r="AE84" s="140"/>
      <c r="AF84" s="140"/>
      <c r="AG84" s="140"/>
      <c r="AH84" s="113"/>
      <c r="AI84" s="136"/>
      <c r="AJ84" s="136"/>
    </row>
    <row r="85" spans="1:36" x14ac:dyDescent="0.25">
      <c r="A85" s="137"/>
      <c r="B85" s="2">
        <f t="shared" si="21"/>
        <v>0</v>
      </c>
      <c r="C85" s="126">
        <f t="shared" ca="1" si="41"/>
        <v>0</v>
      </c>
      <c r="D85" s="127"/>
      <c r="E85" s="13">
        <f t="shared" ca="1" si="22"/>
        <v>0</v>
      </c>
      <c r="F85" s="2">
        <f t="shared" si="23"/>
        <v>0</v>
      </c>
      <c r="G85" s="126">
        <f t="shared" ca="1" si="24"/>
        <v>0</v>
      </c>
      <c r="H85" s="127"/>
      <c r="I85" s="12">
        <f t="shared" ca="1" si="25"/>
        <v>0</v>
      </c>
      <c r="J85" s="2">
        <f t="shared" si="26"/>
        <v>0</v>
      </c>
      <c r="K85" s="126">
        <f t="shared" ca="1" si="27"/>
        <v>0</v>
      </c>
      <c r="L85" s="127"/>
      <c r="M85" s="12">
        <f t="shared" ca="1" si="28"/>
        <v>0</v>
      </c>
      <c r="N85" s="2">
        <f t="shared" si="29"/>
        <v>0</v>
      </c>
      <c r="O85" s="126">
        <f t="shared" ca="1" si="30"/>
        <v>0</v>
      </c>
      <c r="P85" s="127"/>
      <c r="Q85" s="12">
        <f t="shared" ca="1" si="31"/>
        <v>0</v>
      </c>
      <c r="R85" s="2">
        <f t="shared" si="32"/>
        <v>0</v>
      </c>
      <c r="S85" s="126">
        <f t="shared" ca="1" si="33"/>
        <v>0</v>
      </c>
      <c r="T85" s="127"/>
      <c r="U85" s="13">
        <f t="shared" ca="1" si="34"/>
        <v>0</v>
      </c>
      <c r="V85" s="2">
        <f t="shared" si="35"/>
        <v>0</v>
      </c>
      <c r="W85" s="126">
        <f t="shared" ca="1" si="36"/>
        <v>0</v>
      </c>
      <c r="X85" s="127"/>
      <c r="Y85" s="12">
        <f t="shared" ca="1" si="37"/>
        <v>0</v>
      </c>
      <c r="Z85" s="2">
        <f t="shared" si="38"/>
        <v>0</v>
      </c>
      <c r="AA85" s="126">
        <f t="shared" ca="1" si="39"/>
        <v>0</v>
      </c>
      <c r="AB85" s="127"/>
      <c r="AC85" s="12">
        <f t="shared" ca="1" si="40"/>
        <v>0</v>
      </c>
      <c r="AD85" s="140"/>
      <c r="AE85" s="140"/>
      <c r="AF85" s="140"/>
      <c r="AG85" s="140"/>
      <c r="AH85" s="113"/>
      <c r="AI85" s="136"/>
      <c r="AJ85" s="136"/>
    </row>
    <row r="86" spans="1:36" x14ac:dyDescent="0.25">
      <c r="A86" s="137"/>
      <c r="B86" s="2">
        <f t="shared" si="21"/>
        <v>0</v>
      </c>
      <c r="C86" s="126">
        <f t="shared" ca="1" si="41"/>
        <v>0</v>
      </c>
      <c r="D86" s="127"/>
      <c r="E86" s="13">
        <f t="shared" ca="1" si="22"/>
        <v>0</v>
      </c>
      <c r="F86" s="2">
        <f t="shared" si="23"/>
        <v>0</v>
      </c>
      <c r="G86" s="126">
        <f t="shared" ca="1" si="24"/>
        <v>0</v>
      </c>
      <c r="H86" s="127"/>
      <c r="I86" s="12">
        <f t="shared" ca="1" si="25"/>
        <v>0</v>
      </c>
      <c r="J86" s="2">
        <f t="shared" si="26"/>
        <v>0</v>
      </c>
      <c r="K86" s="126">
        <f t="shared" ca="1" si="27"/>
        <v>0</v>
      </c>
      <c r="L86" s="127"/>
      <c r="M86" s="12">
        <f t="shared" ca="1" si="28"/>
        <v>0</v>
      </c>
      <c r="N86" s="2">
        <f t="shared" si="29"/>
        <v>0</v>
      </c>
      <c r="O86" s="126">
        <f t="shared" ca="1" si="30"/>
        <v>0</v>
      </c>
      <c r="P86" s="127"/>
      <c r="Q86" s="12">
        <f t="shared" ca="1" si="31"/>
        <v>0</v>
      </c>
      <c r="R86" s="2">
        <f t="shared" si="32"/>
        <v>0</v>
      </c>
      <c r="S86" s="126">
        <f t="shared" ca="1" si="33"/>
        <v>0</v>
      </c>
      <c r="T86" s="127"/>
      <c r="U86" s="13">
        <f t="shared" ca="1" si="34"/>
        <v>0</v>
      </c>
      <c r="V86" s="2">
        <f t="shared" si="35"/>
        <v>0</v>
      </c>
      <c r="W86" s="126">
        <f t="shared" ca="1" si="36"/>
        <v>0</v>
      </c>
      <c r="X86" s="127"/>
      <c r="Y86" s="12">
        <f t="shared" ca="1" si="37"/>
        <v>0</v>
      </c>
      <c r="Z86" s="2">
        <f t="shared" si="38"/>
        <v>0</v>
      </c>
      <c r="AA86" s="126">
        <f t="shared" ca="1" si="39"/>
        <v>0</v>
      </c>
      <c r="AB86" s="127"/>
      <c r="AC86" s="12">
        <f t="shared" ca="1" si="40"/>
        <v>0</v>
      </c>
      <c r="AD86" s="140"/>
      <c r="AE86" s="140"/>
      <c r="AF86" s="140"/>
      <c r="AG86" s="140"/>
      <c r="AH86" s="113"/>
      <c r="AI86" s="136"/>
      <c r="AJ86" s="136"/>
    </row>
    <row r="87" spans="1:36" x14ac:dyDescent="0.25">
      <c r="A87" s="137"/>
      <c r="B87" s="2">
        <f t="shared" si="21"/>
        <v>0</v>
      </c>
      <c r="C87" s="126">
        <f t="shared" ca="1" si="41"/>
        <v>0</v>
      </c>
      <c r="D87" s="127"/>
      <c r="E87" s="13">
        <f t="shared" ca="1" si="22"/>
        <v>0</v>
      </c>
      <c r="F87" s="2">
        <f t="shared" si="23"/>
        <v>0</v>
      </c>
      <c r="G87" s="126">
        <f t="shared" ca="1" si="24"/>
        <v>0</v>
      </c>
      <c r="H87" s="127"/>
      <c r="I87" s="12">
        <f t="shared" ca="1" si="25"/>
        <v>0</v>
      </c>
      <c r="J87" s="2">
        <f t="shared" si="26"/>
        <v>0</v>
      </c>
      <c r="K87" s="126">
        <f t="shared" ca="1" si="27"/>
        <v>0</v>
      </c>
      <c r="L87" s="127"/>
      <c r="M87" s="12">
        <f t="shared" ca="1" si="28"/>
        <v>0</v>
      </c>
      <c r="N87" s="2">
        <f t="shared" si="29"/>
        <v>0</v>
      </c>
      <c r="O87" s="126">
        <f t="shared" ca="1" si="30"/>
        <v>0</v>
      </c>
      <c r="P87" s="127"/>
      <c r="Q87" s="12">
        <f t="shared" ca="1" si="31"/>
        <v>0</v>
      </c>
      <c r="R87" s="2">
        <f t="shared" si="32"/>
        <v>0</v>
      </c>
      <c r="S87" s="126">
        <f t="shared" ca="1" si="33"/>
        <v>0</v>
      </c>
      <c r="T87" s="127"/>
      <c r="U87" s="13">
        <f t="shared" ca="1" si="34"/>
        <v>0</v>
      </c>
      <c r="V87" s="2">
        <f t="shared" si="35"/>
        <v>0</v>
      </c>
      <c r="W87" s="126">
        <f t="shared" ca="1" si="36"/>
        <v>0</v>
      </c>
      <c r="X87" s="127"/>
      <c r="Y87" s="12">
        <f t="shared" ca="1" si="37"/>
        <v>0</v>
      </c>
      <c r="Z87" s="2">
        <f t="shared" si="38"/>
        <v>0</v>
      </c>
      <c r="AA87" s="126">
        <f t="shared" ca="1" si="39"/>
        <v>0</v>
      </c>
      <c r="AB87" s="127"/>
      <c r="AC87" s="12">
        <f t="shared" ca="1" si="40"/>
        <v>0</v>
      </c>
      <c r="AD87" s="140"/>
      <c r="AE87" s="140"/>
      <c r="AF87" s="140"/>
      <c r="AG87" s="140"/>
      <c r="AH87" s="113"/>
      <c r="AI87" s="136"/>
      <c r="AJ87" s="136"/>
    </row>
    <row r="88" spans="1:36" x14ac:dyDescent="0.25">
      <c r="A88" s="137"/>
      <c r="B88" s="2">
        <f t="shared" si="21"/>
        <v>0</v>
      </c>
      <c r="C88" s="126">
        <f t="shared" ca="1" si="41"/>
        <v>0</v>
      </c>
      <c r="D88" s="127"/>
      <c r="E88" s="13">
        <f t="shared" ca="1" si="22"/>
        <v>0</v>
      </c>
      <c r="F88" s="2">
        <f t="shared" si="23"/>
        <v>0</v>
      </c>
      <c r="G88" s="126">
        <f t="shared" ca="1" si="24"/>
        <v>0</v>
      </c>
      <c r="H88" s="127"/>
      <c r="I88" s="12">
        <f t="shared" ca="1" si="25"/>
        <v>0</v>
      </c>
      <c r="J88" s="2">
        <f t="shared" si="26"/>
        <v>0</v>
      </c>
      <c r="K88" s="126">
        <f t="shared" ca="1" si="27"/>
        <v>0</v>
      </c>
      <c r="L88" s="127"/>
      <c r="M88" s="12">
        <f t="shared" ca="1" si="28"/>
        <v>0</v>
      </c>
      <c r="N88" s="2">
        <f t="shared" si="29"/>
        <v>0</v>
      </c>
      <c r="O88" s="126">
        <f t="shared" ca="1" si="30"/>
        <v>0</v>
      </c>
      <c r="P88" s="127"/>
      <c r="Q88" s="12">
        <f t="shared" ca="1" si="31"/>
        <v>0</v>
      </c>
      <c r="R88" s="2">
        <f t="shared" si="32"/>
        <v>0</v>
      </c>
      <c r="S88" s="126">
        <f t="shared" ca="1" si="33"/>
        <v>0</v>
      </c>
      <c r="T88" s="127"/>
      <c r="U88" s="13">
        <f t="shared" ca="1" si="34"/>
        <v>0</v>
      </c>
      <c r="V88" s="2">
        <f t="shared" si="35"/>
        <v>0</v>
      </c>
      <c r="W88" s="126">
        <f t="shared" ca="1" si="36"/>
        <v>0</v>
      </c>
      <c r="X88" s="127"/>
      <c r="Y88" s="12">
        <f t="shared" ca="1" si="37"/>
        <v>0</v>
      </c>
      <c r="Z88" s="2">
        <f t="shared" si="38"/>
        <v>0</v>
      </c>
      <c r="AA88" s="126">
        <f t="shared" ca="1" si="39"/>
        <v>0</v>
      </c>
      <c r="AB88" s="127"/>
      <c r="AC88" s="12">
        <f t="shared" ca="1" si="40"/>
        <v>0</v>
      </c>
      <c r="AD88" s="140"/>
      <c r="AE88" s="140"/>
      <c r="AF88" s="140"/>
      <c r="AG88" s="140"/>
      <c r="AH88" s="113"/>
      <c r="AI88" s="136"/>
      <c r="AJ88" s="136"/>
    </row>
    <row r="89" spans="1:36" x14ac:dyDescent="0.25">
      <c r="A89" s="137"/>
      <c r="B89" s="2">
        <f t="shared" si="21"/>
        <v>0</v>
      </c>
      <c r="C89" s="126">
        <f t="shared" ca="1" si="41"/>
        <v>0</v>
      </c>
      <c r="D89" s="127"/>
      <c r="E89" s="13">
        <f t="shared" ca="1" si="22"/>
        <v>0</v>
      </c>
      <c r="F89" s="2">
        <f t="shared" si="23"/>
        <v>0</v>
      </c>
      <c r="G89" s="126">
        <f t="shared" ca="1" si="24"/>
        <v>0</v>
      </c>
      <c r="H89" s="127"/>
      <c r="I89" s="12">
        <f t="shared" ca="1" si="25"/>
        <v>0</v>
      </c>
      <c r="J89" s="2">
        <f t="shared" si="26"/>
        <v>0</v>
      </c>
      <c r="K89" s="126">
        <f t="shared" ca="1" si="27"/>
        <v>0</v>
      </c>
      <c r="L89" s="127"/>
      <c r="M89" s="12">
        <f t="shared" ca="1" si="28"/>
        <v>0</v>
      </c>
      <c r="N89" s="2">
        <f t="shared" si="29"/>
        <v>0</v>
      </c>
      <c r="O89" s="126">
        <f t="shared" ca="1" si="30"/>
        <v>0</v>
      </c>
      <c r="P89" s="127"/>
      <c r="Q89" s="12">
        <f t="shared" ca="1" si="31"/>
        <v>0</v>
      </c>
      <c r="R89" s="2">
        <f t="shared" si="32"/>
        <v>0</v>
      </c>
      <c r="S89" s="126">
        <f t="shared" ca="1" si="33"/>
        <v>0</v>
      </c>
      <c r="T89" s="127"/>
      <c r="U89" s="13">
        <f t="shared" ca="1" si="34"/>
        <v>0</v>
      </c>
      <c r="V89" s="2">
        <f t="shared" si="35"/>
        <v>0</v>
      </c>
      <c r="W89" s="126">
        <f t="shared" ca="1" si="36"/>
        <v>0</v>
      </c>
      <c r="X89" s="127"/>
      <c r="Y89" s="12">
        <f t="shared" ca="1" si="37"/>
        <v>0</v>
      </c>
      <c r="Z89" s="2">
        <f t="shared" si="38"/>
        <v>0</v>
      </c>
      <c r="AA89" s="126">
        <f t="shared" ca="1" si="39"/>
        <v>0</v>
      </c>
      <c r="AB89" s="127"/>
      <c r="AC89" s="12">
        <f t="shared" ca="1" si="40"/>
        <v>0</v>
      </c>
      <c r="AD89" s="140"/>
      <c r="AE89" s="140"/>
      <c r="AF89" s="140"/>
      <c r="AG89" s="140"/>
      <c r="AH89" s="113"/>
      <c r="AI89" s="136"/>
      <c r="AJ89" s="136"/>
    </row>
    <row r="90" spans="1:36" x14ac:dyDescent="0.25">
      <c r="A90" s="137"/>
      <c r="B90" s="2">
        <f t="shared" si="21"/>
        <v>0</v>
      </c>
      <c r="C90" s="126">
        <f t="shared" ca="1" si="41"/>
        <v>0</v>
      </c>
      <c r="D90" s="127"/>
      <c r="E90" s="13">
        <f t="shared" ca="1" si="22"/>
        <v>0</v>
      </c>
      <c r="F90" s="2">
        <f t="shared" si="23"/>
        <v>0</v>
      </c>
      <c r="G90" s="126">
        <f t="shared" ca="1" si="24"/>
        <v>0</v>
      </c>
      <c r="H90" s="127"/>
      <c r="I90" s="12">
        <f t="shared" ca="1" si="25"/>
        <v>0</v>
      </c>
      <c r="J90" s="2">
        <f t="shared" si="26"/>
        <v>0</v>
      </c>
      <c r="K90" s="126">
        <f t="shared" ca="1" si="27"/>
        <v>0</v>
      </c>
      <c r="L90" s="127"/>
      <c r="M90" s="12">
        <f t="shared" ca="1" si="28"/>
        <v>0</v>
      </c>
      <c r="N90" s="2">
        <f t="shared" si="29"/>
        <v>0</v>
      </c>
      <c r="O90" s="126">
        <f t="shared" ca="1" si="30"/>
        <v>0</v>
      </c>
      <c r="P90" s="127"/>
      <c r="Q90" s="12">
        <f t="shared" ca="1" si="31"/>
        <v>0</v>
      </c>
      <c r="R90" s="2">
        <f t="shared" si="32"/>
        <v>0</v>
      </c>
      <c r="S90" s="126">
        <f t="shared" ca="1" si="33"/>
        <v>0</v>
      </c>
      <c r="T90" s="127"/>
      <c r="U90" s="13">
        <f t="shared" ca="1" si="34"/>
        <v>0</v>
      </c>
      <c r="V90" s="2">
        <f t="shared" si="35"/>
        <v>0</v>
      </c>
      <c r="W90" s="126">
        <f t="shared" ca="1" si="36"/>
        <v>0</v>
      </c>
      <c r="X90" s="127"/>
      <c r="Y90" s="12">
        <f t="shared" ca="1" si="37"/>
        <v>0</v>
      </c>
      <c r="Z90" s="2">
        <f t="shared" si="38"/>
        <v>0</v>
      </c>
      <c r="AA90" s="126">
        <f t="shared" ca="1" si="39"/>
        <v>0</v>
      </c>
      <c r="AB90" s="127"/>
      <c r="AC90" s="12">
        <f t="shared" ca="1" si="40"/>
        <v>0</v>
      </c>
      <c r="AD90" s="140"/>
      <c r="AE90" s="140"/>
      <c r="AF90" s="140"/>
      <c r="AG90" s="140"/>
      <c r="AH90" s="113"/>
      <c r="AI90" s="136"/>
      <c r="AJ90" s="136"/>
    </row>
    <row r="91" spans="1:36" x14ac:dyDescent="0.25">
      <c r="A91" s="137"/>
      <c r="B91" s="2">
        <f t="shared" si="21"/>
        <v>0</v>
      </c>
      <c r="C91" s="126">
        <f t="shared" ca="1" si="41"/>
        <v>0</v>
      </c>
      <c r="D91" s="127"/>
      <c r="E91" s="13">
        <f t="shared" ca="1" si="22"/>
        <v>0</v>
      </c>
      <c r="F91" s="2">
        <f t="shared" si="23"/>
        <v>0</v>
      </c>
      <c r="G91" s="126">
        <f t="shared" ca="1" si="24"/>
        <v>0</v>
      </c>
      <c r="H91" s="127"/>
      <c r="I91" s="12">
        <f t="shared" ca="1" si="25"/>
        <v>0</v>
      </c>
      <c r="J91" s="2">
        <f t="shared" si="26"/>
        <v>0</v>
      </c>
      <c r="K91" s="126">
        <f t="shared" ca="1" si="27"/>
        <v>0</v>
      </c>
      <c r="L91" s="127"/>
      <c r="M91" s="12">
        <f t="shared" ca="1" si="28"/>
        <v>0</v>
      </c>
      <c r="N91" s="2">
        <f t="shared" si="29"/>
        <v>0</v>
      </c>
      <c r="O91" s="126">
        <f t="shared" ca="1" si="30"/>
        <v>0</v>
      </c>
      <c r="P91" s="127"/>
      <c r="Q91" s="12">
        <f t="shared" ca="1" si="31"/>
        <v>0</v>
      </c>
      <c r="R91" s="2">
        <f t="shared" si="32"/>
        <v>0</v>
      </c>
      <c r="S91" s="126">
        <f t="shared" ca="1" si="33"/>
        <v>0</v>
      </c>
      <c r="T91" s="127"/>
      <c r="U91" s="13">
        <f t="shared" ca="1" si="34"/>
        <v>0</v>
      </c>
      <c r="V91" s="2">
        <f t="shared" si="35"/>
        <v>0</v>
      </c>
      <c r="W91" s="126">
        <f t="shared" ca="1" si="36"/>
        <v>0</v>
      </c>
      <c r="X91" s="127"/>
      <c r="Y91" s="12">
        <f t="shared" ca="1" si="37"/>
        <v>0</v>
      </c>
      <c r="Z91" s="2">
        <f t="shared" si="38"/>
        <v>0</v>
      </c>
      <c r="AA91" s="126">
        <f t="shared" ca="1" si="39"/>
        <v>0</v>
      </c>
      <c r="AB91" s="127"/>
      <c r="AC91" s="12">
        <f t="shared" ca="1" si="40"/>
        <v>0</v>
      </c>
      <c r="AD91" s="140"/>
      <c r="AE91" s="140"/>
      <c r="AF91" s="140"/>
      <c r="AG91" s="140"/>
      <c r="AH91" s="113"/>
      <c r="AI91" s="136"/>
      <c r="AJ91" s="136"/>
    </row>
    <row r="92" spans="1:36" x14ac:dyDescent="0.25">
      <c r="A92" s="137"/>
      <c r="B92" s="2">
        <f t="shared" si="21"/>
        <v>0</v>
      </c>
      <c r="C92" s="126">
        <f t="shared" ca="1" si="41"/>
        <v>0</v>
      </c>
      <c r="D92" s="127"/>
      <c r="E92" s="13">
        <f t="shared" ca="1" si="22"/>
        <v>0</v>
      </c>
      <c r="F92" s="2">
        <f t="shared" si="23"/>
        <v>0</v>
      </c>
      <c r="G92" s="126">
        <f t="shared" ca="1" si="24"/>
        <v>0</v>
      </c>
      <c r="H92" s="127"/>
      <c r="I92" s="12">
        <f t="shared" ca="1" si="25"/>
        <v>0</v>
      </c>
      <c r="J92" s="2">
        <f t="shared" si="26"/>
        <v>0</v>
      </c>
      <c r="K92" s="126">
        <f t="shared" ca="1" si="27"/>
        <v>0</v>
      </c>
      <c r="L92" s="127"/>
      <c r="M92" s="12">
        <f t="shared" ca="1" si="28"/>
        <v>0</v>
      </c>
      <c r="N92" s="2">
        <f t="shared" si="29"/>
        <v>0</v>
      </c>
      <c r="O92" s="126">
        <f t="shared" ca="1" si="30"/>
        <v>0</v>
      </c>
      <c r="P92" s="127"/>
      <c r="Q92" s="12">
        <f t="shared" ca="1" si="31"/>
        <v>0</v>
      </c>
      <c r="R92" s="2">
        <f t="shared" si="32"/>
        <v>0</v>
      </c>
      <c r="S92" s="126">
        <f t="shared" ca="1" si="33"/>
        <v>0</v>
      </c>
      <c r="T92" s="127"/>
      <c r="U92" s="13">
        <f t="shared" ca="1" si="34"/>
        <v>0</v>
      </c>
      <c r="V92" s="2">
        <f t="shared" si="35"/>
        <v>0</v>
      </c>
      <c r="W92" s="126">
        <f t="shared" ca="1" si="36"/>
        <v>0</v>
      </c>
      <c r="X92" s="127"/>
      <c r="Y92" s="12">
        <f t="shared" ca="1" si="37"/>
        <v>0</v>
      </c>
      <c r="Z92" s="2">
        <f t="shared" si="38"/>
        <v>0</v>
      </c>
      <c r="AA92" s="126">
        <f t="shared" ca="1" si="39"/>
        <v>0</v>
      </c>
      <c r="AB92" s="127"/>
      <c r="AC92" s="12">
        <f t="shared" ca="1" si="40"/>
        <v>0</v>
      </c>
      <c r="AD92" s="140"/>
      <c r="AE92" s="140"/>
      <c r="AF92" s="140"/>
      <c r="AG92" s="140"/>
      <c r="AH92" s="113"/>
      <c r="AI92" s="136"/>
      <c r="AJ92" s="136"/>
    </row>
    <row r="93" spans="1:36" x14ac:dyDescent="0.25">
      <c r="A93" s="137"/>
      <c r="B93" s="2">
        <f t="shared" si="21"/>
        <v>0</v>
      </c>
      <c r="C93" s="126">
        <f t="shared" ca="1" si="41"/>
        <v>0</v>
      </c>
      <c r="D93" s="127"/>
      <c r="E93" s="13">
        <f t="shared" ca="1" si="22"/>
        <v>0</v>
      </c>
      <c r="F93" s="2">
        <f t="shared" si="23"/>
        <v>0</v>
      </c>
      <c r="G93" s="126">
        <f t="shared" ca="1" si="24"/>
        <v>0</v>
      </c>
      <c r="H93" s="127"/>
      <c r="I93" s="12">
        <f t="shared" ca="1" si="25"/>
        <v>0</v>
      </c>
      <c r="J93" s="2">
        <f t="shared" si="26"/>
        <v>0</v>
      </c>
      <c r="K93" s="126">
        <f t="shared" ca="1" si="27"/>
        <v>0</v>
      </c>
      <c r="L93" s="127"/>
      <c r="M93" s="12">
        <f t="shared" ca="1" si="28"/>
        <v>0</v>
      </c>
      <c r="N93" s="2">
        <f t="shared" si="29"/>
        <v>0</v>
      </c>
      <c r="O93" s="126">
        <f t="shared" ca="1" si="30"/>
        <v>0</v>
      </c>
      <c r="P93" s="127"/>
      <c r="Q93" s="12">
        <f t="shared" ca="1" si="31"/>
        <v>0</v>
      </c>
      <c r="R93" s="2">
        <f t="shared" si="32"/>
        <v>0</v>
      </c>
      <c r="S93" s="126">
        <f t="shared" ca="1" si="33"/>
        <v>0</v>
      </c>
      <c r="T93" s="127"/>
      <c r="U93" s="13">
        <f t="shared" ca="1" si="34"/>
        <v>0</v>
      </c>
      <c r="V93" s="2">
        <f t="shared" si="35"/>
        <v>0</v>
      </c>
      <c r="W93" s="126">
        <f t="shared" ca="1" si="36"/>
        <v>0</v>
      </c>
      <c r="X93" s="127"/>
      <c r="Y93" s="12">
        <f t="shared" ca="1" si="37"/>
        <v>0</v>
      </c>
      <c r="Z93" s="2">
        <f t="shared" si="38"/>
        <v>0</v>
      </c>
      <c r="AA93" s="126">
        <f t="shared" ca="1" si="39"/>
        <v>0</v>
      </c>
      <c r="AB93" s="127"/>
      <c r="AC93" s="12">
        <f t="shared" ca="1" si="40"/>
        <v>0</v>
      </c>
      <c r="AD93" s="140"/>
      <c r="AE93" s="140"/>
      <c r="AF93" s="140"/>
      <c r="AG93" s="140"/>
      <c r="AH93" s="113"/>
      <c r="AI93" s="136"/>
      <c r="AJ93" s="136"/>
    </row>
    <row r="94" spans="1:36" x14ac:dyDescent="0.25">
      <c r="A94" s="137"/>
      <c r="B94" s="2">
        <f t="shared" si="21"/>
        <v>0</v>
      </c>
      <c r="C94" s="126">
        <f t="shared" ca="1" si="41"/>
        <v>0</v>
      </c>
      <c r="D94" s="127"/>
      <c r="E94" s="13">
        <f t="shared" ca="1" si="22"/>
        <v>0</v>
      </c>
      <c r="F94" s="2">
        <f t="shared" si="23"/>
        <v>0</v>
      </c>
      <c r="G94" s="126">
        <f t="shared" ca="1" si="24"/>
        <v>0</v>
      </c>
      <c r="H94" s="127"/>
      <c r="I94" s="12">
        <f t="shared" ca="1" si="25"/>
        <v>0</v>
      </c>
      <c r="J94" s="2">
        <f t="shared" si="26"/>
        <v>0</v>
      </c>
      <c r="K94" s="126">
        <f t="shared" ca="1" si="27"/>
        <v>0</v>
      </c>
      <c r="L94" s="127"/>
      <c r="M94" s="12">
        <f t="shared" ca="1" si="28"/>
        <v>0</v>
      </c>
      <c r="N94" s="2">
        <f t="shared" si="29"/>
        <v>0</v>
      </c>
      <c r="O94" s="126">
        <f t="shared" ca="1" si="30"/>
        <v>0</v>
      </c>
      <c r="P94" s="127"/>
      <c r="Q94" s="12">
        <f t="shared" ca="1" si="31"/>
        <v>0</v>
      </c>
      <c r="R94" s="2">
        <f t="shared" si="32"/>
        <v>0</v>
      </c>
      <c r="S94" s="126">
        <f t="shared" ca="1" si="33"/>
        <v>0</v>
      </c>
      <c r="T94" s="127"/>
      <c r="U94" s="13">
        <f t="shared" ca="1" si="34"/>
        <v>0</v>
      </c>
      <c r="V94" s="2">
        <f t="shared" si="35"/>
        <v>0</v>
      </c>
      <c r="W94" s="126">
        <f t="shared" ca="1" si="36"/>
        <v>0</v>
      </c>
      <c r="X94" s="127"/>
      <c r="Y94" s="12">
        <f t="shared" ca="1" si="37"/>
        <v>0</v>
      </c>
      <c r="Z94" s="2">
        <f t="shared" si="38"/>
        <v>0</v>
      </c>
      <c r="AA94" s="126">
        <f t="shared" ca="1" si="39"/>
        <v>0</v>
      </c>
      <c r="AB94" s="127"/>
      <c r="AC94" s="12">
        <f t="shared" ca="1" si="40"/>
        <v>0</v>
      </c>
      <c r="AD94" s="140"/>
      <c r="AE94" s="140"/>
      <c r="AF94" s="140"/>
      <c r="AG94" s="140"/>
      <c r="AH94" s="113"/>
      <c r="AI94" s="136"/>
      <c r="AJ94" s="136"/>
    </row>
    <row r="95" spans="1:36" x14ac:dyDescent="0.25">
      <c r="A95" s="137"/>
      <c r="B95" s="2">
        <f t="shared" si="21"/>
        <v>0</v>
      </c>
      <c r="C95" s="126">
        <f t="shared" ca="1" si="41"/>
        <v>0</v>
      </c>
      <c r="D95" s="127"/>
      <c r="E95" s="13">
        <f t="shared" ca="1" si="22"/>
        <v>0</v>
      </c>
      <c r="F95" s="2">
        <f t="shared" si="23"/>
        <v>0</v>
      </c>
      <c r="G95" s="126">
        <f t="shared" ca="1" si="24"/>
        <v>0</v>
      </c>
      <c r="H95" s="127"/>
      <c r="I95" s="12">
        <f t="shared" ca="1" si="25"/>
        <v>0</v>
      </c>
      <c r="J95" s="2">
        <f t="shared" si="26"/>
        <v>0</v>
      </c>
      <c r="K95" s="126">
        <f t="shared" ca="1" si="27"/>
        <v>0</v>
      </c>
      <c r="L95" s="127"/>
      <c r="M95" s="12">
        <f t="shared" ca="1" si="28"/>
        <v>0</v>
      </c>
      <c r="N95" s="2">
        <f t="shared" si="29"/>
        <v>0</v>
      </c>
      <c r="O95" s="126">
        <f t="shared" ca="1" si="30"/>
        <v>0</v>
      </c>
      <c r="P95" s="127"/>
      <c r="Q95" s="12">
        <f t="shared" ca="1" si="31"/>
        <v>0</v>
      </c>
      <c r="R95" s="2">
        <f t="shared" si="32"/>
        <v>0</v>
      </c>
      <c r="S95" s="126">
        <f t="shared" ca="1" si="33"/>
        <v>0</v>
      </c>
      <c r="T95" s="127"/>
      <c r="U95" s="13">
        <f t="shared" ca="1" si="34"/>
        <v>0</v>
      </c>
      <c r="V95" s="2">
        <f t="shared" si="35"/>
        <v>0</v>
      </c>
      <c r="W95" s="126">
        <f t="shared" ca="1" si="36"/>
        <v>0</v>
      </c>
      <c r="X95" s="127"/>
      <c r="Y95" s="12">
        <f t="shared" ca="1" si="37"/>
        <v>0</v>
      </c>
      <c r="Z95" s="2">
        <f t="shared" si="38"/>
        <v>0</v>
      </c>
      <c r="AA95" s="126">
        <f t="shared" ca="1" si="39"/>
        <v>0</v>
      </c>
      <c r="AB95" s="127"/>
      <c r="AC95" s="12">
        <f t="shared" ca="1" si="40"/>
        <v>0</v>
      </c>
      <c r="AD95" s="140"/>
      <c r="AE95" s="140"/>
      <c r="AF95" s="140"/>
      <c r="AG95" s="140"/>
      <c r="AH95" s="113"/>
      <c r="AI95" s="136"/>
      <c r="AJ95" s="136"/>
    </row>
    <row r="96" spans="1:36" x14ac:dyDescent="0.25">
      <c r="A96" s="137"/>
      <c r="B96" s="2">
        <f t="shared" si="21"/>
        <v>0</v>
      </c>
      <c r="C96" s="126">
        <f t="shared" ca="1" si="41"/>
        <v>0</v>
      </c>
      <c r="D96" s="127"/>
      <c r="E96" s="13">
        <f t="shared" ca="1" si="22"/>
        <v>0</v>
      </c>
      <c r="F96" s="2">
        <f t="shared" si="23"/>
        <v>0</v>
      </c>
      <c r="G96" s="126">
        <f t="shared" ca="1" si="24"/>
        <v>0</v>
      </c>
      <c r="H96" s="127"/>
      <c r="I96" s="12">
        <f t="shared" ca="1" si="25"/>
        <v>0</v>
      </c>
      <c r="J96" s="2">
        <f t="shared" si="26"/>
        <v>0</v>
      </c>
      <c r="K96" s="126">
        <f t="shared" ca="1" si="27"/>
        <v>0</v>
      </c>
      <c r="L96" s="127"/>
      <c r="M96" s="12">
        <f t="shared" ca="1" si="28"/>
        <v>0</v>
      </c>
      <c r="N96" s="2">
        <f t="shared" si="29"/>
        <v>0</v>
      </c>
      <c r="O96" s="126">
        <f t="shared" ca="1" si="30"/>
        <v>0</v>
      </c>
      <c r="P96" s="127"/>
      <c r="Q96" s="12">
        <f t="shared" ca="1" si="31"/>
        <v>0</v>
      </c>
      <c r="R96" s="2">
        <f t="shared" si="32"/>
        <v>0</v>
      </c>
      <c r="S96" s="126">
        <f t="shared" ca="1" si="33"/>
        <v>0</v>
      </c>
      <c r="T96" s="127"/>
      <c r="U96" s="13">
        <f t="shared" ca="1" si="34"/>
        <v>0</v>
      </c>
      <c r="V96" s="2">
        <f t="shared" si="35"/>
        <v>0</v>
      </c>
      <c r="W96" s="126">
        <f t="shared" ca="1" si="36"/>
        <v>0</v>
      </c>
      <c r="X96" s="127"/>
      <c r="Y96" s="12">
        <f t="shared" ca="1" si="37"/>
        <v>0</v>
      </c>
      <c r="Z96" s="2">
        <f t="shared" si="38"/>
        <v>0</v>
      </c>
      <c r="AA96" s="126">
        <f t="shared" ca="1" si="39"/>
        <v>0</v>
      </c>
      <c r="AB96" s="127"/>
      <c r="AC96" s="12">
        <f t="shared" ca="1" si="40"/>
        <v>0</v>
      </c>
      <c r="AD96" s="140"/>
      <c r="AE96" s="140"/>
      <c r="AF96" s="140"/>
      <c r="AG96" s="140"/>
      <c r="AH96" s="113"/>
      <c r="AI96" s="136"/>
      <c r="AJ96" s="136"/>
    </row>
    <row r="97" spans="1:36" x14ac:dyDescent="0.25">
      <c r="A97" s="137"/>
      <c r="B97" s="2">
        <f t="shared" si="21"/>
        <v>0</v>
      </c>
      <c r="C97" s="126">
        <f t="shared" ca="1" si="41"/>
        <v>0</v>
      </c>
      <c r="D97" s="127"/>
      <c r="E97" s="13">
        <f t="shared" ca="1" si="22"/>
        <v>0</v>
      </c>
      <c r="F97" s="2">
        <f t="shared" si="23"/>
        <v>0</v>
      </c>
      <c r="G97" s="126">
        <f t="shared" ca="1" si="24"/>
        <v>0</v>
      </c>
      <c r="H97" s="127"/>
      <c r="I97" s="12">
        <f t="shared" ca="1" si="25"/>
        <v>0</v>
      </c>
      <c r="J97" s="2">
        <f t="shared" si="26"/>
        <v>0</v>
      </c>
      <c r="K97" s="126">
        <f t="shared" ca="1" si="27"/>
        <v>0</v>
      </c>
      <c r="L97" s="127"/>
      <c r="M97" s="12">
        <f t="shared" ca="1" si="28"/>
        <v>0</v>
      </c>
      <c r="N97" s="2">
        <f t="shared" si="29"/>
        <v>0</v>
      </c>
      <c r="O97" s="126">
        <f t="shared" ca="1" si="30"/>
        <v>0</v>
      </c>
      <c r="P97" s="127"/>
      <c r="Q97" s="12">
        <f t="shared" ca="1" si="31"/>
        <v>0</v>
      </c>
      <c r="R97" s="2">
        <f t="shared" si="32"/>
        <v>0</v>
      </c>
      <c r="S97" s="126">
        <f t="shared" ca="1" si="33"/>
        <v>0</v>
      </c>
      <c r="T97" s="127"/>
      <c r="U97" s="13">
        <f t="shared" ca="1" si="34"/>
        <v>0</v>
      </c>
      <c r="V97" s="2">
        <f t="shared" si="35"/>
        <v>0</v>
      </c>
      <c r="W97" s="126">
        <f t="shared" ca="1" si="36"/>
        <v>0</v>
      </c>
      <c r="X97" s="127"/>
      <c r="Y97" s="12">
        <f t="shared" ca="1" si="37"/>
        <v>0</v>
      </c>
      <c r="Z97" s="2">
        <f t="shared" si="38"/>
        <v>0</v>
      </c>
      <c r="AA97" s="126">
        <f t="shared" ca="1" si="39"/>
        <v>0</v>
      </c>
      <c r="AB97" s="127"/>
      <c r="AC97" s="12">
        <f t="shared" ca="1" si="40"/>
        <v>0</v>
      </c>
      <c r="AD97" s="140"/>
      <c r="AE97" s="140"/>
      <c r="AF97" s="140"/>
      <c r="AG97" s="140"/>
      <c r="AH97" s="113"/>
      <c r="AI97" s="136"/>
      <c r="AJ97" s="136"/>
    </row>
    <row r="98" spans="1:36" x14ac:dyDescent="0.25">
      <c r="A98" s="137"/>
      <c r="B98" s="2">
        <f t="shared" si="21"/>
        <v>0</v>
      </c>
      <c r="C98" s="126">
        <f t="shared" ca="1" si="41"/>
        <v>0</v>
      </c>
      <c r="D98" s="127"/>
      <c r="E98" s="13">
        <f t="shared" ca="1" si="22"/>
        <v>0</v>
      </c>
      <c r="F98" s="2">
        <f t="shared" si="23"/>
        <v>0</v>
      </c>
      <c r="G98" s="126">
        <f t="shared" ca="1" si="24"/>
        <v>0</v>
      </c>
      <c r="H98" s="127"/>
      <c r="I98" s="12">
        <f t="shared" ca="1" si="25"/>
        <v>0</v>
      </c>
      <c r="J98" s="2">
        <f t="shared" si="26"/>
        <v>0</v>
      </c>
      <c r="K98" s="126">
        <f t="shared" ca="1" si="27"/>
        <v>0</v>
      </c>
      <c r="L98" s="127"/>
      <c r="M98" s="12">
        <f t="shared" ca="1" si="28"/>
        <v>0</v>
      </c>
      <c r="N98" s="2">
        <f t="shared" si="29"/>
        <v>0</v>
      </c>
      <c r="O98" s="126">
        <f t="shared" ca="1" si="30"/>
        <v>0</v>
      </c>
      <c r="P98" s="127"/>
      <c r="Q98" s="12">
        <f t="shared" ca="1" si="31"/>
        <v>0</v>
      </c>
      <c r="R98" s="2">
        <f t="shared" si="32"/>
        <v>0</v>
      </c>
      <c r="S98" s="126">
        <f t="shared" ca="1" si="33"/>
        <v>0</v>
      </c>
      <c r="T98" s="127"/>
      <c r="U98" s="13">
        <f t="shared" ca="1" si="34"/>
        <v>0</v>
      </c>
      <c r="V98" s="2">
        <f t="shared" si="35"/>
        <v>0</v>
      </c>
      <c r="W98" s="126">
        <f t="shared" ca="1" si="36"/>
        <v>0</v>
      </c>
      <c r="X98" s="127"/>
      <c r="Y98" s="12">
        <f t="shared" ca="1" si="37"/>
        <v>0</v>
      </c>
      <c r="Z98" s="2">
        <f t="shared" si="38"/>
        <v>0</v>
      </c>
      <c r="AA98" s="126">
        <f t="shared" ca="1" si="39"/>
        <v>0</v>
      </c>
      <c r="AB98" s="127"/>
      <c r="AC98" s="12">
        <f t="shared" ca="1" si="40"/>
        <v>0</v>
      </c>
      <c r="AD98" s="140"/>
      <c r="AE98" s="140"/>
      <c r="AF98" s="140"/>
      <c r="AG98" s="140"/>
      <c r="AH98" s="113"/>
      <c r="AI98" s="136"/>
      <c r="AJ98" s="136"/>
    </row>
    <row r="99" spans="1:36" x14ac:dyDescent="0.25">
      <c r="A99" s="137"/>
      <c r="B99" s="2">
        <f t="shared" si="21"/>
        <v>0</v>
      </c>
      <c r="C99" s="126">
        <f t="shared" ca="1" si="41"/>
        <v>0</v>
      </c>
      <c r="D99" s="127"/>
      <c r="E99" s="13">
        <f t="shared" ca="1" si="22"/>
        <v>0</v>
      </c>
      <c r="F99" s="2">
        <f t="shared" si="23"/>
        <v>0</v>
      </c>
      <c r="G99" s="126">
        <f t="shared" ca="1" si="24"/>
        <v>0</v>
      </c>
      <c r="H99" s="127"/>
      <c r="I99" s="12">
        <f t="shared" ca="1" si="25"/>
        <v>0</v>
      </c>
      <c r="J99" s="2">
        <f t="shared" si="26"/>
        <v>0</v>
      </c>
      <c r="K99" s="126">
        <f t="shared" ca="1" si="27"/>
        <v>0</v>
      </c>
      <c r="L99" s="127"/>
      <c r="M99" s="12">
        <f t="shared" ca="1" si="28"/>
        <v>0</v>
      </c>
      <c r="N99" s="2">
        <f t="shared" si="29"/>
        <v>0</v>
      </c>
      <c r="O99" s="126">
        <f t="shared" ca="1" si="30"/>
        <v>0</v>
      </c>
      <c r="P99" s="127"/>
      <c r="Q99" s="12">
        <f t="shared" ca="1" si="31"/>
        <v>0</v>
      </c>
      <c r="R99" s="2">
        <f t="shared" si="32"/>
        <v>0</v>
      </c>
      <c r="S99" s="126">
        <f t="shared" ca="1" si="33"/>
        <v>0</v>
      </c>
      <c r="T99" s="127"/>
      <c r="U99" s="13">
        <f t="shared" ca="1" si="34"/>
        <v>0</v>
      </c>
      <c r="V99" s="2">
        <f t="shared" si="35"/>
        <v>0</v>
      </c>
      <c r="W99" s="126">
        <f t="shared" ca="1" si="36"/>
        <v>0</v>
      </c>
      <c r="X99" s="127"/>
      <c r="Y99" s="12">
        <f t="shared" ca="1" si="37"/>
        <v>0</v>
      </c>
      <c r="Z99" s="2">
        <f t="shared" si="38"/>
        <v>0</v>
      </c>
      <c r="AA99" s="126">
        <f t="shared" ca="1" si="39"/>
        <v>0</v>
      </c>
      <c r="AB99" s="127"/>
      <c r="AC99" s="12">
        <f t="shared" ca="1" si="40"/>
        <v>0</v>
      </c>
      <c r="AD99" s="140"/>
      <c r="AE99" s="140"/>
      <c r="AF99" s="140"/>
      <c r="AG99" s="140"/>
      <c r="AH99" s="113"/>
      <c r="AI99" s="136"/>
      <c r="AJ99" s="136"/>
    </row>
    <row r="100" spans="1:36" x14ac:dyDescent="0.25">
      <c r="A100" s="137"/>
      <c r="B100" s="2">
        <f t="shared" si="21"/>
        <v>0</v>
      </c>
      <c r="C100" s="126">
        <f t="shared" ca="1" si="41"/>
        <v>0</v>
      </c>
      <c r="D100" s="127"/>
      <c r="E100" s="13">
        <f t="shared" ca="1" si="22"/>
        <v>0</v>
      </c>
      <c r="F100" s="2">
        <f t="shared" si="23"/>
        <v>0</v>
      </c>
      <c r="G100" s="126">
        <f t="shared" ca="1" si="24"/>
        <v>0</v>
      </c>
      <c r="H100" s="127"/>
      <c r="I100" s="12">
        <f t="shared" ca="1" si="25"/>
        <v>0</v>
      </c>
      <c r="J100" s="2">
        <f t="shared" si="26"/>
        <v>0</v>
      </c>
      <c r="K100" s="126">
        <f t="shared" ca="1" si="27"/>
        <v>0</v>
      </c>
      <c r="L100" s="127"/>
      <c r="M100" s="12">
        <f t="shared" ca="1" si="28"/>
        <v>0</v>
      </c>
      <c r="N100" s="2">
        <f t="shared" si="29"/>
        <v>0</v>
      </c>
      <c r="O100" s="126">
        <f t="shared" ca="1" si="30"/>
        <v>0</v>
      </c>
      <c r="P100" s="127"/>
      <c r="Q100" s="12">
        <f t="shared" ca="1" si="31"/>
        <v>0</v>
      </c>
      <c r="R100" s="2">
        <f t="shared" si="32"/>
        <v>0</v>
      </c>
      <c r="S100" s="126">
        <f t="shared" ca="1" si="33"/>
        <v>0</v>
      </c>
      <c r="T100" s="127"/>
      <c r="U100" s="13">
        <f t="shared" ca="1" si="34"/>
        <v>0</v>
      </c>
      <c r="V100" s="2">
        <f t="shared" si="35"/>
        <v>0</v>
      </c>
      <c r="W100" s="126">
        <f t="shared" ca="1" si="36"/>
        <v>0</v>
      </c>
      <c r="X100" s="127"/>
      <c r="Y100" s="12">
        <f t="shared" ca="1" si="37"/>
        <v>0</v>
      </c>
      <c r="Z100" s="2">
        <f t="shared" si="38"/>
        <v>0</v>
      </c>
      <c r="AA100" s="126">
        <f t="shared" ca="1" si="39"/>
        <v>0</v>
      </c>
      <c r="AB100" s="127"/>
      <c r="AC100" s="12">
        <f t="shared" ca="1" si="40"/>
        <v>0</v>
      </c>
      <c r="AD100" s="140"/>
      <c r="AE100" s="140"/>
      <c r="AF100" s="140"/>
      <c r="AG100" s="140"/>
      <c r="AH100" s="113"/>
      <c r="AI100" s="136"/>
      <c r="AJ100" s="136"/>
    </row>
    <row r="101" spans="1:36" x14ac:dyDescent="0.25">
      <c r="A101" s="137"/>
      <c r="B101" s="2">
        <f t="shared" si="21"/>
        <v>0</v>
      </c>
      <c r="C101" s="126">
        <f t="shared" ca="1" si="41"/>
        <v>0</v>
      </c>
      <c r="D101" s="127"/>
      <c r="E101" s="13">
        <f t="shared" ca="1" si="22"/>
        <v>0</v>
      </c>
      <c r="F101" s="2">
        <f t="shared" si="23"/>
        <v>0</v>
      </c>
      <c r="G101" s="126">
        <f t="shared" ca="1" si="24"/>
        <v>0</v>
      </c>
      <c r="H101" s="127"/>
      <c r="I101" s="12">
        <f t="shared" ca="1" si="25"/>
        <v>0</v>
      </c>
      <c r="J101" s="2">
        <f t="shared" si="26"/>
        <v>0</v>
      </c>
      <c r="K101" s="126">
        <f t="shared" ca="1" si="27"/>
        <v>0</v>
      </c>
      <c r="L101" s="127"/>
      <c r="M101" s="12">
        <f t="shared" ca="1" si="28"/>
        <v>0</v>
      </c>
      <c r="N101" s="2">
        <f t="shared" si="29"/>
        <v>0</v>
      </c>
      <c r="O101" s="126">
        <f t="shared" ca="1" si="30"/>
        <v>0</v>
      </c>
      <c r="P101" s="127"/>
      <c r="Q101" s="12">
        <f t="shared" ca="1" si="31"/>
        <v>0</v>
      </c>
      <c r="R101" s="2">
        <f t="shared" si="32"/>
        <v>0</v>
      </c>
      <c r="S101" s="126">
        <f t="shared" ca="1" si="33"/>
        <v>0</v>
      </c>
      <c r="T101" s="127"/>
      <c r="U101" s="13">
        <f t="shared" ca="1" si="34"/>
        <v>0</v>
      </c>
      <c r="V101" s="2">
        <f t="shared" si="35"/>
        <v>0</v>
      </c>
      <c r="W101" s="126">
        <f t="shared" ca="1" si="36"/>
        <v>0</v>
      </c>
      <c r="X101" s="127"/>
      <c r="Y101" s="12">
        <f t="shared" ca="1" si="37"/>
        <v>0</v>
      </c>
      <c r="Z101" s="2">
        <f t="shared" si="38"/>
        <v>0</v>
      </c>
      <c r="AA101" s="126">
        <f t="shared" ca="1" si="39"/>
        <v>0</v>
      </c>
      <c r="AB101" s="127"/>
      <c r="AC101" s="12">
        <f t="shared" ca="1" si="40"/>
        <v>0</v>
      </c>
      <c r="AD101" s="140"/>
      <c r="AE101" s="140"/>
      <c r="AF101" s="140"/>
      <c r="AG101" s="140"/>
      <c r="AH101" s="113"/>
      <c r="AI101" s="136"/>
      <c r="AJ101" s="136"/>
    </row>
    <row r="102" spans="1:36" x14ac:dyDescent="0.25">
      <c r="A102" s="137"/>
      <c r="B102" s="2">
        <f t="shared" si="21"/>
        <v>0</v>
      </c>
      <c r="C102" s="126">
        <f t="shared" ca="1" si="41"/>
        <v>0</v>
      </c>
      <c r="D102" s="127"/>
      <c r="E102" s="13">
        <f t="shared" ca="1" si="22"/>
        <v>0</v>
      </c>
      <c r="F102" s="2">
        <f t="shared" si="23"/>
        <v>0</v>
      </c>
      <c r="G102" s="126">
        <f t="shared" ca="1" si="24"/>
        <v>0</v>
      </c>
      <c r="H102" s="127"/>
      <c r="I102" s="12">
        <f t="shared" ca="1" si="25"/>
        <v>0</v>
      </c>
      <c r="J102" s="2">
        <f t="shared" si="26"/>
        <v>0</v>
      </c>
      <c r="K102" s="126">
        <f t="shared" ca="1" si="27"/>
        <v>0</v>
      </c>
      <c r="L102" s="127"/>
      <c r="M102" s="12">
        <f t="shared" ca="1" si="28"/>
        <v>0</v>
      </c>
      <c r="N102" s="2">
        <f t="shared" si="29"/>
        <v>0</v>
      </c>
      <c r="O102" s="126">
        <f t="shared" ca="1" si="30"/>
        <v>0</v>
      </c>
      <c r="P102" s="127"/>
      <c r="Q102" s="12">
        <f t="shared" ca="1" si="31"/>
        <v>0</v>
      </c>
      <c r="R102" s="2">
        <f t="shared" si="32"/>
        <v>0</v>
      </c>
      <c r="S102" s="126">
        <f t="shared" ca="1" si="33"/>
        <v>0</v>
      </c>
      <c r="T102" s="127"/>
      <c r="U102" s="13">
        <f t="shared" ca="1" si="34"/>
        <v>0</v>
      </c>
      <c r="V102" s="2">
        <f t="shared" si="35"/>
        <v>0</v>
      </c>
      <c r="W102" s="126">
        <f t="shared" ca="1" si="36"/>
        <v>0</v>
      </c>
      <c r="X102" s="127"/>
      <c r="Y102" s="12">
        <f t="shared" ca="1" si="37"/>
        <v>0</v>
      </c>
      <c r="Z102" s="2">
        <f t="shared" si="38"/>
        <v>0</v>
      </c>
      <c r="AA102" s="126">
        <f t="shared" ca="1" si="39"/>
        <v>0</v>
      </c>
      <c r="AB102" s="127"/>
      <c r="AC102" s="12">
        <f t="shared" ca="1" si="40"/>
        <v>0</v>
      </c>
      <c r="AD102" s="140"/>
      <c r="AE102" s="140"/>
      <c r="AF102" s="140"/>
      <c r="AG102" s="140"/>
      <c r="AH102" s="113"/>
      <c r="AI102" s="136"/>
      <c r="AJ102" s="136"/>
    </row>
    <row r="103" spans="1:36" x14ac:dyDescent="0.25">
      <c r="A103" s="137"/>
      <c r="B103" s="2">
        <f t="shared" si="21"/>
        <v>0</v>
      </c>
      <c r="C103" s="126">
        <f t="shared" ca="1" si="41"/>
        <v>0</v>
      </c>
      <c r="D103" s="127"/>
      <c r="E103" s="13">
        <f t="shared" ca="1" si="22"/>
        <v>0</v>
      </c>
      <c r="F103" s="2">
        <f t="shared" si="23"/>
        <v>0</v>
      </c>
      <c r="G103" s="126">
        <f t="shared" ca="1" si="24"/>
        <v>0</v>
      </c>
      <c r="H103" s="127"/>
      <c r="I103" s="12">
        <f t="shared" ca="1" si="25"/>
        <v>0</v>
      </c>
      <c r="J103" s="2">
        <f t="shared" si="26"/>
        <v>0</v>
      </c>
      <c r="K103" s="126">
        <f t="shared" ca="1" si="27"/>
        <v>0</v>
      </c>
      <c r="L103" s="127"/>
      <c r="M103" s="12">
        <f t="shared" ca="1" si="28"/>
        <v>0</v>
      </c>
      <c r="N103" s="2">
        <f t="shared" si="29"/>
        <v>0</v>
      </c>
      <c r="O103" s="126">
        <f t="shared" ca="1" si="30"/>
        <v>0</v>
      </c>
      <c r="P103" s="127"/>
      <c r="Q103" s="12">
        <f t="shared" ca="1" si="31"/>
        <v>0</v>
      </c>
      <c r="R103" s="2">
        <f t="shared" si="32"/>
        <v>0</v>
      </c>
      <c r="S103" s="126">
        <f t="shared" ca="1" si="33"/>
        <v>0</v>
      </c>
      <c r="T103" s="127"/>
      <c r="U103" s="13">
        <f t="shared" ca="1" si="34"/>
        <v>0</v>
      </c>
      <c r="V103" s="2">
        <f t="shared" si="35"/>
        <v>0</v>
      </c>
      <c r="W103" s="126">
        <f t="shared" ca="1" si="36"/>
        <v>0</v>
      </c>
      <c r="X103" s="127"/>
      <c r="Y103" s="12">
        <f t="shared" ca="1" si="37"/>
        <v>0</v>
      </c>
      <c r="Z103" s="2">
        <f t="shared" si="38"/>
        <v>0</v>
      </c>
      <c r="AA103" s="126">
        <f t="shared" ca="1" si="39"/>
        <v>0</v>
      </c>
      <c r="AB103" s="127"/>
      <c r="AC103" s="12">
        <f t="shared" ca="1" si="40"/>
        <v>0</v>
      </c>
      <c r="AD103" s="140"/>
      <c r="AE103" s="140"/>
      <c r="AF103" s="140"/>
      <c r="AG103" s="140"/>
      <c r="AH103" s="113"/>
      <c r="AI103" s="136"/>
      <c r="AJ103" s="136"/>
    </row>
    <row r="104" spans="1:36" x14ac:dyDescent="0.25">
      <c r="A104" s="137"/>
      <c r="B104" s="2">
        <f t="shared" si="21"/>
        <v>0</v>
      </c>
      <c r="C104" s="126">
        <f t="shared" ca="1" si="41"/>
        <v>0</v>
      </c>
      <c r="D104" s="127"/>
      <c r="E104" s="13">
        <f t="shared" ca="1" si="22"/>
        <v>0</v>
      </c>
      <c r="F104" s="2">
        <f t="shared" si="23"/>
        <v>0</v>
      </c>
      <c r="G104" s="126">
        <f t="shared" ca="1" si="24"/>
        <v>0</v>
      </c>
      <c r="H104" s="127"/>
      <c r="I104" s="12">
        <f t="shared" ca="1" si="25"/>
        <v>0</v>
      </c>
      <c r="J104" s="2">
        <f t="shared" si="26"/>
        <v>0</v>
      </c>
      <c r="K104" s="126">
        <f t="shared" ca="1" si="27"/>
        <v>0</v>
      </c>
      <c r="L104" s="127"/>
      <c r="M104" s="12">
        <f t="shared" ca="1" si="28"/>
        <v>0</v>
      </c>
      <c r="N104" s="2">
        <f t="shared" si="29"/>
        <v>0</v>
      </c>
      <c r="O104" s="126">
        <f t="shared" ca="1" si="30"/>
        <v>0</v>
      </c>
      <c r="P104" s="127"/>
      <c r="Q104" s="12">
        <f t="shared" ca="1" si="31"/>
        <v>0</v>
      </c>
      <c r="R104" s="2">
        <f t="shared" si="32"/>
        <v>0</v>
      </c>
      <c r="S104" s="126">
        <f t="shared" ca="1" si="33"/>
        <v>0</v>
      </c>
      <c r="T104" s="127"/>
      <c r="U104" s="13">
        <f t="shared" ca="1" si="34"/>
        <v>0</v>
      </c>
      <c r="V104" s="2">
        <f t="shared" si="35"/>
        <v>0</v>
      </c>
      <c r="W104" s="126">
        <f t="shared" ca="1" si="36"/>
        <v>0</v>
      </c>
      <c r="X104" s="127"/>
      <c r="Y104" s="12">
        <f t="shared" ca="1" si="37"/>
        <v>0</v>
      </c>
      <c r="Z104" s="2">
        <f t="shared" si="38"/>
        <v>0</v>
      </c>
      <c r="AA104" s="126">
        <f t="shared" ca="1" si="39"/>
        <v>0</v>
      </c>
      <c r="AB104" s="127"/>
      <c r="AC104" s="12">
        <f t="shared" ca="1" si="40"/>
        <v>0</v>
      </c>
      <c r="AD104" s="140"/>
      <c r="AE104" s="140"/>
      <c r="AF104" s="140"/>
      <c r="AG104" s="140"/>
      <c r="AH104" s="113"/>
      <c r="AI104" s="136"/>
      <c r="AJ104" s="136"/>
    </row>
    <row r="105" spans="1:36" x14ac:dyDescent="0.25">
      <c r="A105" s="137"/>
      <c r="B105" s="2">
        <f t="shared" si="21"/>
        <v>0</v>
      </c>
      <c r="C105" s="126">
        <f t="shared" ca="1" si="41"/>
        <v>0</v>
      </c>
      <c r="D105" s="127"/>
      <c r="E105" s="13">
        <f t="shared" ca="1" si="22"/>
        <v>0</v>
      </c>
      <c r="F105" s="2">
        <f t="shared" si="23"/>
        <v>0</v>
      </c>
      <c r="G105" s="126">
        <f t="shared" ca="1" si="24"/>
        <v>0</v>
      </c>
      <c r="H105" s="127"/>
      <c r="I105" s="12">
        <f t="shared" ca="1" si="25"/>
        <v>0</v>
      </c>
      <c r="J105" s="2">
        <f t="shared" si="26"/>
        <v>0</v>
      </c>
      <c r="K105" s="126">
        <f t="shared" ca="1" si="27"/>
        <v>0</v>
      </c>
      <c r="L105" s="127"/>
      <c r="M105" s="12">
        <f t="shared" ca="1" si="28"/>
        <v>0</v>
      </c>
      <c r="N105" s="2">
        <f t="shared" si="29"/>
        <v>0</v>
      </c>
      <c r="O105" s="126">
        <f t="shared" ca="1" si="30"/>
        <v>0</v>
      </c>
      <c r="P105" s="127"/>
      <c r="Q105" s="12">
        <f t="shared" ca="1" si="31"/>
        <v>0</v>
      </c>
      <c r="R105" s="2">
        <f t="shared" si="32"/>
        <v>0</v>
      </c>
      <c r="S105" s="126">
        <f t="shared" ca="1" si="33"/>
        <v>0</v>
      </c>
      <c r="T105" s="127"/>
      <c r="U105" s="13">
        <f t="shared" ca="1" si="34"/>
        <v>0</v>
      </c>
      <c r="V105" s="2">
        <f t="shared" si="35"/>
        <v>0</v>
      </c>
      <c r="W105" s="126">
        <f t="shared" ca="1" si="36"/>
        <v>0</v>
      </c>
      <c r="X105" s="127"/>
      <c r="Y105" s="12">
        <f t="shared" ca="1" si="37"/>
        <v>0</v>
      </c>
      <c r="Z105" s="2">
        <f t="shared" si="38"/>
        <v>0</v>
      </c>
      <c r="AA105" s="126">
        <f t="shared" ca="1" si="39"/>
        <v>0</v>
      </c>
      <c r="AB105" s="127"/>
      <c r="AC105" s="12">
        <f t="shared" ca="1" si="40"/>
        <v>0</v>
      </c>
      <c r="AD105" s="140"/>
      <c r="AE105" s="140"/>
      <c r="AF105" s="140"/>
      <c r="AG105" s="140"/>
      <c r="AH105" s="113"/>
      <c r="AI105" s="136"/>
      <c r="AJ105" s="136"/>
    </row>
    <row r="106" spans="1:36" x14ac:dyDescent="0.25">
      <c r="A106" s="137"/>
      <c r="B106" s="2">
        <f t="shared" si="21"/>
        <v>0</v>
      </c>
      <c r="C106" s="126">
        <f t="shared" ca="1" si="41"/>
        <v>0</v>
      </c>
      <c r="D106" s="127"/>
      <c r="E106" s="13">
        <f t="shared" ca="1" si="22"/>
        <v>0</v>
      </c>
      <c r="F106" s="2">
        <f t="shared" si="23"/>
        <v>0</v>
      </c>
      <c r="G106" s="126">
        <f t="shared" ca="1" si="24"/>
        <v>0</v>
      </c>
      <c r="H106" s="127"/>
      <c r="I106" s="12">
        <f t="shared" ca="1" si="25"/>
        <v>0</v>
      </c>
      <c r="J106" s="2">
        <f t="shared" si="26"/>
        <v>0</v>
      </c>
      <c r="K106" s="126">
        <f t="shared" ca="1" si="27"/>
        <v>0</v>
      </c>
      <c r="L106" s="127"/>
      <c r="M106" s="12">
        <f t="shared" ca="1" si="28"/>
        <v>0</v>
      </c>
      <c r="N106" s="2">
        <f t="shared" si="29"/>
        <v>0</v>
      </c>
      <c r="O106" s="126">
        <f t="shared" ca="1" si="30"/>
        <v>0</v>
      </c>
      <c r="P106" s="127"/>
      <c r="Q106" s="12">
        <f t="shared" ca="1" si="31"/>
        <v>0</v>
      </c>
      <c r="R106" s="2">
        <f t="shared" si="32"/>
        <v>0</v>
      </c>
      <c r="S106" s="126">
        <f t="shared" ca="1" si="33"/>
        <v>0</v>
      </c>
      <c r="T106" s="127"/>
      <c r="U106" s="13">
        <f t="shared" ca="1" si="34"/>
        <v>0</v>
      </c>
      <c r="V106" s="2">
        <f t="shared" si="35"/>
        <v>0</v>
      </c>
      <c r="W106" s="126">
        <f t="shared" ca="1" si="36"/>
        <v>0</v>
      </c>
      <c r="X106" s="127"/>
      <c r="Y106" s="12">
        <f t="shared" ca="1" si="37"/>
        <v>0</v>
      </c>
      <c r="Z106" s="2">
        <f t="shared" si="38"/>
        <v>0</v>
      </c>
      <c r="AA106" s="126">
        <f t="shared" ca="1" si="39"/>
        <v>0</v>
      </c>
      <c r="AB106" s="127"/>
      <c r="AC106" s="12">
        <f t="shared" ca="1" si="40"/>
        <v>0</v>
      </c>
      <c r="AD106" s="140"/>
      <c r="AE106" s="140"/>
      <c r="AF106" s="140"/>
      <c r="AG106" s="140"/>
      <c r="AH106" s="113"/>
      <c r="AI106" s="136"/>
      <c r="AJ106" s="136"/>
    </row>
    <row r="107" spans="1:36" x14ac:dyDescent="0.25">
      <c r="A107" s="137"/>
      <c r="B107" s="2">
        <f t="shared" si="21"/>
        <v>0</v>
      </c>
      <c r="C107" s="126">
        <f t="shared" ca="1" si="41"/>
        <v>0</v>
      </c>
      <c r="D107" s="127"/>
      <c r="E107" s="13">
        <f t="shared" ca="1" si="22"/>
        <v>0</v>
      </c>
      <c r="F107" s="2">
        <f t="shared" si="23"/>
        <v>0</v>
      </c>
      <c r="G107" s="126">
        <f t="shared" ca="1" si="24"/>
        <v>0</v>
      </c>
      <c r="H107" s="127"/>
      <c r="I107" s="12">
        <f t="shared" ca="1" si="25"/>
        <v>0</v>
      </c>
      <c r="J107" s="2">
        <f t="shared" si="26"/>
        <v>0</v>
      </c>
      <c r="K107" s="126">
        <f t="shared" ca="1" si="27"/>
        <v>0</v>
      </c>
      <c r="L107" s="127"/>
      <c r="M107" s="12">
        <f t="shared" ca="1" si="28"/>
        <v>0</v>
      </c>
      <c r="N107" s="2">
        <f t="shared" si="29"/>
        <v>0</v>
      </c>
      <c r="O107" s="126">
        <f t="shared" ca="1" si="30"/>
        <v>0</v>
      </c>
      <c r="P107" s="127"/>
      <c r="Q107" s="12">
        <f t="shared" ca="1" si="31"/>
        <v>0</v>
      </c>
      <c r="R107" s="2">
        <f t="shared" si="32"/>
        <v>0</v>
      </c>
      <c r="S107" s="126">
        <f t="shared" ca="1" si="33"/>
        <v>0</v>
      </c>
      <c r="T107" s="127"/>
      <c r="U107" s="13">
        <f t="shared" ca="1" si="34"/>
        <v>0</v>
      </c>
      <c r="V107" s="2">
        <f t="shared" si="35"/>
        <v>0</v>
      </c>
      <c r="W107" s="126">
        <f t="shared" ca="1" si="36"/>
        <v>0</v>
      </c>
      <c r="X107" s="127"/>
      <c r="Y107" s="12">
        <f t="shared" ca="1" si="37"/>
        <v>0</v>
      </c>
      <c r="Z107" s="2">
        <f t="shared" si="38"/>
        <v>0</v>
      </c>
      <c r="AA107" s="126">
        <f t="shared" ca="1" si="39"/>
        <v>0</v>
      </c>
      <c r="AB107" s="127"/>
      <c r="AC107" s="12">
        <f t="shared" ca="1" si="40"/>
        <v>0</v>
      </c>
      <c r="AD107" s="140"/>
      <c r="AE107" s="140"/>
      <c r="AF107" s="140"/>
      <c r="AG107" s="140"/>
      <c r="AH107" s="113"/>
      <c r="AI107" s="136"/>
      <c r="AJ107" s="136"/>
    </row>
    <row r="108" spans="1:36" x14ac:dyDescent="0.25">
      <c r="A108" s="137"/>
      <c r="B108" s="2">
        <f t="shared" si="21"/>
        <v>0</v>
      </c>
      <c r="C108" s="126">
        <f t="shared" ca="1" si="41"/>
        <v>0</v>
      </c>
      <c r="D108" s="127"/>
      <c r="E108" s="13">
        <f t="shared" ca="1" si="22"/>
        <v>0</v>
      </c>
      <c r="F108" s="2">
        <f t="shared" si="23"/>
        <v>0</v>
      </c>
      <c r="G108" s="126">
        <f t="shared" ca="1" si="24"/>
        <v>0</v>
      </c>
      <c r="H108" s="127"/>
      <c r="I108" s="12">
        <f t="shared" ca="1" si="25"/>
        <v>0</v>
      </c>
      <c r="J108" s="2">
        <f t="shared" si="26"/>
        <v>0</v>
      </c>
      <c r="K108" s="126">
        <f t="shared" ca="1" si="27"/>
        <v>0</v>
      </c>
      <c r="L108" s="127"/>
      <c r="M108" s="12">
        <f t="shared" ca="1" si="28"/>
        <v>0</v>
      </c>
      <c r="N108" s="2">
        <f t="shared" si="29"/>
        <v>0</v>
      </c>
      <c r="O108" s="126">
        <f t="shared" ca="1" si="30"/>
        <v>0</v>
      </c>
      <c r="P108" s="127"/>
      <c r="Q108" s="12">
        <f t="shared" ca="1" si="31"/>
        <v>0</v>
      </c>
      <c r="R108" s="2">
        <f t="shared" si="32"/>
        <v>0</v>
      </c>
      <c r="S108" s="126">
        <f t="shared" ca="1" si="33"/>
        <v>0</v>
      </c>
      <c r="T108" s="127"/>
      <c r="U108" s="13">
        <f t="shared" ca="1" si="34"/>
        <v>0</v>
      </c>
      <c r="V108" s="2">
        <f t="shared" si="35"/>
        <v>0</v>
      </c>
      <c r="W108" s="126">
        <f t="shared" ca="1" si="36"/>
        <v>0</v>
      </c>
      <c r="X108" s="127"/>
      <c r="Y108" s="12">
        <f t="shared" ca="1" si="37"/>
        <v>0</v>
      </c>
      <c r="Z108" s="2">
        <f t="shared" si="38"/>
        <v>0</v>
      </c>
      <c r="AA108" s="126">
        <f t="shared" ca="1" si="39"/>
        <v>0</v>
      </c>
      <c r="AB108" s="127"/>
      <c r="AC108" s="12">
        <f t="shared" ca="1" si="40"/>
        <v>0</v>
      </c>
      <c r="AD108" s="140"/>
      <c r="AE108" s="140"/>
      <c r="AF108" s="140"/>
      <c r="AG108" s="140"/>
      <c r="AH108" s="113"/>
      <c r="AI108" s="136"/>
      <c r="AJ108" s="136"/>
    </row>
    <row r="109" spans="1:36" x14ac:dyDescent="0.25">
      <c r="A109" s="137"/>
      <c r="B109" s="2">
        <f t="shared" si="21"/>
        <v>0</v>
      </c>
      <c r="C109" s="126">
        <f t="shared" ca="1" si="41"/>
        <v>0</v>
      </c>
      <c r="D109" s="127"/>
      <c r="E109" s="13">
        <f t="shared" ca="1" si="22"/>
        <v>0</v>
      </c>
      <c r="F109" s="2">
        <f t="shared" si="23"/>
        <v>0</v>
      </c>
      <c r="G109" s="126">
        <f t="shared" ca="1" si="24"/>
        <v>0</v>
      </c>
      <c r="H109" s="127"/>
      <c r="I109" s="12">
        <f t="shared" ca="1" si="25"/>
        <v>0</v>
      </c>
      <c r="J109" s="2">
        <f t="shared" si="26"/>
        <v>0</v>
      </c>
      <c r="K109" s="126">
        <f t="shared" ca="1" si="27"/>
        <v>0</v>
      </c>
      <c r="L109" s="127"/>
      <c r="M109" s="12">
        <f t="shared" ca="1" si="28"/>
        <v>0</v>
      </c>
      <c r="N109" s="2">
        <f t="shared" si="29"/>
        <v>0</v>
      </c>
      <c r="O109" s="126">
        <f t="shared" ca="1" si="30"/>
        <v>0</v>
      </c>
      <c r="P109" s="127"/>
      <c r="Q109" s="12">
        <f t="shared" ca="1" si="31"/>
        <v>0</v>
      </c>
      <c r="R109" s="2">
        <f t="shared" si="32"/>
        <v>0</v>
      </c>
      <c r="S109" s="126">
        <f t="shared" ca="1" si="33"/>
        <v>0</v>
      </c>
      <c r="T109" s="127"/>
      <c r="U109" s="13">
        <f t="shared" ca="1" si="34"/>
        <v>0</v>
      </c>
      <c r="V109" s="2">
        <f t="shared" si="35"/>
        <v>0</v>
      </c>
      <c r="W109" s="126">
        <f t="shared" ca="1" si="36"/>
        <v>0</v>
      </c>
      <c r="X109" s="127"/>
      <c r="Y109" s="12">
        <f t="shared" ca="1" si="37"/>
        <v>0</v>
      </c>
      <c r="Z109" s="2">
        <f t="shared" si="38"/>
        <v>0</v>
      </c>
      <c r="AA109" s="126">
        <f t="shared" ca="1" si="39"/>
        <v>0</v>
      </c>
      <c r="AB109" s="127"/>
      <c r="AC109" s="12">
        <f t="shared" ca="1" si="40"/>
        <v>0</v>
      </c>
      <c r="AD109" s="140"/>
      <c r="AE109" s="140"/>
      <c r="AF109" s="140"/>
      <c r="AG109" s="140"/>
      <c r="AH109" s="113"/>
      <c r="AI109" s="136"/>
      <c r="AJ109" s="136"/>
    </row>
    <row r="110" spans="1:36" x14ac:dyDescent="0.25">
      <c r="A110" s="137"/>
      <c r="B110" s="2">
        <f t="shared" si="21"/>
        <v>0</v>
      </c>
      <c r="C110" s="126">
        <f t="shared" ca="1" si="41"/>
        <v>0</v>
      </c>
      <c r="D110" s="127"/>
      <c r="E110" s="13">
        <f t="shared" ca="1" si="22"/>
        <v>0</v>
      </c>
      <c r="F110" s="2">
        <f t="shared" si="23"/>
        <v>0</v>
      </c>
      <c r="G110" s="126">
        <f t="shared" ca="1" si="24"/>
        <v>0</v>
      </c>
      <c r="H110" s="127"/>
      <c r="I110" s="12">
        <f t="shared" ca="1" si="25"/>
        <v>0</v>
      </c>
      <c r="J110" s="2">
        <f t="shared" si="26"/>
        <v>0</v>
      </c>
      <c r="K110" s="126">
        <f t="shared" ca="1" si="27"/>
        <v>0</v>
      </c>
      <c r="L110" s="127"/>
      <c r="M110" s="12">
        <f t="shared" ca="1" si="28"/>
        <v>0</v>
      </c>
      <c r="N110" s="2">
        <f t="shared" si="29"/>
        <v>0</v>
      </c>
      <c r="O110" s="126">
        <f t="shared" ca="1" si="30"/>
        <v>0</v>
      </c>
      <c r="P110" s="127"/>
      <c r="Q110" s="12">
        <f t="shared" ca="1" si="31"/>
        <v>0</v>
      </c>
      <c r="R110" s="2">
        <f t="shared" si="32"/>
        <v>0</v>
      </c>
      <c r="S110" s="126">
        <f t="shared" ca="1" si="33"/>
        <v>0</v>
      </c>
      <c r="T110" s="127"/>
      <c r="U110" s="13">
        <f t="shared" ca="1" si="34"/>
        <v>0</v>
      </c>
      <c r="V110" s="2">
        <f t="shared" si="35"/>
        <v>0</v>
      </c>
      <c r="W110" s="126">
        <f t="shared" ca="1" si="36"/>
        <v>0</v>
      </c>
      <c r="X110" s="127"/>
      <c r="Y110" s="12">
        <f t="shared" ca="1" si="37"/>
        <v>0</v>
      </c>
      <c r="Z110" s="2">
        <f t="shared" si="38"/>
        <v>0</v>
      </c>
      <c r="AA110" s="126">
        <f t="shared" ca="1" si="39"/>
        <v>0</v>
      </c>
      <c r="AB110" s="127"/>
      <c r="AC110" s="12">
        <f t="shared" ca="1" si="40"/>
        <v>0</v>
      </c>
      <c r="AD110" s="140"/>
      <c r="AE110" s="140"/>
      <c r="AF110" s="140"/>
      <c r="AG110" s="140"/>
      <c r="AH110" s="113"/>
      <c r="AI110" s="136"/>
      <c r="AJ110" s="136"/>
    </row>
    <row r="111" spans="1:36" x14ac:dyDescent="0.25">
      <c r="A111" s="137"/>
      <c r="B111" s="2">
        <f t="shared" si="21"/>
        <v>0</v>
      </c>
      <c r="C111" s="126">
        <f t="shared" ca="1" si="41"/>
        <v>0</v>
      </c>
      <c r="D111" s="127"/>
      <c r="E111" s="13">
        <f t="shared" ca="1" si="22"/>
        <v>0</v>
      </c>
      <c r="F111" s="2">
        <f t="shared" si="23"/>
        <v>0</v>
      </c>
      <c r="G111" s="126">
        <f t="shared" ca="1" si="24"/>
        <v>0</v>
      </c>
      <c r="H111" s="127"/>
      <c r="I111" s="12">
        <f t="shared" ca="1" si="25"/>
        <v>0</v>
      </c>
      <c r="J111" s="2">
        <f t="shared" si="26"/>
        <v>0</v>
      </c>
      <c r="K111" s="126">
        <f t="shared" ca="1" si="27"/>
        <v>0</v>
      </c>
      <c r="L111" s="127"/>
      <c r="M111" s="12">
        <f t="shared" ca="1" si="28"/>
        <v>0</v>
      </c>
      <c r="N111" s="2">
        <f t="shared" si="29"/>
        <v>0</v>
      </c>
      <c r="O111" s="126">
        <f t="shared" ca="1" si="30"/>
        <v>0</v>
      </c>
      <c r="P111" s="127"/>
      <c r="Q111" s="12">
        <f t="shared" ca="1" si="31"/>
        <v>0</v>
      </c>
      <c r="R111" s="2">
        <f t="shared" si="32"/>
        <v>0</v>
      </c>
      <c r="S111" s="126">
        <f t="shared" ca="1" si="33"/>
        <v>0</v>
      </c>
      <c r="T111" s="127"/>
      <c r="U111" s="13">
        <f t="shared" ca="1" si="34"/>
        <v>0</v>
      </c>
      <c r="V111" s="2">
        <f t="shared" si="35"/>
        <v>0</v>
      </c>
      <c r="W111" s="126">
        <f t="shared" ca="1" si="36"/>
        <v>0</v>
      </c>
      <c r="X111" s="127"/>
      <c r="Y111" s="12">
        <f t="shared" ca="1" si="37"/>
        <v>0</v>
      </c>
      <c r="Z111" s="2">
        <f t="shared" si="38"/>
        <v>0</v>
      </c>
      <c r="AA111" s="126">
        <f t="shared" ca="1" si="39"/>
        <v>0</v>
      </c>
      <c r="AB111" s="127"/>
      <c r="AC111" s="12">
        <f t="shared" ca="1" si="40"/>
        <v>0</v>
      </c>
      <c r="AD111" s="140"/>
      <c r="AE111" s="140"/>
      <c r="AF111" s="140"/>
      <c r="AG111" s="140"/>
      <c r="AH111" s="113"/>
      <c r="AI111" s="136"/>
      <c r="AJ111" s="136"/>
    </row>
    <row r="112" spans="1:36" x14ac:dyDescent="0.25">
      <c r="A112" s="137"/>
      <c r="B112" s="2">
        <f t="shared" si="21"/>
        <v>0</v>
      </c>
      <c r="C112" s="126">
        <f t="shared" ca="1" si="41"/>
        <v>0</v>
      </c>
      <c r="D112" s="127"/>
      <c r="E112" s="13">
        <f t="shared" ca="1" si="22"/>
        <v>0</v>
      </c>
      <c r="F112" s="2">
        <f t="shared" si="23"/>
        <v>0</v>
      </c>
      <c r="G112" s="126">
        <f t="shared" ca="1" si="24"/>
        <v>0</v>
      </c>
      <c r="H112" s="127"/>
      <c r="I112" s="12">
        <f t="shared" ca="1" si="25"/>
        <v>0</v>
      </c>
      <c r="J112" s="2">
        <f t="shared" si="26"/>
        <v>0</v>
      </c>
      <c r="K112" s="126">
        <f t="shared" ca="1" si="27"/>
        <v>0</v>
      </c>
      <c r="L112" s="127"/>
      <c r="M112" s="12">
        <f t="shared" ca="1" si="28"/>
        <v>0</v>
      </c>
      <c r="N112" s="2">
        <f t="shared" si="29"/>
        <v>0</v>
      </c>
      <c r="O112" s="126">
        <f t="shared" ca="1" si="30"/>
        <v>0</v>
      </c>
      <c r="P112" s="127"/>
      <c r="Q112" s="12">
        <f t="shared" ca="1" si="31"/>
        <v>0</v>
      </c>
      <c r="R112" s="2">
        <f t="shared" si="32"/>
        <v>0</v>
      </c>
      <c r="S112" s="126">
        <f t="shared" ca="1" si="33"/>
        <v>0</v>
      </c>
      <c r="T112" s="127"/>
      <c r="U112" s="13">
        <f t="shared" ca="1" si="34"/>
        <v>0</v>
      </c>
      <c r="V112" s="2">
        <f t="shared" si="35"/>
        <v>0</v>
      </c>
      <c r="W112" s="126">
        <f t="shared" ca="1" si="36"/>
        <v>0</v>
      </c>
      <c r="X112" s="127"/>
      <c r="Y112" s="12">
        <f t="shared" ca="1" si="37"/>
        <v>0</v>
      </c>
      <c r="Z112" s="2">
        <f t="shared" si="38"/>
        <v>0</v>
      </c>
      <c r="AA112" s="126">
        <f t="shared" ca="1" si="39"/>
        <v>0</v>
      </c>
      <c r="AB112" s="127"/>
      <c r="AC112" s="12">
        <f t="shared" ca="1" si="40"/>
        <v>0</v>
      </c>
      <c r="AD112" s="140"/>
      <c r="AE112" s="140"/>
      <c r="AF112" s="140"/>
      <c r="AG112" s="140"/>
      <c r="AH112" s="113"/>
      <c r="AI112" s="136"/>
      <c r="AJ112" s="136"/>
    </row>
    <row r="113" spans="1:36" x14ac:dyDescent="0.25">
      <c r="A113" s="138"/>
      <c r="B113" s="2">
        <f t="shared" si="21"/>
        <v>0</v>
      </c>
      <c r="C113" s="126">
        <f t="shared" ca="1" si="41"/>
        <v>0</v>
      </c>
      <c r="D113" s="127"/>
      <c r="E113" s="13">
        <f t="shared" ca="1" si="22"/>
        <v>0</v>
      </c>
      <c r="F113" s="2">
        <f t="shared" si="23"/>
        <v>0</v>
      </c>
      <c r="G113" s="126">
        <f t="shared" ca="1" si="24"/>
        <v>0</v>
      </c>
      <c r="H113" s="127"/>
      <c r="I113" s="12">
        <f t="shared" ca="1" si="25"/>
        <v>0</v>
      </c>
      <c r="J113" s="2">
        <f t="shared" si="26"/>
        <v>0</v>
      </c>
      <c r="K113" s="126">
        <f t="shared" ca="1" si="27"/>
        <v>0</v>
      </c>
      <c r="L113" s="127"/>
      <c r="M113" s="12">
        <f t="shared" ca="1" si="28"/>
        <v>0</v>
      </c>
      <c r="N113" s="2">
        <f t="shared" si="29"/>
        <v>0</v>
      </c>
      <c r="O113" s="126">
        <f t="shared" ca="1" si="30"/>
        <v>0</v>
      </c>
      <c r="P113" s="127"/>
      <c r="Q113" s="12">
        <f t="shared" ca="1" si="31"/>
        <v>0</v>
      </c>
      <c r="R113" s="2">
        <f t="shared" si="32"/>
        <v>0</v>
      </c>
      <c r="S113" s="126">
        <f t="shared" ca="1" si="33"/>
        <v>0</v>
      </c>
      <c r="T113" s="127"/>
      <c r="U113" s="13">
        <f t="shared" ca="1" si="34"/>
        <v>0</v>
      </c>
      <c r="V113" s="2">
        <f t="shared" si="35"/>
        <v>0</v>
      </c>
      <c r="W113" s="126">
        <f t="shared" ca="1" si="36"/>
        <v>0</v>
      </c>
      <c r="X113" s="127"/>
      <c r="Y113" s="12">
        <f t="shared" ca="1" si="37"/>
        <v>0</v>
      </c>
      <c r="Z113" s="2">
        <f t="shared" si="38"/>
        <v>0</v>
      </c>
      <c r="AA113" s="126">
        <f t="shared" ca="1" si="39"/>
        <v>0</v>
      </c>
      <c r="AB113" s="127"/>
      <c r="AC113" s="12">
        <f t="shared" ca="1" si="40"/>
        <v>0</v>
      </c>
      <c r="AD113" s="140"/>
      <c r="AE113" s="140"/>
      <c r="AF113" s="140"/>
      <c r="AG113" s="140"/>
      <c r="AH113" s="113"/>
      <c r="AI113" s="136"/>
      <c r="AJ113" s="136"/>
    </row>
    <row r="114" spans="1:36" x14ac:dyDescent="0.25">
      <c r="A114" s="137">
        <v>45242</v>
      </c>
      <c r="B114" s="2">
        <f>B5</f>
        <v>0</v>
      </c>
      <c r="C114" s="128">
        <f ca="1">IF(TODAY()=$A$114,C5*D5*E5,C114)</f>
        <v>0</v>
      </c>
      <c r="D114" s="128"/>
      <c r="E114" s="13">
        <f ca="1">IF(TODAY()=$A$114,E5,E114)</f>
        <v>0</v>
      </c>
      <c r="F114" s="2">
        <f>F5</f>
        <v>0</v>
      </c>
      <c r="G114" s="126">
        <f ca="1">IF(TODAY()=$A$114,G5*H5*I5,G114)</f>
        <v>0</v>
      </c>
      <c r="H114" s="127"/>
      <c r="I114" s="12">
        <f ca="1">IF(TODAY()=$A$114,I5,I114)</f>
        <v>0</v>
      </c>
      <c r="J114" s="2">
        <f>J5</f>
        <v>0</v>
      </c>
      <c r="K114" s="126">
        <f ca="1">IF(TODAY()=$A$114,K5*L5*M5,K114)</f>
        <v>0</v>
      </c>
      <c r="L114" s="127"/>
      <c r="M114" s="12">
        <f ca="1">IF(TODAY()=$A$114,M5,M114)</f>
        <v>0</v>
      </c>
      <c r="N114" s="2">
        <f>N5</f>
        <v>0</v>
      </c>
      <c r="O114" s="126">
        <f ca="1">IF(TODAY()=$A$114,O5*P5*Q5,O114)</f>
        <v>0</v>
      </c>
      <c r="P114" s="127"/>
      <c r="Q114" s="12"/>
      <c r="R114" s="2">
        <f>R5</f>
        <v>0</v>
      </c>
      <c r="S114" s="126">
        <f ca="1">IF(TODAY()=$A$114,S5*T5*U5,S114)</f>
        <v>0</v>
      </c>
      <c r="T114" s="127"/>
      <c r="U114" s="13">
        <f ca="1">IF(TODAY()=$A$114,U5,U114)</f>
        <v>0</v>
      </c>
      <c r="V114" s="2">
        <f>V5</f>
        <v>0</v>
      </c>
      <c r="W114" s="126">
        <f ca="1">IF(TODAY()=$A$114,W5*X5*Y5,W114)</f>
        <v>0</v>
      </c>
      <c r="X114" s="127"/>
      <c r="Y114" s="12">
        <f ca="1">IF(TODAY()=$A$114,Y5,Y114)</f>
        <v>0</v>
      </c>
      <c r="Z114" s="2">
        <f>Z5</f>
        <v>0</v>
      </c>
      <c r="AA114" s="126">
        <f ca="1">IF(TODAY()=$A$114,AA5*AB5*AC5,AA114)</f>
        <v>0</v>
      </c>
      <c r="AB114" s="127"/>
      <c r="AC114" s="12">
        <f ca="1">IF(TODAY()=$A$114,AC5,AC114)</f>
        <v>0</v>
      </c>
      <c r="AD114" s="139">
        <f ca="1">SUM(C114:E148,G114:I148,K114:M148,O114:Q148,S114:U148,W114:Y148,AA114:AC148)</f>
        <v>0</v>
      </c>
      <c r="AE114" s="139"/>
      <c r="AF114" s="139"/>
      <c r="AG114" s="139"/>
      <c r="AH114" s="112" t="e">
        <f t="shared" ref="AH114" ca="1" si="42">(AD114-AD79)/AD79</f>
        <v>#DIV/0!</v>
      </c>
      <c r="AI114" s="135"/>
      <c r="AJ114" s="135"/>
    </row>
    <row r="115" spans="1:36" x14ac:dyDescent="0.25">
      <c r="A115" s="137"/>
      <c r="B115" s="2">
        <f t="shared" ref="B115:B148" si="43">B6</f>
        <v>0</v>
      </c>
      <c r="C115" s="126">
        <f t="shared" ref="C115:C148" ca="1" si="44">IF(TODAY()=$A$114,C6*D6*E6,C115)</f>
        <v>0</v>
      </c>
      <c r="D115" s="127"/>
      <c r="E115" s="13">
        <f t="shared" ref="E115:E148" ca="1" si="45">IF(TODAY()=$A$114,E6,E115)</f>
        <v>0</v>
      </c>
      <c r="F115" s="2">
        <f t="shared" ref="F115:F148" si="46">F6</f>
        <v>0</v>
      </c>
      <c r="G115" s="126">
        <f t="shared" ref="G115:G148" ca="1" si="47">IF(TODAY()=$A$114,G6*H6*I6,G115)</f>
        <v>0</v>
      </c>
      <c r="H115" s="127"/>
      <c r="I115" s="12">
        <f t="shared" ref="I115:I148" ca="1" si="48">IF(TODAY()=$A$114,I6,I115)</f>
        <v>0</v>
      </c>
      <c r="J115" s="2">
        <f t="shared" ref="J115:J148" si="49">J6</f>
        <v>0</v>
      </c>
      <c r="K115" s="126">
        <f t="shared" ref="K115:K148" ca="1" si="50">IF(TODAY()=$A$114,K6*L6*M6,K115)</f>
        <v>0</v>
      </c>
      <c r="L115" s="127"/>
      <c r="M115" s="12">
        <f t="shared" ref="M115:M148" ca="1" si="51">IF(TODAY()=$A$114,M6,M115)</f>
        <v>0</v>
      </c>
      <c r="N115" s="2">
        <f t="shared" ref="N115:N148" si="52">N6</f>
        <v>0</v>
      </c>
      <c r="O115" s="126">
        <f t="shared" ref="O115:O148" ca="1" si="53">IF(TODAY()=$A$114,O6*P6*Q6,O115)</f>
        <v>0</v>
      </c>
      <c r="P115" s="127"/>
      <c r="Q115" s="12"/>
      <c r="R115" s="2">
        <f t="shared" ref="R115:R148" si="54">R6</f>
        <v>0</v>
      </c>
      <c r="S115" s="126">
        <f t="shared" ref="S115:S148" ca="1" si="55">IF(TODAY()=$A$114,S6*T6*U6,S115)</f>
        <v>0</v>
      </c>
      <c r="T115" s="127"/>
      <c r="U115" s="13">
        <f t="shared" ref="U115:U148" ca="1" si="56">IF(TODAY()=$A$114,U6,U115)</f>
        <v>0</v>
      </c>
      <c r="V115" s="2">
        <f t="shared" ref="V115:V148" si="57">V6</f>
        <v>0</v>
      </c>
      <c r="W115" s="126">
        <f t="shared" ref="W115:W148" ca="1" si="58">IF(TODAY()=$A$114,W6*X6*Y6,W115)</f>
        <v>0</v>
      </c>
      <c r="X115" s="127"/>
      <c r="Y115" s="12">
        <f t="shared" ref="Y115:Y148" ca="1" si="59">IF(TODAY()=$A$114,Y6,Y115)</f>
        <v>0</v>
      </c>
      <c r="Z115" s="2">
        <f t="shared" ref="Z115:Z148" si="60">Z6</f>
        <v>0</v>
      </c>
      <c r="AA115" s="126">
        <f t="shared" ref="AA115:AA148" ca="1" si="61">IF(TODAY()=$A$114,AA6*AB6*AC6,AA115)</f>
        <v>0</v>
      </c>
      <c r="AB115" s="127"/>
      <c r="AC115" s="12">
        <f t="shared" ref="AC115:AC148" ca="1" si="62">IF(TODAY()=$A$114,AC6,AC115)</f>
        <v>0</v>
      </c>
      <c r="AD115" s="140"/>
      <c r="AE115" s="140"/>
      <c r="AF115" s="140"/>
      <c r="AG115" s="140"/>
      <c r="AH115" s="113"/>
      <c r="AI115" s="136"/>
      <c r="AJ115" s="136"/>
    </row>
    <row r="116" spans="1:36" x14ac:dyDescent="0.25">
      <c r="A116" s="137"/>
      <c r="B116" s="2">
        <f t="shared" si="43"/>
        <v>0</v>
      </c>
      <c r="C116" s="126">
        <f t="shared" ca="1" si="44"/>
        <v>0</v>
      </c>
      <c r="D116" s="127"/>
      <c r="E116" s="13">
        <f t="shared" ca="1" si="45"/>
        <v>0</v>
      </c>
      <c r="F116" s="2">
        <f t="shared" si="46"/>
        <v>0</v>
      </c>
      <c r="G116" s="126">
        <f t="shared" ca="1" si="47"/>
        <v>0</v>
      </c>
      <c r="H116" s="127"/>
      <c r="I116" s="12">
        <f t="shared" ca="1" si="48"/>
        <v>0</v>
      </c>
      <c r="J116" s="2">
        <f t="shared" si="49"/>
        <v>0</v>
      </c>
      <c r="K116" s="126">
        <f t="shared" ca="1" si="50"/>
        <v>0</v>
      </c>
      <c r="L116" s="127"/>
      <c r="M116" s="12">
        <f t="shared" ca="1" si="51"/>
        <v>0</v>
      </c>
      <c r="N116" s="2">
        <f t="shared" si="52"/>
        <v>0</v>
      </c>
      <c r="O116" s="126">
        <f t="shared" ca="1" si="53"/>
        <v>0</v>
      </c>
      <c r="P116" s="127"/>
      <c r="Q116" s="12"/>
      <c r="R116" s="2">
        <f t="shared" si="54"/>
        <v>0</v>
      </c>
      <c r="S116" s="126">
        <f t="shared" ca="1" si="55"/>
        <v>0</v>
      </c>
      <c r="T116" s="127"/>
      <c r="U116" s="13">
        <f t="shared" ca="1" si="56"/>
        <v>0</v>
      </c>
      <c r="V116" s="2">
        <f t="shared" si="57"/>
        <v>0</v>
      </c>
      <c r="W116" s="126">
        <f t="shared" ca="1" si="58"/>
        <v>0</v>
      </c>
      <c r="X116" s="127"/>
      <c r="Y116" s="12">
        <f t="shared" ca="1" si="59"/>
        <v>0</v>
      </c>
      <c r="Z116" s="2">
        <f t="shared" si="60"/>
        <v>0</v>
      </c>
      <c r="AA116" s="126">
        <f t="shared" ca="1" si="61"/>
        <v>0</v>
      </c>
      <c r="AB116" s="127"/>
      <c r="AC116" s="12">
        <f t="shared" ca="1" si="62"/>
        <v>0</v>
      </c>
      <c r="AD116" s="140"/>
      <c r="AE116" s="140"/>
      <c r="AF116" s="140"/>
      <c r="AG116" s="140"/>
      <c r="AH116" s="113"/>
      <c r="AI116" s="136"/>
      <c r="AJ116" s="136"/>
    </row>
    <row r="117" spans="1:36" x14ac:dyDescent="0.25">
      <c r="A117" s="137"/>
      <c r="B117" s="2">
        <f t="shared" si="43"/>
        <v>0</v>
      </c>
      <c r="C117" s="126">
        <f t="shared" ca="1" si="44"/>
        <v>0</v>
      </c>
      <c r="D117" s="127"/>
      <c r="E117" s="13">
        <f t="shared" ca="1" si="45"/>
        <v>0</v>
      </c>
      <c r="F117" s="2">
        <f t="shared" si="46"/>
        <v>0</v>
      </c>
      <c r="G117" s="126">
        <f t="shared" ca="1" si="47"/>
        <v>0</v>
      </c>
      <c r="H117" s="127"/>
      <c r="I117" s="12">
        <f t="shared" ca="1" si="48"/>
        <v>0</v>
      </c>
      <c r="J117" s="2">
        <f t="shared" si="49"/>
        <v>0</v>
      </c>
      <c r="K117" s="126">
        <f t="shared" ca="1" si="50"/>
        <v>0</v>
      </c>
      <c r="L117" s="127"/>
      <c r="M117" s="12">
        <f t="shared" ca="1" si="51"/>
        <v>0</v>
      </c>
      <c r="N117" s="2">
        <f t="shared" si="52"/>
        <v>0</v>
      </c>
      <c r="O117" s="126">
        <f t="shared" ca="1" si="53"/>
        <v>0</v>
      </c>
      <c r="P117" s="127"/>
      <c r="Q117" s="12"/>
      <c r="R117" s="2">
        <f t="shared" si="54"/>
        <v>0</v>
      </c>
      <c r="S117" s="126">
        <f t="shared" ca="1" si="55"/>
        <v>0</v>
      </c>
      <c r="T117" s="127"/>
      <c r="U117" s="13">
        <f t="shared" ca="1" si="56"/>
        <v>0</v>
      </c>
      <c r="V117" s="2">
        <f t="shared" si="57"/>
        <v>0</v>
      </c>
      <c r="W117" s="126">
        <f t="shared" ca="1" si="58"/>
        <v>0</v>
      </c>
      <c r="X117" s="127"/>
      <c r="Y117" s="12">
        <f t="shared" ca="1" si="59"/>
        <v>0</v>
      </c>
      <c r="Z117" s="2">
        <f t="shared" si="60"/>
        <v>0</v>
      </c>
      <c r="AA117" s="126">
        <f t="shared" ca="1" si="61"/>
        <v>0</v>
      </c>
      <c r="AB117" s="127"/>
      <c r="AC117" s="12">
        <f t="shared" ca="1" si="62"/>
        <v>0</v>
      </c>
      <c r="AD117" s="140"/>
      <c r="AE117" s="140"/>
      <c r="AF117" s="140"/>
      <c r="AG117" s="140"/>
      <c r="AH117" s="113"/>
      <c r="AI117" s="136"/>
      <c r="AJ117" s="136"/>
    </row>
    <row r="118" spans="1:36" x14ac:dyDescent="0.25">
      <c r="A118" s="137"/>
      <c r="B118" s="2">
        <f t="shared" si="43"/>
        <v>0</v>
      </c>
      <c r="C118" s="126">
        <f t="shared" ca="1" si="44"/>
        <v>0</v>
      </c>
      <c r="D118" s="127"/>
      <c r="E118" s="13">
        <f t="shared" ca="1" si="45"/>
        <v>0</v>
      </c>
      <c r="F118" s="2">
        <f t="shared" si="46"/>
        <v>0</v>
      </c>
      <c r="G118" s="126">
        <f t="shared" ca="1" si="47"/>
        <v>0</v>
      </c>
      <c r="H118" s="127"/>
      <c r="I118" s="12">
        <f t="shared" ca="1" si="48"/>
        <v>0</v>
      </c>
      <c r="J118" s="2">
        <f t="shared" si="49"/>
        <v>0</v>
      </c>
      <c r="K118" s="126">
        <f t="shared" ca="1" si="50"/>
        <v>0</v>
      </c>
      <c r="L118" s="127"/>
      <c r="M118" s="12">
        <f t="shared" ca="1" si="51"/>
        <v>0</v>
      </c>
      <c r="N118" s="2">
        <f t="shared" si="52"/>
        <v>0</v>
      </c>
      <c r="O118" s="126">
        <f t="shared" ca="1" si="53"/>
        <v>0</v>
      </c>
      <c r="P118" s="127"/>
      <c r="Q118" s="12"/>
      <c r="R118" s="2">
        <f t="shared" si="54"/>
        <v>0</v>
      </c>
      <c r="S118" s="126">
        <f t="shared" ca="1" si="55"/>
        <v>0</v>
      </c>
      <c r="T118" s="127"/>
      <c r="U118" s="13">
        <f t="shared" ca="1" si="56"/>
        <v>0</v>
      </c>
      <c r="V118" s="2">
        <f t="shared" si="57"/>
        <v>0</v>
      </c>
      <c r="W118" s="126">
        <f t="shared" ca="1" si="58"/>
        <v>0</v>
      </c>
      <c r="X118" s="127"/>
      <c r="Y118" s="12">
        <f t="shared" ca="1" si="59"/>
        <v>0</v>
      </c>
      <c r="Z118" s="2">
        <f t="shared" si="60"/>
        <v>0</v>
      </c>
      <c r="AA118" s="126">
        <f t="shared" ca="1" si="61"/>
        <v>0</v>
      </c>
      <c r="AB118" s="127"/>
      <c r="AC118" s="12">
        <f t="shared" ca="1" si="62"/>
        <v>0</v>
      </c>
      <c r="AD118" s="140"/>
      <c r="AE118" s="140"/>
      <c r="AF118" s="140"/>
      <c r="AG118" s="140"/>
      <c r="AH118" s="113"/>
      <c r="AI118" s="136"/>
      <c r="AJ118" s="136"/>
    </row>
    <row r="119" spans="1:36" x14ac:dyDescent="0.25">
      <c r="A119" s="137"/>
      <c r="B119" s="2">
        <f t="shared" si="43"/>
        <v>0</v>
      </c>
      <c r="C119" s="126">
        <f t="shared" ca="1" si="44"/>
        <v>0</v>
      </c>
      <c r="D119" s="127"/>
      <c r="E119" s="13">
        <f t="shared" ca="1" si="45"/>
        <v>0</v>
      </c>
      <c r="F119" s="2">
        <f t="shared" si="46"/>
        <v>0</v>
      </c>
      <c r="G119" s="126">
        <f t="shared" ca="1" si="47"/>
        <v>0</v>
      </c>
      <c r="H119" s="127"/>
      <c r="I119" s="12">
        <f t="shared" ca="1" si="48"/>
        <v>0</v>
      </c>
      <c r="J119" s="2">
        <f t="shared" si="49"/>
        <v>0</v>
      </c>
      <c r="K119" s="126">
        <f t="shared" ca="1" si="50"/>
        <v>0</v>
      </c>
      <c r="L119" s="127"/>
      <c r="M119" s="12">
        <f t="shared" ca="1" si="51"/>
        <v>0</v>
      </c>
      <c r="N119" s="2">
        <f t="shared" si="52"/>
        <v>0</v>
      </c>
      <c r="O119" s="126">
        <f t="shared" ca="1" si="53"/>
        <v>0</v>
      </c>
      <c r="P119" s="127"/>
      <c r="Q119" s="12"/>
      <c r="R119" s="2">
        <f t="shared" si="54"/>
        <v>0</v>
      </c>
      <c r="S119" s="126">
        <f t="shared" ca="1" si="55"/>
        <v>0</v>
      </c>
      <c r="T119" s="127"/>
      <c r="U119" s="13">
        <f t="shared" ca="1" si="56"/>
        <v>0</v>
      </c>
      <c r="V119" s="2">
        <f t="shared" si="57"/>
        <v>0</v>
      </c>
      <c r="W119" s="126">
        <f t="shared" ca="1" si="58"/>
        <v>0</v>
      </c>
      <c r="X119" s="127"/>
      <c r="Y119" s="12">
        <f t="shared" ca="1" si="59"/>
        <v>0</v>
      </c>
      <c r="Z119" s="2">
        <f t="shared" si="60"/>
        <v>0</v>
      </c>
      <c r="AA119" s="126">
        <f t="shared" ca="1" si="61"/>
        <v>0</v>
      </c>
      <c r="AB119" s="127"/>
      <c r="AC119" s="12">
        <f t="shared" ca="1" si="62"/>
        <v>0</v>
      </c>
      <c r="AD119" s="140"/>
      <c r="AE119" s="140"/>
      <c r="AF119" s="140"/>
      <c r="AG119" s="140"/>
      <c r="AH119" s="113"/>
      <c r="AI119" s="136"/>
      <c r="AJ119" s="136"/>
    </row>
    <row r="120" spans="1:36" x14ac:dyDescent="0.25">
      <c r="A120" s="137"/>
      <c r="B120" s="2">
        <f t="shared" si="43"/>
        <v>0</v>
      </c>
      <c r="C120" s="126">
        <f t="shared" ca="1" si="44"/>
        <v>0</v>
      </c>
      <c r="D120" s="127"/>
      <c r="E120" s="13">
        <f t="shared" ca="1" si="45"/>
        <v>0</v>
      </c>
      <c r="F120" s="2">
        <f t="shared" si="46"/>
        <v>0</v>
      </c>
      <c r="G120" s="126">
        <f t="shared" ca="1" si="47"/>
        <v>0</v>
      </c>
      <c r="H120" s="127"/>
      <c r="I120" s="12">
        <f t="shared" ca="1" si="48"/>
        <v>0</v>
      </c>
      <c r="J120" s="2">
        <f t="shared" si="49"/>
        <v>0</v>
      </c>
      <c r="K120" s="126">
        <f t="shared" ca="1" si="50"/>
        <v>0</v>
      </c>
      <c r="L120" s="127"/>
      <c r="M120" s="12">
        <f t="shared" ca="1" si="51"/>
        <v>0</v>
      </c>
      <c r="N120" s="2">
        <f t="shared" si="52"/>
        <v>0</v>
      </c>
      <c r="O120" s="126">
        <f t="shared" ca="1" si="53"/>
        <v>0</v>
      </c>
      <c r="P120" s="127"/>
      <c r="Q120" s="12"/>
      <c r="R120" s="2">
        <f t="shared" si="54"/>
        <v>0</v>
      </c>
      <c r="S120" s="126">
        <f t="shared" ca="1" si="55"/>
        <v>0</v>
      </c>
      <c r="T120" s="127"/>
      <c r="U120" s="13">
        <f t="shared" ca="1" si="56"/>
        <v>0</v>
      </c>
      <c r="V120" s="2">
        <f t="shared" si="57"/>
        <v>0</v>
      </c>
      <c r="W120" s="126">
        <f t="shared" ca="1" si="58"/>
        <v>0</v>
      </c>
      <c r="X120" s="127"/>
      <c r="Y120" s="12">
        <f t="shared" ca="1" si="59"/>
        <v>0</v>
      </c>
      <c r="Z120" s="2">
        <f t="shared" si="60"/>
        <v>0</v>
      </c>
      <c r="AA120" s="126">
        <f t="shared" ca="1" si="61"/>
        <v>0</v>
      </c>
      <c r="AB120" s="127"/>
      <c r="AC120" s="12">
        <f t="shared" ca="1" si="62"/>
        <v>0</v>
      </c>
      <c r="AD120" s="140"/>
      <c r="AE120" s="140"/>
      <c r="AF120" s="140"/>
      <c r="AG120" s="140"/>
      <c r="AH120" s="113"/>
      <c r="AI120" s="136"/>
      <c r="AJ120" s="136"/>
    </row>
    <row r="121" spans="1:36" x14ac:dyDescent="0.25">
      <c r="A121" s="137"/>
      <c r="B121" s="2">
        <f t="shared" si="43"/>
        <v>0</v>
      </c>
      <c r="C121" s="126">
        <f t="shared" ca="1" si="44"/>
        <v>0</v>
      </c>
      <c r="D121" s="127"/>
      <c r="E121" s="13">
        <f t="shared" ca="1" si="45"/>
        <v>0</v>
      </c>
      <c r="F121" s="2">
        <f t="shared" si="46"/>
        <v>0</v>
      </c>
      <c r="G121" s="126">
        <f t="shared" ca="1" si="47"/>
        <v>0</v>
      </c>
      <c r="H121" s="127"/>
      <c r="I121" s="12">
        <f t="shared" ca="1" si="48"/>
        <v>0</v>
      </c>
      <c r="J121" s="2">
        <f t="shared" si="49"/>
        <v>0</v>
      </c>
      <c r="K121" s="126">
        <f t="shared" ca="1" si="50"/>
        <v>0</v>
      </c>
      <c r="L121" s="127"/>
      <c r="M121" s="12">
        <f t="shared" ca="1" si="51"/>
        <v>0</v>
      </c>
      <c r="N121" s="2">
        <f t="shared" si="52"/>
        <v>0</v>
      </c>
      <c r="O121" s="126">
        <f t="shared" ca="1" si="53"/>
        <v>0</v>
      </c>
      <c r="P121" s="127"/>
      <c r="Q121" s="12"/>
      <c r="R121" s="2">
        <f t="shared" si="54"/>
        <v>0</v>
      </c>
      <c r="S121" s="126">
        <f t="shared" ca="1" si="55"/>
        <v>0</v>
      </c>
      <c r="T121" s="127"/>
      <c r="U121" s="13">
        <f t="shared" ca="1" si="56"/>
        <v>0</v>
      </c>
      <c r="V121" s="2">
        <f t="shared" si="57"/>
        <v>0</v>
      </c>
      <c r="W121" s="126">
        <f t="shared" ca="1" si="58"/>
        <v>0</v>
      </c>
      <c r="X121" s="127"/>
      <c r="Y121" s="12">
        <f t="shared" ca="1" si="59"/>
        <v>0</v>
      </c>
      <c r="Z121" s="2">
        <f t="shared" si="60"/>
        <v>0</v>
      </c>
      <c r="AA121" s="126">
        <f t="shared" ca="1" si="61"/>
        <v>0</v>
      </c>
      <c r="AB121" s="127"/>
      <c r="AC121" s="12">
        <f t="shared" ca="1" si="62"/>
        <v>0</v>
      </c>
      <c r="AD121" s="140"/>
      <c r="AE121" s="140"/>
      <c r="AF121" s="140"/>
      <c r="AG121" s="140"/>
      <c r="AH121" s="113"/>
      <c r="AI121" s="136"/>
      <c r="AJ121" s="136"/>
    </row>
    <row r="122" spans="1:36" x14ac:dyDescent="0.25">
      <c r="A122" s="137"/>
      <c r="B122" s="2">
        <f t="shared" si="43"/>
        <v>0</v>
      </c>
      <c r="C122" s="126">
        <f t="shared" ca="1" si="44"/>
        <v>0</v>
      </c>
      <c r="D122" s="127"/>
      <c r="E122" s="13">
        <f t="shared" ca="1" si="45"/>
        <v>0</v>
      </c>
      <c r="F122" s="2">
        <f t="shared" si="46"/>
        <v>0</v>
      </c>
      <c r="G122" s="126">
        <f t="shared" ca="1" si="47"/>
        <v>0</v>
      </c>
      <c r="H122" s="127"/>
      <c r="I122" s="12">
        <f t="shared" ca="1" si="48"/>
        <v>0</v>
      </c>
      <c r="J122" s="2">
        <f t="shared" si="49"/>
        <v>0</v>
      </c>
      <c r="K122" s="126">
        <f t="shared" ca="1" si="50"/>
        <v>0</v>
      </c>
      <c r="L122" s="127"/>
      <c r="M122" s="12">
        <f t="shared" ca="1" si="51"/>
        <v>0</v>
      </c>
      <c r="N122" s="2">
        <f t="shared" si="52"/>
        <v>0</v>
      </c>
      <c r="O122" s="126">
        <f t="shared" ca="1" si="53"/>
        <v>0</v>
      </c>
      <c r="P122" s="127"/>
      <c r="Q122" s="12"/>
      <c r="R122" s="2">
        <f t="shared" si="54"/>
        <v>0</v>
      </c>
      <c r="S122" s="126">
        <f t="shared" ca="1" si="55"/>
        <v>0</v>
      </c>
      <c r="T122" s="127"/>
      <c r="U122" s="13">
        <f t="shared" ca="1" si="56"/>
        <v>0</v>
      </c>
      <c r="V122" s="2">
        <f t="shared" si="57"/>
        <v>0</v>
      </c>
      <c r="W122" s="126">
        <f t="shared" ca="1" si="58"/>
        <v>0</v>
      </c>
      <c r="X122" s="127"/>
      <c r="Y122" s="12">
        <f t="shared" ca="1" si="59"/>
        <v>0</v>
      </c>
      <c r="Z122" s="2">
        <f t="shared" si="60"/>
        <v>0</v>
      </c>
      <c r="AA122" s="126">
        <f t="shared" ca="1" si="61"/>
        <v>0</v>
      </c>
      <c r="AB122" s="127"/>
      <c r="AC122" s="12">
        <f t="shared" ca="1" si="62"/>
        <v>0</v>
      </c>
      <c r="AD122" s="140"/>
      <c r="AE122" s="140"/>
      <c r="AF122" s="140"/>
      <c r="AG122" s="140"/>
      <c r="AH122" s="113"/>
      <c r="AI122" s="136"/>
      <c r="AJ122" s="136"/>
    </row>
    <row r="123" spans="1:36" x14ac:dyDescent="0.25">
      <c r="A123" s="137"/>
      <c r="B123" s="2">
        <f t="shared" si="43"/>
        <v>0</v>
      </c>
      <c r="C123" s="126">
        <f t="shared" ca="1" si="44"/>
        <v>0</v>
      </c>
      <c r="D123" s="127"/>
      <c r="E123" s="13">
        <f t="shared" ca="1" si="45"/>
        <v>0</v>
      </c>
      <c r="F123" s="2">
        <f t="shared" si="46"/>
        <v>0</v>
      </c>
      <c r="G123" s="126">
        <f t="shared" ca="1" si="47"/>
        <v>0</v>
      </c>
      <c r="H123" s="127"/>
      <c r="I123" s="12">
        <f t="shared" ca="1" si="48"/>
        <v>0</v>
      </c>
      <c r="J123" s="2">
        <f t="shared" si="49"/>
        <v>0</v>
      </c>
      <c r="K123" s="126">
        <f t="shared" ca="1" si="50"/>
        <v>0</v>
      </c>
      <c r="L123" s="127"/>
      <c r="M123" s="12">
        <f t="shared" ca="1" si="51"/>
        <v>0</v>
      </c>
      <c r="N123" s="2">
        <f t="shared" si="52"/>
        <v>0</v>
      </c>
      <c r="O123" s="126">
        <f t="shared" ca="1" si="53"/>
        <v>0</v>
      </c>
      <c r="P123" s="127"/>
      <c r="Q123" s="12"/>
      <c r="R123" s="2">
        <f t="shared" si="54"/>
        <v>0</v>
      </c>
      <c r="S123" s="126">
        <f t="shared" ca="1" si="55"/>
        <v>0</v>
      </c>
      <c r="T123" s="127"/>
      <c r="U123" s="13">
        <f t="shared" ca="1" si="56"/>
        <v>0</v>
      </c>
      <c r="V123" s="2">
        <f t="shared" si="57"/>
        <v>0</v>
      </c>
      <c r="W123" s="126">
        <f t="shared" ca="1" si="58"/>
        <v>0</v>
      </c>
      <c r="X123" s="127"/>
      <c r="Y123" s="12">
        <f t="shared" ca="1" si="59"/>
        <v>0</v>
      </c>
      <c r="Z123" s="2">
        <f t="shared" si="60"/>
        <v>0</v>
      </c>
      <c r="AA123" s="126">
        <f t="shared" ca="1" si="61"/>
        <v>0</v>
      </c>
      <c r="AB123" s="127"/>
      <c r="AC123" s="12">
        <f t="shared" ca="1" si="62"/>
        <v>0</v>
      </c>
      <c r="AD123" s="140"/>
      <c r="AE123" s="140"/>
      <c r="AF123" s="140"/>
      <c r="AG123" s="140"/>
      <c r="AH123" s="113"/>
      <c r="AI123" s="136"/>
      <c r="AJ123" s="136"/>
    </row>
    <row r="124" spans="1:36" x14ac:dyDescent="0.25">
      <c r="A124" s="137"/>
      <c r="B124" s="2">
        <f t="shared" si="43"/>
        <v>0</v>
      </c>
      <c r="C124" s="126">
        <f t="shared" ca="1" si="44"/>
        <v>0</v>
      </c>
      <c r="D124" s="127"/>
      <c r="E124" s="13">
        <f t="shared" ca="1" si="45"/>
        <v>0</v>
      </c>
      <c r="F124" s="2">
        <f t="shared" si="46"/>
        <v>0</v>
      </c>
      <c r="G124" s="126">
        <f t="shared" ca="1" si="47"/>
        <v>0</v>
      </c>
      <c r="H124" s="127"/>
      <c r="I124" s="12">
        <f t="shared" ca="1" si="48"/>
        <v>0</v>
      </c>
      <c r="J124" s="2">
        <f t="shared" si="49"/>
        <v>0</v>
      </c>
      <c r="K124" s="126">
        <f t="shared" ca="1" si="50"/>
        <v>0</v>
      </c>
      <c r="L124" s="127"/>
      <c r="M124" s="12">
        <f t="shared" ca="1" si="51"/>
        <v>0</v>
      </c>
      <c r="N124" s="2">
        <f t="shared" si="52"/>
        <v>0</v>
      </c>
      <c r="O124" s="126">
        <f t="shared" ca="1" si="53"/>
        <v>0</v>
      </c>
      <c r="P124" s="127"/>
      <c r="Q124" s="12"/>
      <c r="R124" s="2">
        <f t="shared" si="54"/>
        <v>0</v>
      </c>
      <c r="S124" s="126">
        <f t="shared" ca="1" si="55"/>
        <v>0</v>
      </c>
      <c r="T124" s="127"/>
      <c r="U124" s="13">
        <f t="shared" ca="1" si="56"/>
        <v>0</v>
      </c>
      <c r="V124" s="2">
        <f t="shared" si="57"/>
        <v>0</v>
      </c>
      <c r="W124" s="126">
        <f t="shared" ca="1" si="58"/>
        <v>0</v>
      </c>
      <c r="X124" s="127"/>
      <c r="Y124" s="12">
        <f t="shared" ca="1" si="59"/>
        <v>0</v>
      </c>
      <c r="Z124" s="2">
        <f t="shared" si="60"/>
        <v>0</v>
      </c>
      <c r="AA124" s="126">
        <f t="shared" ca="1" si="61"/>
        <v>0</v>
      </c>
      <c r="AB124" s="127"/>
      <c r="AC124" s="12">
        <f t="shared" ca="1" si="62"/>
        <v>0</v>
      </c>
      <c r="AD124" s="140"/>
      <c r="AE124" s="140"/>
      <c r="AF124" s="140"/>
      <c r="AG124" s="140"/>
      <c r="AH124" s="113"/>
      <c r="AI124" s="136"/>
      <c r="AJ124" s="136"/>
    </row>
    <row r="125" spans="1:36" x14ac:dyDescent="0.25">
      <c r="A125" s="137"/>
      <c r="B125" s="2">
        <f t="shared" si="43"/>
        <v>0</v>
      </c>
      <c r="C125" s="126">
        <f t="shared" ca="1" si="44"/>
        <v>0</v>
      </c>
      <c r="D125" s="127"/>
      <c r="E125" s="13">
        <f t="shared" ca="1" si="45"/>
        <v>0</v>
      </c>
      <c r="F125" s="2">
        <f t="shared" si="46"/>
        <v>0</v>
      </c>
      <c r="G125" s="126">
        <f t="shared" ca="1" si="47"/>
        <v>0</v>
      </c>
      <c r="H125" s="127"/>
      <c r="I125" s="12">
        <f t="shared" ca="1" si="48"/>
        <v>0</v>
      </c>
      <c r="J125" s="2">
        <f t="shared" si="49"/>
        <v>0</v>
      </c>
      <c r="K125" s="126">
        <f t="shared" ca="1" si="50"/>
        <v>0</v>
      </c>
      <c r="L125" s="127"/>
      <c r="M125" s="12">
        <f t="shared" ca="1" si="51"/>
        <v>0</v>
      </c>
      <c r="N125" s="2">
        <f t="shared" si="52"/>
        <v>0</v>
      </c>
      <c r="O125" s="126">
        <f t="shared" ca="1" si="53"/>
        <v>0</v>
      </c>
      <c r="P125" s="127"/>
      <c r="Q125" s="12"/>
      <c r="R125" s="2">
        <f t="shared" si="54"/>
        <v>0</v>
      </c>
      <c r="S125" s="126">
        <f t="shared" ca="1" si="55"/>
        <v>0</v>
      </c>
      <c r="T125" s="127"/>
      <c r="U125" s="13">
        <f t="shared" ca="1" si="56"/>
        <v>0</v>
      </c>
      <c r="V125" s="2">
        <f t="shared" si="57"/>
        <v>0</v>
      </c>
      <c r="W125" s="126">
        <f t="shared" ca="1" si="58"/>
        <v>0</v>
      </c>
      <c r="X125" s="127"/>
      <c r="Y125" s="12">
        <f t="shared" ca="1" si="59"/>
        <v>0</v>
      </c>
      <c r="Z125" s="2">
        <f t="shared" si="60"/>
        <v>0</v>
      </c>
      <c r="AA125" s="126">
        <f t="shared" ca="1" si="61"/>
        <v>0</v>
      </c>
      <c r="AB125" s="127"/>
      <c r="AC125" s="12">
        <f t="shared" ca="1" si="62"/>
        <v>0</v>
      </c>
      <c r="AD125" s="140"/>
      <c r="AE125" s="140"/>
      <c r="AF125" s="140"/>
      <c r="AG125" s="140"/>
      <c r="AH125" s="113"/>
      <c r="AI125" s="136"/>
      <c r="AJ125" s="136"/>
    </row>
    <row r="126" spans="1:36" x14ac:dyDescent="0.25">
      <c r="A126" s="137"/>
      <c r="B126" s="2">
        <f t="shared" si="43"/>
        <v>0</v>
      </c>
      <c r="C126" s="126">
        <f t="shared" ca="1" si="44"/>
        <v>0</v>
      </c>
      <c r="D126" s="127"/>
      <c r="E126" s="13">
        <f t="shared" ca="1" si="45"/>
        <v>0</v>
      </c>
      <c r="F126" s="2">
        <f t="shared" si="46"/>
        <v>0</v>
      </c>
      <c r="G126" s="126">
        <f t="shared" ca="1" si="47"/>
        <v>0</v>
      </c>
      <c r="H126" s="127"/>
      <c r="I126" s="12">
        <f t="shared" ca="1" si="48"/>
        <v>0</v>
      </c>
      <c r="J126" s="2">
        <f t="shared" si="49"/>
        <v>0</v>
      </c>
      <c r="K126" s="126">
        <f t="shared" ca="1" si="50"/>
        <v>0</v>
      </c>
      <c r="L126" s="127"/>
      <c r="M126" s="12">
        <f t="shared" ca="1" si="51"/>
        <v>0</v>
      </c>
      <c r="N126" s="2">
        <f t="shared" si="52"/>
        <v>0</v>
      </c>
      <c r="O126" s="126">
        <f t="shared" ca="1" si="53"/>
        <v>0</v>
      </c>
      <c r="P126" s="127"/>
      <c r="Q126" s="12"/>
      <c r="R126" s="2">
        <f t="shared" si="54"/>
        <v>0</v>
      </c>
      <c r="S126" s="126">
        <f t="shared" ca="1" si="55"/>
        <v>0</v>
      </c>
      <c r="T126" s="127"/>
      <c r="U126" s="13">
        <f t="shared" ca="1" si="56"/>
        <v>0</v>
      </c>
      <c r="V126" s="2">
        <f t="shared" si="57"/>
        <v>0</v>
      </c>
      <c r="W126" s="126">
        <f t="shared" ca="1" si="58"/>
        <v>0</v>
      </c>
      <c r="X126" s="127"/>
      <c r="Y126" s="12">
        <f t="shared" ca="1" si="59"/>
        <v>0</v>
      </c>
      <c r="Z126" s="2">
        <f t="shared" si="60"/>
        <v>0</v>
      </c>
      <c r="AA126" s="126">
        <f t="shared" ca="1" si="61"/>
        <v>0</v>
      </c>
      <c r="AB126" s="127"/>
      <c r="AC126" s="12">
        <f t="shared" ca="1" si="62"/>
        <v>0</v>
      </c>
      <c r="AD126" s="140"/>
      <c r="AE126" s="140"/>
      <c r="AF126" s="140"/>
      <c r="AG126" s="140"/>
      <c r="AH126" s="113"/>
      <c r="AI126" s="136"/>
      <c r="AJ126" s="136"/>
    </row>
    <row r="127" spans="1:36" x14ac:dyDescent="0.25">
      <c r="A127" s="137"/>
      <c r="B127" s="2">
        <f t="shared" si="43"/>
        <v>0</v>
      </c>
      <c r="C127" s="126">
        <f t="shared" ca="1" si="44"/>
        <v>0</v>
      </c>
      <c r="D127" s="127"/>
      <c r="E127" s="13">
        <f t="shared" ca="1" si="45"/>
        <v>0</v>
      </c>
      <c r="F127" s="2">
        <f t="shared" si="46"/>
        <v>0</v>
      </c>
      <c r="G127" s="126">
        <f t="shared" ca="1" si="47"/>
        <v>0</v>
      </c>
      <c r="H127" s="127"/>
      <c r="I127" s="12">
        <f t="shared" ca="1" si="48"/>
        <v>0</v>
      </c>
      <c r="J127" s="2">
        <f t="shared" si="49"/>
        <v>0</v>
      </c>
      <c r="K127" s="126">
        <f t="shared" ca="1" si="50"/>
        <v>0</v>
      </c>
      <c r="L127" s="127"/>
      <c r="M127" s="12">
        <f t="shared" ca="1" si="51"/>
        <v>0</v>
      </c>
      <c r="N127" s="2">
        <f t="shared" si="52"/>
        <v>0</v>
      </c>
      <c r="O127" s="126">
        <f t="shared" ca="1" si="53"/>
        <v>0</v>
      </c>
      <c r="P127" s="127"/>
      <c r="Q127" s="12"/>
      <c r="R127" s="2">
        <f t="shared" si="54"/>
        <v>0</v>
      </c>
      <c r="S127" s="126">
        <f t="shared" ca="1" si="55"/>
        <v>0</v>
      </c>
      <c r="T127" s="127"/>
      <c r="U127" s="13">
        <f t="shared" ca="1" si="56"/>
        <v>0</v>
      </c>
      <c r="V127" s="2">
        <f t="shared" si="57"/>
        <v>0</v>
      </c>
      <c r="W127" s="126">
        <f t="shared" ca="1" si="58"/>
        <v>0</v>
      </c>
      <c r="X127" s="127"/>
      <c r="Y127" s="12">
        <f t="shared" ca="1" si="59"/>
        <v>0</v>
      </c>
      <c r="Z127" s="2">
        <f t="shared" si="60"/>
        <v>0</v>
      </c>
      <c r="AA127" s="126">
        <f t="shared" ca="1" si="61"/>
        <v>0</v>
      </c>
      <c r="AB127" s="127"/>
      <c r="AC127" s="12">
        <f t="shared" ca="1" si="62"/>
        <v>0</v>
      </c>
      <c r="AD127" s="140"/>
      <c r="AE127" s="140"/>
      <c r="AF127" s="140"/>
      <c r="AG127" s="140"/>
      <c r="AH127" s="113"/>
      <c r="AI127" s="136"/>
      <c r="AJ127" s="136"/>
    </row>
    <row r="128" spans="1:36" x14ac:dyDescent="0.25">
      <c r="A128" s="137"/>
      <c r="B128" s="2">
        <f t="shared" si="43"/>
        <v>0</v>
      </c>
      <c r="C128" s="126">
        <f t="shared" ca="1" si="44"/>
        <v>0</v>
      </c>
      <c r="D128" s="127"/>
      <c r="E128" s="13">
        <f t="shared" ca="1" si="45"/>
        <v>0</v>
      </c>
      <c r="F128" s="2">
        <f t="shared" si="46"/>
        <v>0</v>
      </c>
      <c r="G128" s="126">
        <f t="shared" ca="1" si="47"/>
        <v>0</v>
      </c>
      <c r="H128" s="127"/>
      <c r="I128" s="12">
        <f t="shared" ca="1" si="48"/>
        <v>0</v>
      </c>
      <c r="J128" s="2">
        <f t="shared" si="49"/>
        <v>0</v>
      </c>
      <c r="K128" s="126">
        <f t="shared" ca="1" si="50"/>
        <v>0</v>
      </c>
      <c r="L128" s="127"/>
      <c r="M128" s="12">
        <f t="shared" ca="1" si="51"/>
        <v>0</v>
      </c>
      <c r="N128" s="2">
        <f t="shared" si="52"/>
        <v>0</v>
      </c>
      <c r="O128" s="126">
        <f t="shared" ca="1" si="53"/>
        <v>0</v>
      </c>
      <c r="P128" s="127"/>
      <c r="Q128" s="12"/>
      <c r="R128" s="2">
        <f t="shared" si="54"/>
        <v>0</v>
      </c>
      <c r="S128" s="126">
        <f t="shared" ca="1" si="55"/>
        <v>0</v>
      </c>
      <c r="T128" s="127"/>
      <c r="U128" s="13">
        <f t="shared" ca="1" si="56"/>
        <v>0</v>
      </c>
      <c r="V128" s="2">
        <f t="shared" si="57"/>
        <v>0</v>
      </c>
      <c r="W128" s="126">
        <f t="shared" ca="1" si="58"/>
        <v>0</v>
      </c>
      <c r="X128" s="127"/>
      <c r="Y128" s="12">
        <f t="shared" ca="1" si="59"/>
        <v>0</v>
      </c>
      <c r="Z128" s="2">
        <f t="shared" si="60"/>
        <v>0</v>
      </c>
      <c r="AA128" s="126">
        <f t="shared" ca="1" si="61"/>
        <v>0</v>
      </c>
      <c r="AB128" s="127"/>
      <c r="AC128" s="12">
        <f t="shared" ca="1" si="62"/>
        <v>0</v>
      </c>
      <c r="AD128" s="140"/>
      <c r="AE128" s="140"/>
      <c r="AF128" s="140"/>
      <c r="AG128" s="140"/>
      <c r="AH128" s="113"/>
      <c r="AI128" s="136"/>
      <c r="AJ128" s="136"/>
    </row>
    <row r="129" spans="1:36" x14ac:dyDescent="0.25">
      <c r="A129" s="137"/>
      <c r="B129" s="2">
        <f t="shared" si="43"/>
        <v>0</v>
      </c>
      <c r="C129" s="126">
        <f t="shared" ca="1" si="44"/>
        <v>0</v>
      </c>
      <c r="D129" s="127"/>
      <c r="E129" s="13">
        <f t="shared" ca="1" si="45"/>
        <v>0</v>
      </c>
      <c r="F129" s="2">
        <f t="shared" si="46"/>
        <v>0</v>
      </c>
      <c r="G129" s="126">
        <f t="shared" ca="1" si="47"/>
        <v>0</v>
      </c>
      <c r="H129" s="127"/>
      <c r="I129" s="12">
        <f t="shared" ca="1" si="48"/>
        <v>0</v>
      </c>
      <c r="J129" s="2">
        <f t="shared" si="49"/>
        <v>0</v>
      </c>
      <c r="K129" s="126">
        <f t="shared" ca="1" si="50"/>
        <v>0</v>
      </c>
      <c r="L129" s="127"/>
      <c r="M129" s="12">
        <f t="shared" ca="1" si="51"/>
        <v>0</v>
      </c>
      <c r="N129" s="2">
        <f t="shared" si="52"/>
        <v>0</v>
      </c>
      <c r="O129" s="126">
        <f t="shared" ca="1" si="53"/>
        <v>0</v>
      </c>
      <c r="P129" s="127"/>
      <c r="Q129" s="12"/>
      <c r="R129" s="2">
        <f t="shared" si="54"/>
        <v>0</v>
      </c>
      <c r="S129" s="126">
        <f t="shared" ca="1" si="55"/>
        <v>0</v>
      </c>
      <c r="T129" s="127"/>
      <c r="U129" s="13">
        <f t="shared" ca="1" si="56"/>
        <v>0</v>
      </c>
      <c r="V129" s="2">
        <f t="shared" si="57"/>
        <v>0</v>
      </c>
      <c r="W129" s="126">
        <f ca="1">IF(TODAY()=$A$114,W20*X20*Y20,W129)</f>
        <v>0</v>
      </c>
      <c r="X129" s="127"/>
      <c r="Y129" s="12">
        <f t="shared" ca="1" si="59"/>
        <v>0</v>
      </c>
      <c r="Z129" s="2">
        <f t="shared" si="60"/>
        <v>0</v>
      </c>
      <c r="AA129" s="126">
        <f t="shared" ca="1" si="61"/>
        <v>0</v>
      </c>
      <c r="AB129" s="127"/>
      <c r="AC129" s="12">
        <f t="shared" ca="1" si="62"/>
        <v>0</v>
      </c>
      <c r="AD129" s="140"/>
      <c r="AE129" s="140"/>
      <c r="AF129" s="140"/>
      <c r="AG129" s="140"/>
      <c r="AH129" s="113"/>
      <c r="AI129" s="136"/>
      <c r="AJ129" s="136"/>
    </row>
    <row r="130" spans="1:36" x14ac:dyDescent="0.25">
      <c r="A130" s="137"/>
      <c r="B130" s="2">
        <f t="shared" si="43"/>
        <v>0</v>
      </c>
      <c r="C130" s="126">
        <f t="shared" ca="1" si="44"/>
        <v>0</v>
      </c>
      <c r="D130" s="127"/>
      <c r="E130" s="13">
        <f t="shared" ca="1" si="45"/>
        <v>0</v>
      </c>
      <c r="F130" s="2">
        <f t="shared" si="46"/>
        <v>0</v>
      </c>
      <c r="G130" s="126">
        <f t="shared" ca="1" si="47"/>
        <v>0</v>
      </c>
      <c r="H130" s="127"/>
      <c r="I130" s="12">
        <f t="shared" ca="1" si="48"/>
        <v>0</v>
      </c>
      <c r="J130" s="2">
        <f t="shared" si="49"/>
        <v>0</v>
      </c>
      <c r="K130" s="126">
        <f t="shared" ca="1" si="50"/>
        <v>0</v>
      </c>
      <c r="L130" s="127"/>
      <c r="M130" s="12">
        <f t="shared" ca="1" si="51"/>
        <v>0</v>
      </c>
      <c r="N130" s="2">
        <f t="shared" si="52"/>
        <v>0</v>
      </c>
      <c r="O130" s="126">
        <f t="shared" ca="1" si="53"/>
        <v>0</v>
      </c>
      <c r="P130" s="127"/>
      <c r="Q130" s="12"/>
      <c r="R130" s="2">
        <f t="shared" si="54"/>
        <v>0</v>
      </c>
      <c r="S130" s="126">
        <f t="shared" ca="1" si="55"/>
        <v>0</v>
      </c>
      <c r="T130" s="127"/>
      <c r="U130" s="13">
        <f t="shared" ca="1" si="56"/>
        <v>0</v>
      </c>
      <c r="V130" s="2">
        <f t="shared" si="57"/>
        <v>0</v>
      </c>
      <c r="W130" s="126">
        <f t="shared" ca="1" si="58"/>
        <v>0</v>
      </c>
      <c r="X130" s="127"/>
      <c r="Y130" s="12">
        <f t="shared" ca="1" si="59"/>
        <v>0</v>
      </c>
      <c r="Z130" s="2">
        <f t="shared" si="60"/>
        <v>0</v>
      </c>
      <c r="AA130" s="126">
        <f t="shared" ca="1" si="61"/>
        <v>0</v>
      </c>
      <c r="AB130" s="127"/>
      <c r="AC130" s="12">
        <f t="shared" ca="1" si="62"/>
        <v>0</v>
      </c>
      <c r="AD130" s="140"/>
      <c r="AE130" s="140"/>
      <c r="AF130" s="140"/>
      <c r="AG130" s="140"/>
      <c r="AH130" s="113"/>
      <c r="AI130" s="136"/>
      <c r="AJ130" s="136"/>
    </row>
    <row r="131" spans="1:36" x14ac:dyDescent="0.25">
      <c r="A131" s="137"/>
      <c r="B131" s="2">
        <f t="shared" si="43"/>
        <v>0</v>
      </c>
      <c r="C131" s="126">
        <f t="shared" ca="1" si="44"/>
        <v>0</v>
      </c>
      <c r="D131" s="127"/>
      <c r="E131" s="13">
        <f t="shared" ca="1" si="45"/>
        <v>0</v>
      </c>
      <c r="F131" s="2">
        <f t="shared" si="46"/>
        <v>0</v>
      </c>
      <c r="G131" s="126">
        <f t="shared" ca="1" si="47"/>
        <v>0</v>
      </c>
      <c r="H131" s="127"/>
      <c r="I131" s="12">
        <f t="shared" ca="1" si="48"/>
        <v>0</v>
      </c>
      <c r="J131" s="2">
        <f t="shared" si="49"/>
        <v>0</v>
      </c>
      <c r="K131" s="126">
        <f t="shared" ca="1" si="50"/>
        <v>0</v>
      </c>
      <c r="L131" s="127"/>
      <c r="M131" s="12">
        <f t="shared" ca="1" si="51"/>
        <v>0</v>
      </c>
      <c r="N131" s="2">
        <f t="shared" si="52"/>
        <v>0</v>
      </c>
      <c r="O131" s="126">
        <f t="shared" ca="1" si="53"/>
        <v>0</v>
      </c>
      <c r="P131" s="127"/>
      <c r="Q131" s="12"/>
      <c r="R131" s="2">
        <f t="shared" si="54"/>
        <v>0</v>
      </c>
      <c r="S131" s="126">
        <f t="shared" ca="1" si="55"/>
        <v>0</v>
      </c>
      <c r="T131" s="127"/>
      <c r="U131" s="13">
        <f t="shared" ca="1" si="56"/>
        <v>0</v>
      </c>
      <c r="V131" s="2">
        <f t="shared" si="57"/>
        <v>0</v>
      </c>
      <c r="W131" s="126">
        <f t="shared" ca="1" si="58"/>
        <v>0</v>
      </c>
      <c r="X131" s="127"/>
      <c r="Y131" s="12">
        <f t="shared" ca="1" si="59"/>
        <v>0</v>
      </c>
      <c r="Z131" s="2">
        <f t="shared" si="60"/>
        <v>0</v>
      </c>
      <c r="AA131" s="126">
        <f t="shared" ca="1" si="61"/>
        <v>0</v>
      </c>
      <c r="AB131" s="127"/>
      <c r="AC131" s="12">
        <f t="shared" ca="1" si="62"/>
        <v>0</v>
      </c>
      <c r="AD131" s="140"/>
      <c r="AE131" s="140"/>
      <c r="AF131" s="140"/>
      <c r="AG131" s="140"/>
      <c r="AH131" s="113"/>
      <c r="AI131" s="136"/>
      <c r="AJ131" s="136"/>
    </row>
    <row r="132" spans="1:36" x14ac:dyDescent="0.25">
      <c r="A132" s="137"/>
      <c r="B132" s="2">
        <f t="shared" si="43"/>
        <v>0</v>
      </c>
      <c r="C132" s="126">
        <f t="shared" ca="1" si="44"/>
        <v>0</v>
      </c>
      <c r="D132" s="127"/>
      <c r="E132" s="13">
        <f t="shared" ca="1" si="45"/>
        <v>0</v>
      </c>
      <c r="F132" s="2">
        <f t="shared" si="46"/>
        <v>0</v>
      </c>
      <c r="G132" s="126">
        <f t="shared" ca="1" si="47"/>
        <v>0</v>
      </c>
      <c r="H132" s="127"/>
      <c r="I132" s="12">
        <f t="shared" ca="1" si="48"/>
        <v>0</v>
      </c>
      <c r="J132" s="2">
        <f t="shared" si="49"/>
        <v>0</v>
      </c>
      <c r="K132" s="126">
        <f t="shared" ca="1" si="50"/>
        <v>0</v>
      </c>
      <c r="L132" s="127"/>
      <c r="M132" s="12">
        <f t="shared" ca="1" si="51"/>
        <v>0</v>
      </c>
      <c r="N132" s="2">
        <f t="shared" si="52"/>
        <v>0</v>
      </c>
      <c r="O132" s="126">
        <f t="shared" ca="1" si="53"/>
        <v>0</v>
      </c>
      <c r="P132" s="127"/>
      <c r="Q132" s="12"/>
      <c r="R132" s="2">
        <f t="shared" si="54"/>
        <v>0</v>
      </c>
      <c r="S132" s="126">
        <f t="shared" ca="1" si="55"/>
        <v>0</v>
      </c>
      <c r="T132" s="127"/>
      <c r="U132" s="13">
        <f t="shared" ca="1" si="56"/>
        <v>0</v>
      </c>
      <c r="V132" s="2">
        <f t="shared" si="57"/>
        <v>0</v>
      </c>
      <c r="W132" s="126">
        <f t="shared" ca="1" si="58"/>
        <v>0</v>
      </c>
      <c r="X132" s="127"/>
      <c r="Y132" s="12">
        <f t="shared" ca="1" si="59"/>
        <v>0</v>
      </c>
      <c r="Z132" s="2">
        <f t="shared" si="60"/>
        <v>0</v>
      </c>
      <c r="AA132" s="126">
        <f t="shared" ca="1" si="61"/>
        <v>0</v>
      </c>
      <c r="AB132" s="127"/>
      <c r="AC132" s="12">
        <f t="shared" ca="1" si="62"/>
        <v>0</v>
      </c>
      <c r="AD132" s="140"/>
      <c r="AE132" s="140"/>
      <c r="AF132" s="140"/>
      <c r="AG132" s="140"/>
      <c r="AH132" s="113"/>
      <c r="AI132" s="136"/>
      <c r="AJ132" s="136"/>
    </row>
    <row r="133" spans="1:36" x14ac:dyDescent="0.25">
      <c r="A133" s="137"/>
      <c r="B133" s="2">
        <f t="shared" si="43"/>
        <v>0</v>
      </c>
      <c r="C133" s="126">
        <f t="shared" ca="1" si="44"/>
        <v>0</v>
      </c>
      <c r="D133" s="127"/>
      <c r="E133" s="13">
        <f t="shared" ca="1" si="45"/>
        <v>0</v>
      </c>
      <c r="F133" s="2">
        <f t="shared" si="46"/>
        <v>0</v>
      </c>
      <c r="G133" s="126">
        <f t="shared" ca="1" si="47"/>
        <v>0</v>
      </c>
      <c r="H133" s="127"/>
      <c r="I133" s="12">
        <f t="shared" ca="1" si="48"/>
        <v>0</v>
      </c>
      <c r="J133" s="2">
        <f t="shared" si="49"/>
        <v>0</v>
      </c>
      <c r="K133" s="126">
        <f t="shared" ca="1" si="50"/>
        <v>0</v>
      </c>
      <c r="L133" s="127"/>
      <c r="M133" s="12">
        <f t="shared" ca="1" si="51"/>
        <v>0</v>
      </c>
      <c r="N133" s="2">
        <f t="shared" si="52"/>
        <v>0</v>
      </c>
      <c r="O133" s="126">
        <f t="shared" ca="1" si="53"/>
        <v>0</v>
      </c>
      <c r="P133" s="127"/>
      <c r="Q133" s="12"/>
      <c r="R133" s="2">
        <f t="shared" si="54"/>
        <v>0</v>
      </c>
      <c r="S133" s="126">
        <f t="shared" ca="1" si="55"/>
        <v>0</v>
      </c>
      <c r="T133" s="127"/>
      <c r="U133" s="13">
        <f t="shared" ca="1" si="56"/>
        <v>0</v>
      </c>
      <c r="V133" s="2">
        <f t="shared" si="57"/>
        <v>0</v>
      </c>
      <c r="W133" s="126">
        <f ca="1">IF(TODAY()=$A$114,W24*X24*Y24,W133)</f>
        <v>0</v>
      </c>
      <c r="X133" s="127"/>
      <c r="Y133" s="12">
        <f t="shared" ca="1" si="59"/>
        <v>0</v>
      </c>
      <c r="Z133" s="2">
        <f t="shared" si="60"/>
        <v>0</v>
      </c>
      <c r="AA133" s="126">
        <f ca="1">IF(TODAY()=$A$114,AA24*AB24*AC24,AA133)</f>
        <v>0</v>
      </c>
      <c r="AB133" s="127"/>
      <c r="AC133" s="12">
        <f t="shared" ca="1" si="62"/>
        <v>0</v>
      </c>
      <c r="AD133" s="140"/>
      <c r="AE133" s="140"/>
      <c r="AF133" s="140"/>
      <c r="AG133" s="140"/>
      <c r="AH133" s="113"/>
      <c r="AI133" s="136"/>
      <c r="AJ133" s="136"/>
    </row>
    <row r="134" spans="1:36" x14ac:dyDescent="0.25">
      <c r="A134" s="137"/>
      <c r="B134" s="2">
        <f t="shared" si="43"/>
        <v>0</v>
      </c>
      <c r="C134" s="126">
        <f t="shared" ca="1" si="44"/>
        <v>0</v>
      </c>
      <c r="D134" s="127"/>
      <c r="E134" s="13">
        <f t="shared" ca="1" si="45"/>
        <v>0</v>
      </c>
      <c r="F134" s="2">
        <f t="shared" si="46"/>
        <v>0</v>
      </c>
      <c r="G134" s="126">
        <f t="shared" ca="1" si="47"/>
        <v>0</v>
      </c>
      <c r="H134" s="127"/>
      <c r="I134" s="12">
        <f t="shared" ca="1" si="48"/>
        <v>0</v>
      </c>
      <c r="J134" s="2">
        <f t="shared" si="49"/>
        <v>0</v>
      </c>
      <c r="K134" s="126">
        <f t="shared" ca="1" si="50"/>
        <v>0</v>
      </c>
      <c r="L134" s="127"/>
      <c r="M134" s="12">
        <f t="shared" ca="1" si="51"/>
        <v>0</v>
      </c>
      <c r="N134" s="2">
        <f t="shared" si="52"/>
        <v>0</v>
      </c>
      <c r="O134" s="126">
        <f t="shared" ca="1" si="53"/>
        <v>0</v>
      </c>
      <c r="P134" s="127"/>
      <c r="Q134" s="12"/>
      <c r="R134" s="2">
        <f t="shared" si="54"/>
        <v>0</v>
      </c>
      <c r="S134" s="126">
        <f t="shared" ca="1" si="55"/>
        <v>0</v>
      </c>
      <c r="T134" s="127"/>
      <c r="U134" s="13">
        <f t="shared" ca="1" si="56"/>
        <v>0</v>
      </c>
      <c r="V134" s="2">
        <f t="shared" si="57"/>
        <v>0</v>
      </c>
      <c r="W134" s="126">
        <f t="shared" ca="1" si="58"/>
        <v>0</v>
      </c>
      <c r="X134" s="127"/>
      <c r="Y134" s="12">
        <f t="shared" ca="1" si="59"/>
        <v>0</v>
      </c>
      <c r="Z134" s="2">
        <f t="shared" si="60"/>
        <v>0</v>
      </c>
      <c r="AA134" s="126">
        <f t="shared" ca="1" si="61"/>
        <v>0</v>
      </c>
      <c r="AB134" s="127"/>
      <c r="AC134" s="12">
        <f t="shared" ca="1" si="62"/>
        <v>0</v>
      </c>
      <c r="AD134" s="140"/>
      <c r="AE134" s="140"/>
      <c r="AF134" s="140"/>
      <c r="AG134" s="140"/>
      <c r="AH134" s="113"/>
      <c r="AI134" s="136"/>
      <c r="AJ134" s="136"/>
    </row>
    <row r="135" spans="1:36" x14ac:dyDescent="0.25">
      <c r="A135" s="137"/>
      <c r="B135" s="2">
        <f t="shared" si="43"/>
        <v>0</v>
      </c>
      <c r="C135" s="126">
        <f t="shared" ca="1" si="44"/>
        <v>0</v>
      </c>
      <c r="D135" s="127"/>
      <c r="E135" s="13">
        <f t="shared" ca="1" si="45"/>
        <v>0</v>
      </c>
      <c r="F135" s="2">
        <f t="shared" si="46"/>
        <v>0</v>
      </c>
      <c r="G135" s="126">
        <f t="shared" ca="1" si="47"/>
        <v>0</v>
      </c>
      <c r="H135" s="127"/>
      <c r="I135" s="12">
        <f t="shared" ca="1" si="48"/>
        <v>0</v>
      </c>
      <c r="J135" s="2">
        <f t="shared" si="49"/>
        <v>0</v>
      </c>
      <c r="K135" s="126">
        <f t="shared" ca="1" si="50"/>
        <v>0</v>
      </c>
      <c r="L135" s="127"/>
      <c r="M135" s="12">
        <f t="shared" ca="1" si="51"/>
        <v>0</v>
      </c>
      <c r="N135" s="2">
        <f t="shared" si="52"/>
        <v>0</v>
      </c>
      <c r="O135" s="126">
        <f t="shared" ca="1" si="53"/>
        <v>0</v>
      </c>
      <c r="P135" s="127"/>
      <c r="Q135" s="12"/>
      <c r="R135" s="2">
        <f t="shared" si="54"/>
        <v>0</v>
      </c>
      <c r="S135" s="126">
        <f t="shared" ca="1" si="55"/>
        <v>0</v>
      </c>
      <c r="T135" s="127"/>
      <c r="U135" s="13">
        <f t="shared" ca="1" si="56"/>
        <v>0</v>
      </c>
      <c r="V135" s="2">
        <f t="shared" si="57"/>
        <v>0</v>
      </c>
      <c r="W135" s="126">
        <f t="shared" ca="1" si="58"/>
        <v>0</v>
      </c>
      <c r="X135" s="127"/>
      <c r="Y135" s="12">
        <f t="shared" ca="1" si="59"/>
        <v>0</v>
      </c>
      <c r="Z135" s="2">
        <f t="shared" si="60"/>
        <v>0</v>
      </c>
      <c r="AA135" s="126">
        <f t="shared" ca="1" si="61"/>
        <v>0</v>
      </c>
      <c r="AB135" s="127"/>
      <c r="AC135" s="12">
        <f t="shared" ca="1" si="62"/>
        <v>0</v>
      </c>
      <c r="AD135" s="140"/>
      <c r="AE135" s="140"/>
      <c r="AF135" s="140"/>
      <c r="AG135" s="140"/>
      <c r="AH135" s="113"/>
      <c r="AI135" s="136"/>
      <c r="AJ135" s="136"/>
    </row>
    <row r="136" spans="1:36" x14ac:dyDescent="0.25">
      <c r="A136" s="137"/>
      <c r="B136" s="2">
        <f t="shared" si="43"/>
        <v>0</v>
      </c>
      <c r="C136" s="126">
        <f t="shared" ca="1" si="44"/>
        <v>0</v>
      </c>
      <c r="D136" s="127"/>
      <c r="E136" s="13">
        <f t="shared" ca="1" si="45"/>
        <v>0</v>
      </c>
      <c r="F136" s="2">
        <f t="shared" si="46"/>
        <v>0</v>
      </c>
      <c r="G136" s="126">
        <f t="shared" ca="1" si="47"/>
        <v>0</v>
      </c>
      <c r="H136" s="127"/>
      <c r="I136" s="12">
        <f t="shared" ca="1" si="48"/>
        <v>0</v>
      </c>
      <c r="J136" s="2">
        <f t="shared" si="49"/>
        <v>0</v>
      </c>
      <c r="K136" s="126">
        <f t="shared" ca="1" si="50"/>
        <v>0</v>
      </c>
      <c r="L136" s="127"/>
      <c r="M136" s="12">
        <f t="shared" ca="1" si="51"/>
        <v>0</v>
      </c>
      <c r="N136" s="2">
        <f t="shared" si="52"/>
        <v>0</v>
      </c>
      <c r="O136" s="126">
        <f t="shared" ca="1" si="53"/>
        <v>0</v>
      </c>
      <c r="P136" s="127"/>
      <c r="Q136" s="12"/>
      <c r="R136" s="2">
        <f t="shared" si="54"/>
        <v>0</v>
      </c>
      <c r="S136" s="126">
        <f t="shared" ca="1" si="55"/>
        <v>0</v>
      </c>
      <c r="T136" s="127"/>
      <c r="U136" s="13">
        <f t="shared" ca="1" si="56"/>
        <v>0</v>
      </c>
      <c r="V136" s="2">
        <f t="shared" si="57"/>
        <v>0</v>
      </c>
      <c r="W136" s="126">
        <f t="shared" ca="1" si="58"/>
        <v>0</v>
      </c>
      <c r="X136" s="127"/>
      <c r="Y136" s="12">
        <f t="shared" ca="1" si="59"/>
        <v>0</v>
      </c>
      <c r="Z136" s="2">
        <f t="shared" si="60"/>
        <v>0</v>
      </c>
      <c r="AA136" s="126">
        <f t="shared" ca="1" si="61"/>
        <v>0</v>
      </c>
      <c r="AB136" s="127"/>
      <c r="AC136" s="12">
        <f t="shared" ca="1" si="62"/>
        <v>0</v>
      </c>
      <c r="AD136" s="140"/>
      <c r="AE136" s="140"/>
      <c r="AF136" s="140"/>
      <c r="AG136" s="140"/>
      <c r="AH136" s="113"/>
      <c r="AI136" s="136"/>
      <c r="AJ136" s="136"/>
    </row>
    <row r="137" spans="1:36" x14ac:dyDescent="0.25">
      <c r="A137" s="137"/>
      <c r="B137" s="2">
        <f t="shared" si="43"/>
        <v>0</v>
      </c>
      <c r="C137" s="126">
        <f t="shared" ca="1" si="44"/>
        <v>0</v>
      </c>
      <c r="D137" s="127"/>
      <c r="E137" s="13">
        <f t="shared" ca="1" si="45"/>
        <v>0</v>
      </c>
      <c r="F137" s="2">
        <f t="shared" si="46"/>
        <v>0</v>
      </c>
      <c r="G137" s="126">
        <f t="shared" ca="1" si="47"/>
        <v>0</v>
      </c>
      <c r="H137" s="127"/>
      <c r="I137" s="12">
        <f t="shared" ca="1" si="48"/>
        <v>0</v>
      </c>
      <c r="J137" s="2">
        <f t="shared" si="49"/>
        <v>0</v>
      </c>
      <c r="K137" s="126">
        <f t="shared" ca="1" si="50"/>
        <v>0</v>
      </c>
      <c r="L137" s="127"/>
      <c r="M137" s="12">
        <f t="shared" ca="1" si="51"/>
        <v>0</v>
      </c>
      <c r="N137" s="2">
        <f t="shared" si="52"/>
        <v>0</v>
      </c>
      <c r="O137" s="126">
        <f t="shared" ca="1" si="53"/>
        <v>0</v>
      </c>
      <c r="P137" s="127"/>
      <c r="Q137" s="12"/>
      <c r="R137" s="2">
        <f t="shared" si="54"/>
        <v>0</v>
      </c>
      <c r="S137" s="126">
        <f t="shared" ca="1" si="55"/>
        <v>0</v>
      </c>
      <c r="T137" s="127"/>
      <c r="U137" s="13">
        <f t="shared" ca="1" si="56"/>
        <v>0</v>
      </c>
      <c r="V137" s="2">
        <f t="shared" si="57"/>
        <v>0</v>
      </c>
      <c r="W137" s="126">
        <f t="shared" ca="1" si="58"/>
        <v>0</v>
      </c>
      <c r="X137" s="127"/>
      <c r="Y137" s="12">
        <f t="shared" ca="1" si="59"/>
        <v>0</v>
      </c>
      <c r="Z137" s="2">
        <f t="shared" si="60"/>
        <v>0</v>
      </c>
      <c r="AA137" s="126">
        <f t="shared" ca="1" si="61"/>
        <v>0</v>
      </c>
      <c r="AB137" s="127"/>
      <c r="AC137" s="12">
        <f t="shared" ca="1" si="62"/>
        <v>0</v>
      </c>
      <c r="AD137" s="140"/>
      <c r="AE137" s="140"/>
      <c r="AF137" s="140"/>
      <c r="AG137" s="140"/>
      <c r="AH137" s="113"/>
      <c r="AI137" s="136"/>
      <c r="AJ137" s="136"/>
    </row>
    <row r="138" spans="1:36" x14ac:dyDescent="0.25">
      <c r="A138" s="137"/>
      <c r="B138" s="2">
        <f t="shared" si="43"/>
        <v>0</v>
      </c>
      <c r="C138" s="126">
        <f t="shared" ca="1" si="44"/>
        <v>0</v>
      </c>
      <c r="D138" s="127"/>
      <c r="E138" s="13">
        <f t="shared" ca="1" si="45"/>
        <v>0</v>
      </c>
      <c r="F138" s="2">
        <f t="shared" si="46"/>
        <v>0</v>
      </c>
      <c r="G138" s="126">
        <f t="shared" ca="1" si="47"/>
        <v>0</v>
      </c>
      <c r="H138" s="127"/>
      <c r="I138" s="12">
        <f t="shared" ca="1" si="48"/>
        <v>0</v>
      </c>
      <c r="J138" s="2">
        <f t="shared" si="49"/>
        <v>0</v>
      </c>
      <c r="K138" s="126">
        <f t="shared" ca="1" si="50"/>
        <v>0</v>
      </c>
      <c r="L138" s="127"/>
      <c r="M138" s="12">
        <f t="shared" ca="1" si="51"/>
        <v>0</v>
      </c>
      <c r="N138" s="2">
        <f t="shared" si="52"/>
        <v>0</v>
      </c>
      <c r="O138" s="126">
        <f t="shared" ca="1" si="53"/>
        <v>0</v>
      </c>
      <c r="P138" s="127"/>
      <c r="Q138" s="12"/>
      <c r="R138" s="2">
        <f t="shared" si="54"/>
        <v>0</v>
      </c>
      <c r="S138" s="126">
        <f t="shared" ca="1" si="55"/>
        <v>0</v>
      </c>
      <c r="T138" s="127"/>
      <c r="U138" s="13">
        <f t="shared" ca="1" si="56"/>
        <v>0</v>
      </c>
      <c r="V138" s="2">
        <f t="shared" si="57"/>
        <v>0</v>
      </c>
      <c r="W138" s="126">
        <f t="shared" ca="1" si="58"/>
        <v>0</v>
      </c>
      <c r="X138" s="127"/>
      <c r="Y138" s="12">
        <f t="shared" ca="1" si="59"/>
        <v>0</v>
      </c>
      <c r="Z138" s="2">
        <f t="shared" si="60"/>
        <v>0</v>
      </c>
      <c r="AA138" s="126">
        <f t="shared" ca="1" si="61"/>
        <v>0</v>
      </c>
      <c r="AB138" s="127"/>
      <c r="AC138" s="12">
        <f t="shared" ca="1" si="62"/>
        <v>0</v>
      </c>
      <c r="AD138" s="140"/>
      <c r="AE138" s="140"/>
      <c r="AF138" s="140"/>
      <c r="AG138" s="140"/>
      <c r="AH138" s="113"/>
      <c r="AI138" s="136"/>
      <c r="AJ138" s="136"/>
    </row>
    <row r="139" spans="1:36" x14ac:dyDescent="0.25">
      <c r="A139" s="137"/>
      <c r="B139" s="2">
        <f t="shared" si="43"/>
        <v>0</v>
      </c>
      <c r="C139" s="126">
        <f t="shared" ca="1" si="44"/>
        <v>0</v>
      </c>
      <c r="D139" s="127"/>
      <c r="E139" s="13">
        <f t="shared" ca="1" si="45"/>
        <v>0</v>
      </c>
      <c r="F139" s="2">
        <f t="shared" si="46"/>
        <v>0</v>
      </c>
      <c r="G139" s="126">
        <f t="shared" ca="1" si="47"/>
        <v>0</v>
      </c>
      <c r="H139" s="127"/>
      <c r="I139" s="12">
        <f t="shared" ca="1" si="48"/>
        <v>0</v>
      </c>
      <c r="J139" s="2">
        <f t="shared" si="49"/>
        <v>0</v>
      </c>
      <c r="K139" s="126">
        <f t="shared" ca="1" si="50"/>
        <v>0</v>
      </c>
      <c r="L139" s="127"/>
      <c r="M139" s="12">
        <f t="shared" ca="1" si="51"/>
        <v>0</v>
      </c>
      <c r="N139" s="2">
        <f t="shared" si="52"/>
        <v>0</v>
      </c>
      <c r="O139" s="126">
        <f t="shared" ca="1" si="53"/>
        <v>0</v>
      </c>
      <c r="P139" s="127"/>
      <c r="Q139" s="12"/>
      <c r="R139" s="2">
        <f t="shared" si="54"/>
        <v>0</v>
      </c>
      <c r="S139" s="126">
        <f t="shared" ca="1" si="55"/>
        <v>0</v>
      </c>
      <c r="T139" s="127"/>
      <c r="U139" s="13">
        <f t="shared" ca="1" si="56"/>
        <v>0</v>
      </c>
      <c r="V139" s="2">
        <f t="shared" si="57"/>
        <v>0</v>
      </c>
      <c r="W139" s="126">
        <f t="shared" ca="1" si="58"/>
        <v>0</v>
      </c>
      <c r="X139" s="127"/>
      <c r="Y139" s="12">
        <f t="shared" ca="1" si="59"/>
        <v>0</v>
      </c>
      <c r="Z139" s="2">
        <f t="shared" si="60"/>
        <v>0</v>
      </c>
      <c r="AA139" s="126">
        <f t="shared" ca="1" si="61"/>
        <v>0</v>
      </c>
      <c r="AB139" s="127"/>
      <c r="AC139" s="12">
        <f t="shared" ca="1" si="62"/>
        <v>0</v>
      </c>
      <c r="AD139" s="140"/>
      <c r="AE139" s="140"/>
      <c r="AF139" s="140"/>
      <c r="AG139" s="140"/>
      <c r="AH139" s="113"/>
      <c r="AI139" s="136"/>
      <c r="AJ139" s="136"/>
    </row>
    <row r="140" spans="1:36" x14ac:dyDescent="0.25">
      <c r="A140" s="137"/>
      <c r="B140" s="2">
        <f t="shared" si="43"/>
        <v>0</v>
      </c>
      <c r="C140" s="126">
        <f t="shared" ca="1" si="44"/>
        <v>0</v>
      </c>
      <c r="D140" s="127"/>
      <c r="E140" s="13">
        <f t="shared" ca="1" si="45"/>
        <v>0</v>
      </c>
      <c r="F140" s="2">
        <f t="shared" si="46"/>
        <v>0</v>
      </c>
      <c r="G140" s="126">
        <f t="shared" ca="1" si="47"/>
        <v>0</v>
      </c>
      <c r="H140" s="127"/>
      <c r="I140" s="12">
        <f t="shared" ca="1" si="48"/>
        <v>0</v>
      </c>
      <c r="J140" s="2">
        <f t="shared" si="49"/>
        <v>0</v>
      </c>
      <c r="K140" s="126">
        <f t="shared" ca="1" si="50"/>
        <v>0</v>
      </c>
      <c r="L140" s="127"/>
      <c r="M140" s="12">
        <f t="shared" ca="1" si="51"/>
        <v>0</v>
      </c>
      <c r="N140" s="2">
        <f t="shared" si="52"/>
        <v>0</v>
      </c>
      <c r="O140" s="126">
        <f t="shared" ca="1" si="53"/>
        <v>0</v>
      </c>
      <c r="P140" s="127"/>
      <c r="Q140" s="12"/>
      <c r="R140" s="2">
        <f t="shared" si="54"/>
        <v>0</v>
      </c>
      <c r="S140" s="126">
        <f t="shared" ca="1" si="55"/>
        <v>0</v>
      </c>
      <c r="T140" s="127"/>
      <c r="U140" s="13">
        <f t="shared" ca="1" si="56"/>
        <v>0</v>
      </c>
      <c r="V140" s="2">
        <f t="shared" si="57"/>
        <v>0</v>
      </c>
      <c r="W140" s="126">
        <f t="shared" ca="1" si="58"/>
        <v>0</v>
      </c>
      <c r="X140" s="127"/>
      <c r="Y140" s="12">
        <f t="shared" ca="1" si="59"/>
        <v>0</v>
      </c>
      <c r="Z140" s="2">
        <f t="shared" si="60"/>
        <v>0</v>
      </c>
      <c r="AA140" s="126">
        <f t="shared" ca="1" si="61"/>
        <v>0</v>
      </c>
      <c r="AB140" s="127"/>
      <c r="AC140" s="12">
        <f t="shared" ca="1" si="62"/>
        <v>0</v>
      </c>
      <c r="AD140" s="140"/>
      <c r="AE140" s="140"/>
      <c r="AF140" s="140"/>
      <c r="AG140" s="140"/>
      <c r="AH140" s="113"/>
      <c r="AI140" s="136"/>
      <c r="AJ140" s="136"/>
    </row>
    <row r="141" spans="1:36" x14ac:dyDescent="0.25">
      <c r="A141" s="137"/>
      <c r="B141" s="2">
        <f t="shared" si="43"/>
        <v>0</v>
      </c>
      <c r="C141" s="126">
        <f t="shared" ca="1" si="44"/>
        <v>0</v>
      </c>
      <c r="D141" s="127"/>
      <c r="E141" s="13">
        <f t="shared" ca="1" si="45"/>
        <v>0</v>
      </c>
      <c r="F141" s="2">
        <f t="shared" si="46"/>
        <v>0</v>
      </c>
      <c r="G141" s="126">
        <f t="shared" ca="1" si="47"/>
        <v>0</v>
      </c>
      <c r="H141" s="127"/>
      <c r="I141" s="12">
        <f t="shared" ca="1" si="48"/>
        <v>0</v>
      </c>
      <c r="J141" s="2">
        <f t="shared" si="49"/>
        <v>0</v>
      </c>
      <c r="K141" s="126">
        <f t="shared" ca="1" si="50"/>
        <v>0</v>
      </c>
      <c r="L141" s="127"/>
      <c r="M141" s="12">
        <f t="shared" ca="1" si="51"/>
        <v>0</v>
      </c>
      <c r="N141" s="2">
        <f t="shared" si="52"/>
        <v>0</v>
      </c>
      <c r="O141" s="126">
        <f t="shared" ca="1" si="53"/>
        <v>0</v>
      </c>
      <c r="P141" s="127"/>
      <c r="Q141" s="12"/>
      <c r="R141" s="2">
        <f t="shared" si="54"/>
        <v>0</v>
      </c>
      <c r="S141" s="126">
        <f t="shared" ca="1" si="55"/>
        <v>0</v>
      </c>
      <c r="T141" s="127"/>
      <c r="U141" s="13">
        <f t="shared" ca="1" si="56"/>
        <v>0</v>
      </c>
      <c r="V141" s="2">
        <f t="shared" si="57"/>
        <v>0</v>
      </c>
      <c r="W141" s="126">
        <f t="shared" ca="1" si="58"/>
        <v>0</v>
      </c>
      <c r="X141" s="127"/>
      <c r="Y141" s="12">
        <f t="shared" ca="1" si="59"/>
        <v>0</v>
      </c>
      <c r="Z141" s="2">
        <f t="shared" si="60"/>
        <v>0</v>
      </c>
      <c r="AA141" s="126">
        <f t="shared" ca="1" si="61"/>
        <v>0</v>
      </c>
      <c r="AB141" s="127"/>
      <c r="AC141" s="12">
        <f t="shared" ca="1" si="62"/>
        <v>0</v>
      </c>
      <c r="AD141" s="140"/>
      <c r="AE141" s="140"/>
      <c r="AF141" s="140"/>
      <c r="AG141" s="140"/>
      <c r="AH141" s="113"/>
      <c r="AI141" s="136"/>
      <c r="AJ141" s="136"/>
    </row>
    <row r="142" spans="1:36" x14ac:dyDescent="0.25">
      <c r="A142" s="137"/>
      <c r="B142" s="2">
        <f t="shared" si="43"/>
        <v>0</v>
      </c>
      <c r="C142" s="126">
        <f t="shared" ca="1" si="44"/>
        <v>0</v>
      </c>
      <c r="D142" s="127"/>
      <c r="E142" s="13">
        <f t="shared" ca="1" si="45"/>
        <v>0</v>
      </c>
      <c r="F142" s="2">
        <f t="shared" si="46"/>
        <v>0</v>
      </c>
      <c r="G142" s="126">
        <f t="shared" ca="1" si="47"/>
        <v>0</v>
      </c>
      <c r="H142" s="127"/>
      <c r="I142" s="12">
        <f t="shared" ca="1" si="48"/>
        <v>0</v>
      </c>
      <c r="J142" s="2">
        <f t="shared" si="49"/>
        <v>0</v>
      </c>
      <c r="K142" s="126">
        <f t="shared" ca="1" si="50"/>
        <v>0</v>
      </c>
      <c r="L142" s="127"/>
      <c r="M142" s="12">
        <f t="shared" ca="1" si="51"/>
        <v>0</v>
      </c>
      <c r="N142" s="2">
        <f t="shared" si="52"/>
        <v>0</v>
      </c>
      <c r="O142" s="126">
        <f t="shared" ca="1" si="53"/>
        <v>0</v>
      </c>
      <c r="P142" s="127"/>
      <c r="Q142" s="12"/>
      <c r="R142" s="2">
        <f t="shared" si="54"/>
        <v>0</v>
      </c>
      <c r="S142" s="126">
        <f t="shared" ca="1" si="55"/>
        <v>0</v>
      </c>
      <c r="T142" s="127"/>
      <c r="U142" s="13">
        <f t="shared" ca="1" si="56"/>
        <v>0</v>
      </c>
      <c r="V142" s="2">
        <f t="shared" si="57"/>
        <v>0</v>
      </c>
      <c r="W142" s="126">
        <f t="shared" ca="1" si="58"/>
        <v>0</v>
      </c>
      <c r="X142" s="127"/>
      <c r="Y142" s="12">
        <f t="shared" ca="1" si="59"/>
        <v>0</v>
      </c>
      <c r="Z142" s="2">
        <f t="shared" si="60"/>
        <v>0</v>
      </c>
      <c r="AA142" s="126">
        <f t="shared" ca="1" si="61"/>
        <v>0</v>
      </c>
      <c r="AB142" s="127"/>
      <c r="AC142" s="12">
        <f t="shared" ca="1" si="62"/>
        <v>0</v>
      </c>
      <c r="AD142" s="140"/>
      <c r="AE142" s="140"/>
      <c r="AF142" s="140"/>
      <c r="AG142" s="140"/>
      <c r="AH142" s="113"/>
      <c r="AI142" s="136"/>
      <c r="AJ142" s="136"/>
    </row>
    <row r="143" spans="1:36" x14ac:dyDescent="0.25">
      <c r="A143" s="137"/>
      <c r="B143" s="2">
        <f t="shared" si="43"/>
        <v>0</v>
      </c>
      <c r="C143" s="126">
        <f t="shared" ca="1" si="44"/>
        <v>0</v>
      </c>
      <c r="D143" s="127"/>
      <c r="E143" s="13">
        <f t="shared" ca="1" si="45"/>
        <v>0</v>
      </c>
      <c r="F143" s="2">
        <f t="shared" si="46"/>
        <v>0</v>
      </c>
      <c r="G143" s="126">
        <f t="shared" ca="1" si="47"/>
        <v>0</v>
      </c>
      <c r="H143" s="127"/>
      <c r="I143" s="12">
        <f t="shared" ca="1" si="48"/>
        <v>0</v>
      </c>
      <c r="J143" s="2">
        <f t="shared" si="49"/>
        <v>0</v>
      </c>
      <c r="K143" s="126">
        <f t="shared" ca="1" si="50"/>
        <v>0</v>
      </c>
      <c r="L143" s="127"/>
      <c r="M143" s="12">
        <f t="shared" ca="1" si="51"/>
        <v>0</v>
      </c>
      <c r="N143" s="2">
        <f t="shared" si="52"/>
        <v>0</v>
      </c>
      <c r="O143" s="126">
        <f t="shared" ca="1" si="53"/>
        <v>0</v>
      </c>
      <c r="P143" s="127"/>
      <c r="Q143" s="12"/>
      <c r="R143" s="2">
        <f t="shared" si="54"/>
        <v>0</v>
      </c>
      <c r="S143" s="126">
        <f t="shared" ca="1" si="55"/>
        <v>0</v>
      </c>
      <c r="T143" s="127"/>
      <c r="U143" s="13">
        <f t="shared" ca="1" si="56"/>
        <v>0</v>
      </c>
      <c r="V143" s="2">
        <f t="shared" si="57"/>
        <v>0</v>
      </c>
      <c r="W143" s="126">
        <f t="shared" ca="1" si="58"/>
        <v>0</v>
      </c>
      <c r="X143" s="127"/>
      <c r="Y143" s="12">
        <f t="shared" ca="1" si="59"/>
        <v>0</v>
      </c>
      <c r="Z143" s="2">
        <f t="shared" si="60"/>
        <v>0</v>
      </c>
      <c r="AA143" s="126">
        <f t="shared" ca="1" si="61"/>
        <v>0</v>
      </c>
      <c r="AB143" s="127"/>
      <c r="AC143" s="12">
        <f t="shared" ca="1" si="62"/>
        <v>0</v>
      </c>
      <c r="AD143" s="140"/>
      <c r="AE143" s="140"/>
      <c r="AF143" s="140"/>
      <c r="AG143" s="140"/>
      <c r="AH143" s="113"/>
      <c r="AI143" s="136"/>
      <c r="AJ143" s="136"/>
    </row>
    <row r="144" spans="1:36" x14ac:dyDescent="0.25">
      <c r="A144" s="137"/>
      <c r="B144" s="2">
        <f t="shared" si="43"/>
        <v>0</v>
      </c>
      <c r="C144" s="126">
        <f t="shared" ca="1" si="44"/>
        <v>0</v>
      </c>
      <c r="D144" s="127"/>
      <c r="E144" s="13">
        <f t="shared" ca="1" si="45"/>
        <v>0</v>
      </c>
      <c r="F144" s="2">
        <f t="shared" si="46"/>
        <v>0</v>
      </c>
      <c r="G144" s="126">
        <f t="shared" ca="1" si="47"/>
        <v>0</v>
      </c>
      <c r="H144" s="127"/>
      <c r="I144" s="12">
        <f t="shared" ca="1" si="48"/>
        <v>0</v>
      </c>
      <c r="J144" s="2">
        <f t="shared" si="49"/>
        <v>0</v>
      </c>
      <c r="K144" s="126">
        <f t="shared" ca="1" si="50"/>
        <v>0</v>
      </c>
      <c r="L144" s="127"/>
      <c r="M144" s="12">
        <f t="shared" ca="1" si="51"/>
        <v>0</v>
      </c>
      <c r="N144" s="2">
        <f t="shared" si="52"/>
        <v>0</v>
      </c>
      <c r="O144" s="126">
        <f t="shared" ca="1" si="53"/>
        <v>0</v>
      </c>
      <c r="P144" s="127"/>
      <c r="Q144" s="12"/>
      <c r="R144" s="2">
        <f t="shared" si="54"/>
        <v>0</v>
      </c>
      <c r="S144" s="126">
        <f t="shared" ca="1" si="55"/>
        <v>0</v>
      </c>
      <c r="T144" s="127"/>
      <c r="U144" s="13">
        <f t="shared" ca="1" si="56"/>
        <v>0</v>
      </c>
      <c r="V144" s="2">
        <f t="shared" si="57"/>
        <v>0</v>
      </c>
      <c r="W144" s="126">
        <f t="shared" ca="1" si="58"/>
        <v>0</v>
      </c>
      <c r="X144" s="127"/>
      <c r="Y144" s="12">
        <f t="shared" ca="1" si="59"/>
        <v>0</v>
      </c>
      <c r="Z144" s="2">
        <f t="shared" si="60"/>
        <v>0</v>
      </c>
      <c r="AA144" s="126">
        <f t="shared" ca="1" si="61"/>
        <v>0</v>
      </c>
      <c r="AB144" s="127"/>
      <c r="AC144" s="12">
        <f t="shared" ca="1" si="62"/>
        <v>0</v>
      </c>
      <c r="AD144" s="140"/>
      <c r="AE144" s="140"/>
      <c r="AF144" s="140"/>
      <c r="AG144" s="140"/>
      <c r="AH144" s="113"/>
      <c r="AI144" s="136"/>
      <c r="AJ144" s="136"/>
    </row>
    <row r="145" spans="1:36" x14ac:dyDescent="0.25">
      <c r="A145" s="137"/>
      <c r="B145" s="2">
        <f t="shared" si="43"/>
        <v>0</v>
      </c>
      <c r="C145" s="126">
        <f t="shared" ca="1" si="44"/>
        <v>0</v>
      </c>
      <c r="D145" s="127"/>
      <c r="E145" s="13">
        <f t="shared" ca="1" si="45"/>
        <v>0</v>
      </c>
      <c r="F145" s="2">
        <f t="shared" si="46"/>
        <v>0</v>
      </c>
      <c r="G145" s="126">
        <f t="shared" ca="1" si="47"/>
        <v>0</v>
      </c>
      <c r="H145" s="127"/>
      <c r="I145" s="12">
        <f t="shared" ca="1" si="48"/>
        <v>0</v>
      </c>
      <c r="J145" s="2">
        <f t="shared" si="49"/>
        <v>0</v>
      </c>
      <c r="K145" s="126">
        <f t="shared" ca="1" si="50"/>
        <v>0</v>
      </c>
      <c r="L145" s="127"/>
      <c r="M145" s="12">
        <f t="shared" ca="1" si="51"/>
        <v>0</v>
      </c>
      <c r="N145" s="2">
        <f t="shared" si="52"/>
        <v>0</v>
      </c>
      <c r="O145" s="126">
        <f t="shared" ca="1" si="53"/>
        <v>0</v>
      </c>
      <c r="P145" s="127"/>
      <c r="Q145" s="12"/>
      <c r="R145" s="2">
        <f t="shared" si="54"/>
        <v>0</v>
      </c>
      <c r="S145" s="126">
        <f t="shared" ca="1" si="55"/>
        <v>0</v>
      </c>
      <c r="T145" s="127"/>
      <c r="U145" s="13">
        <f t="shared" ca="1" si="56"/>
        <v>0</v>
      </c>
      <c r="V145" s="2">
        <f t="shared" si="57"/>
        <v>0</v>
      </c>
      <c r="W145" s="126">
        <f t="shared" ca="1" si="58"/>
        <v>0</v>
      </c>
      <c r="X145" s="127"/>
      <c r="Y145" s="12">
        <f t="shared" ca="1" si="59"/>
        <v>0</v>
      </c>
      <c r="Z145" s="2">
        <f t="shared" si="60"/>
        <v>0</v>
      </c>
      <c r="AA145" s="126">
        <f t="shared" ca="1" si="61"/>
        <v>0</v>
      </c>
      <c r="AB145" s="127"/>
      <c r="AC145" s="12">
        <f t="shared" ca="1" si="62"/>
        <v>0</v>
      </c>
      <c r="AD145" s="140"/>
      <c r="AE145" s="140"/>
      <c r="AF145" s="140"/>
      <c r="AG145" s="140"/>
      <c r="AH145" s="113"/>
      <c r="AI145" s="136"/>
      <c r="AJ145" s="136"/>
    </row>
    <row r="146" spans="1:36" x14ac:dyDescent="0.25">
      <c r="A146" s="137"/>
      <c r="B146" s="2">
        <f t="shared" si="43"/>
        <v>0</v>
      </c>
      <c r="C146" s="126">
        <f t="shared" ca="1" si="44"/>
        <v>0</v>
      </c>
      <c r="D146" s="127"/>
      <c r="E146" s="13">
        <f t="shared" ca="1" si="45"/>
        <v>0</v>
      </c>
      <c r="F146" s="2">
        <f t="shared" si="46"/>
        <v>0</v>
      </c>
      <c r="G146" s="126">
        <f t="shared" ca="1" si="47"/>
        <v>0</v>
      </c>
      <c r="H146" s="127"/>
      <c r="I146" s="12">
        <f t="shared" ca="1" si="48"/>
        <v>0</v>
      </c>
      <c r="J146" s="2">
        <f t="shared" si="49"/>
        <v>0</v>
      </c>
      <c r="K146" s="126">
        <f t="shared" ca="1" si="50"/>
        <v>0</v>
      </c>
      <c r="L146" s="127"/>
      <c r="M146" s="12">
        <f t="shared" ca="1" si="51"/>
        <v>0</v>
      </c>
      <c r="N146" s="2">
        <f t="shared" si="52"/>
        <v>0</v>
      </c>
      <c r="O146" s="126">
        <f t="shared" ca="1" si="53"/>
        <v>0</v>
      </c>
      <c r="P146" s="127"/>
      <c r="Q146" s="12"/>
      <c r="R146" s="2">
        <f t="shared" si="54"/>
        <v>0</v>
      </c>
      <c r="S146" s="126">
        <f t="shared" ca="1" si="55"/>
        <v>0</v>
      </c>
      <c r="T146" s="127"/>
      <c r="U146" s="13">
        <f t="shared" ca="1" si="56"/>
        <v>0</v>
      </c>
      <c r="V146" s="2">
        <f t="shared" si="57"/>
        <v>0</v>
      </c>
      <c r="W146" s="126">
        <f t="shared" ca="1" si="58"/>
        <v>0</v>
      </c>
      <c r="X146" s="127"/>
      <c r="Y146" s="12">
        <f t="shared" ca="1" si="59"/>
        <v>0</v>
      </c>
      <c r="Z146" s="2">
        <f t="shared" si="60"/>
        <v>0</v>
      </c>
      <c r="AA146" s="126">
        <f t="shared" ca="1" si="61"/>
        <v>0</v>
      </c>
      <c r="AB146" s="127"/>
      <c r="AC146" s="12">
        <f t="shared" ca="1" si="62"/>
        <v>0</v>
      </c>
      <c r="AD146" s="140"/>
      <c r="AE146" s="140"/>
      <c r="AF146" s="140"/>
      <c r="AG146" s="140"/>
      <c r="AH146" s="113"/>
      <c r="AI146" s="136"/>
      <c r="AJ146" s="136"/>
    </row>
    <row r="147" spans="1:36" x14ac:dyDescent="0.25">
      <c r="A147" s="137"/>
      <c r="B147" s="2">
        <f t="shared" si="43"/>
        <v>0</v>
      </c>
      <c r="C147" s="126">
        <f t="shared" ca="1" si="44"/>
        <v>0</v>
      </c>
      <c r="D147" s="127"/>
      <c r="E147" s="13">
        <f t="shared" ca="1" si="45"/>
        <v>0</v>
      </c>
      <c r="F147" s="2">
        <f t="shared" si="46"/>
        <v>0</v>
      </c>
      <c r="G147" s="126">
        <f t="shared" ca="1" si="47"/>
        <v>0</v>
      </c>
      <c r="H147" s="127"/>
      <c r="I147" s="12">
        <f t="shared" ca="1" si="48"/>
        <v>0</v>
      </c>
      <c r="J147" s="2">
        <f t="shared" si="49"/>
        <v>0</v>
      </c>
      <c r="K147" s="126">
        <f t="shared" ca="1" si="50"/>
        <v>0</v>
      </c>
      <c r="L147" s="127"/>
      <c r="M147" s="12">
        <f t="shared" ca="1" si="51"/>
        <v>0</v>
      </c>
      <c r="N147" s="2">
        <f t="shared" si="52"/>
        <v>0</v>
      </c>
      <c r="O147" s="126">
        <f t="shared" ca="1" si="53"/>
        <v>0</v>
      </c>
      <c r="P147" s="127"/>
      <c r="Q147" s="12"/>
      <c r="R147" s="2">
        <f t="shared" si="54"/>
        <v>0</v>
      </c>
      <c r="S147" s="126">
        <f t="shared" ca="1" si="55"/>
        <v>0</v>
      </c>
      <c r="T147" s="127"/>
      <c r="U147" s="13">
        <f t="shared" ca="1" si="56"/>
        <v>0</v>
      </c>
      <c r="V147" s="2">
        <f t="shared" si="57"/>
        <v>0</v>
      </c>
      <c r="W147" s="126">
        <f t="shared" ca="1" si="58"/>
        <v>0</v>
      </c>
      <c r="X147" s="127"/>
      <c r="Y147" s="12">
        <f t="shared" ca="1" si="59"/>
        <v>0</v>
      </c>
      <c r="Z147" s="2">
        <f t="shared" si="60"/>
        <v>0</v>
      </c>
      <c r="AA147" s="126">
        <f t="shared" ca="1" si="61"/>
        <v>0</v>
      </c>
      <c r="AB147" s="127"/>
      <c r="AC147" s="12">
        <f t="shared" ca="1" si="62"/>
        <v>0</v>
      </c>
      <c r="AD147" s="140"/>
      <c r="AE147" s="140"/>
      <c r="AF147" s="140"/>
      <c r="AG147" s="140"/>
      <c r="AH147" s="113"/>
      <c r="AI147" s="136"/>
      <c r="AJ147" s="136"/>
    </row>
    <row r="148" spans="1:36" x14ac:dyDescent="0.25">
      <c r="A148" s="138"/>
      <c r="B148" s="2">
        <f t="shared" si="43"/>
        <v>0</v>
      </c>
      <c r="C148" s="126">
        <f t="shared" ca="1" si="44"/>
        <v>0</v>
      </c>
      <c r="D148" s="127"/>
      <c r="E148" s="13">
        <f t="shared" ca="1" si="45"/>
        <v>0</v>
      </c>
      <c r="F148" s="2">
        <f t="shared" si="46"/>
        <v>0</v>
      </c>
      <c r="G148" s="126">
        <f t="shared" ca="1" si="47"/>
        <v>0</v>
      </c>
      <c r="H148" s="127"/>
      <c r="I148" s="12">
        <f t="shared" ca="1" si="48"/>
        <v>0</v>
      </c>
      <c r="J148" s="2">
        <f t="shared" si="49"/>
        <v>0</v>
      </c>
      <c r="K148" s="126">
        <f t="shared" ca="1" si="50"/>
        <v>0</v>
      </c>
      <c r="L148" s="127"/>
      <c r="M148" s="12">
        <f t="shared" ca="1" si="51"/>
        <v>0</v>
      </c>
      <c r="N148" s="2">
        <f t="shared" si="52"/>
        <v>0</v>
      </c>
      <c r="O148" s="126">
        <f t="shared" ca="1" si="53"/>
        <v>0</v>
      </c>
      <c r="P148" s="127"/>
      <c r="Q148" s="12"/>
      <c r="R148" s="2">
        <f t="shared" si="54"/>
        <v>0</v>
      </c>
      <c r="S148" s="126">
        <f t="shared" ca="1" si="55"/>
        <v>0</v>
      </c>
      <c r="T148" s="127"/>
      <c r="U148" s="13">
        <f t="shared" ca="1" si="56"/>
        <v>0</v>
      </c>
      <c r="V148" s="2">
        <f t="shared" si="57"/>
        <v>0</v>
      </c>
      <c r="W148" s="126">
        <f t="shared" ca="1" si="58"/>
        <v>0</v>
      </c>
      <c r="X148" s="127"/>
      <c r="Y148" s="12">
        <f t="shared" ca="1" si="59"/>
        <v>0</v>
      </c>
      <c r="Z148" s="2">
        <f t="shared" si="60"/>
        <v>0</v>
      </c>
      <c r="AA148" s="126">
        <f t="shared" ca="1" si="61"/>
        <v>0</v>
      </c>
      <c r="AB148" s="127"/>
      <c r="AC148" s="12">
        <f t="shared" ca="1" si="62"/>
        <v>0</v>
      </c>
      <c r="AD148" s="140"/>
      <c r="AE148" s="140"/>
      <c r="AF148" s="140"/>
      <c r="AG148" s="140"/>
      <c r="AH148" s="113"/>
      <c r="AI148" s="136"/>
      <c r="AJ148" s="136"/>
    </row>
    <row r="149" spans="1:36" x14ac:dyDescent="0.25">
      <c r="A149" s="137">
        <v>45256</v>
      </c>
      <c r="B149" s="2">
        <f>B5</f>
        <v>0</v>
      </c>
      <c r="C149" s="126">
        <f ca="1">IF(TODAY()=$A$149,C5*D5*E5,C149)</f>
        <v>0</v>
      </c>
      <c r="D149" s="127"/>
      <c r="E149" s="13">
        <f ca="1">IF(TODAY()=$A$149,E5,E149)</f>
        <v>0</v>
      </c>
      <c r="F149" s="2">
        <f>F5</f>
        <v>0</v>
      </c>
      <c r="G149" s="126">
        <f ca="1">IF(TODAY()=$A$149,G5*H5*I5,G149)</f>
        <v>0</v>
      </c>
      <c r="H149" s="127"/>
      <c r="I149" s="12">
        <f ca="1">IF(TODAY()=$A$149,I5,I149)</f>
        <v>0</v>
      </c>
      <c r="J149" s="2">
        <f>J5</f>
        <v>0</v>
      </c>
      <c r="K149" s="126">
        <f ca="1">IF(TODAY()=$A$149,K5*L5*M5,K149)</f>
        <v>0</v>
      </c>
      <c r="L149" s="127"/>
      <c r="M149" s="12">
        <f ca="1">IF(TODAY()=$A$149,M5,M149)</f>
        <v>0</v>
      </c>
      <c r="N149" s="2">
        <f>N5</f>
        <v>0</v>
      </c>
      <c r="O149" s="126">
        <f ca="1">IF(TODAY()=$A$149,O5*P5*Q5,O149)</f>
        <v>0</v>
      </c>
      <c r="P149" s="127"/>
      <c r="Q149" s="12"/>
      <c r="R149" s="2">
        <f>R5</f>
        <v>0</v>
      </c>
      <c r="S149" s="126">
        <f ca="1">IF(TODAY()=$A$149,S5*T5*U5,S149)</f>
        <v>0</v>
      </c>
      <c r="T149" s="127"/>
      <c r="U149" s="13">
        <f ca="1">IF(TODAY()=$A$149,U5,U149)</f>
        <v>0</v>
      </c>
      <c r="V149" s="2">
        <f>V5</f>
        <v>0</v>
      </c>
      <c r="W149" s="126">
        <f ca="1">IF(TODAY()=$A$149,W5*X5*Y5,W149)</f>
        <v>0</v>
      </c>
      <c r="X149" s="127"/>
      <c r="Y149" s="12">
        <f ca="1">IF(TODAY()=$A$149,Y5,Y149)</f>
        <v>0</v>
      </c>
      <c r="Z149" s="2">
        <f>Z5</f>
        <v>0</v>
      </c>
      <c r="AA149" s="126">
        <f ca="1">IF(TODAY()=$A$149,AA5*AB5*AC5,AA149)</f>
        <v>0</v>
      </c>
      <c r="AB149" s="127"/>
      <c r="AC149" s="12">
        <f ca="1">IF(TODAY()=$A$149,AC5,AC149)</f>
        <v>0</v>
      </c>
      <c r="AD149" s="139">
        <f ca="1">SUM(C149:E183,G149:I183,K149:M183,O149:Q183,S149:U183,W149:Y183,AA149:AC183)</f>
        <v>0</v>
      </c>
      <c r="AE149" s="139"/>
      <c r="AF149" s="139"/>
      <c r="AG149" s="139"/>
      <c r="AH149" s="112" t="e">
        <f t="shared" ref="AH149" ca="1" si="63">(AD149-AD114)/AD114</f>
        <v>#DIV/0!</v>
      </c>
      <c r="AI149" s="135"/>
      <c r="AJ149" s="135"/>
    </row>
    <row r="150" spans="1:36" x14ac:dyDescent="0.25">
      <c r="A150" s="137"/>
      <c r="B150" s="2">
        <f t="shared" ref="B150:B183" si="64">B6</f>
        <v>0</v>
      </c>
      <c r="C150" s="126">
        <f t="shared" ref="C150:C183" ca="1" si="65">IF(TODAY()=$A$149,C6*D6*E6,C150)</f>
        <v>0</v>
      </c>
      <c r="D150" s="127"/>
      <c r="E150" s="13">
        <f t="shared" ref="E150:E183" ca="1" si="66">IF(TODAY()=$A$149,E6,E150)</f>
        <v>0</v>
      </c>
      <c r="F150" s="2">
        <f t="shared" ref="F150:F183" si="67">F6</f>
        <v>0</v>
      </c>
      <c r="G150" s="126">
        <f t="shared" ref="G150:G183" ca="1" si="68">IF(TODAY()=$A$149,G6*H6*I6,G150)</f>
        <v>0</v>
      </c>
      <c r="H150" s="127"/>
      <c r="I150" s="12">
        <f t="shared" ref="I150:I183" ca="1" si="69">IF(TODAY()=$A$149,I6,I150)</f>
        <v>0</v>
      </c>
      <c r="J150" s="2">
        <f t="shared" ref="J150:J183" si="70">J6</f>
        <v>0</v>
      </c>
      <c r="K150" s="126">
        <f t="shared" ref="K150:K183" ca="1" si="71">IF(TODAY()=$A$149,K6*L6*M6,K150)</f>
        <v>0</v>
      </c>
      <c r="L150" s="127"/>
      <c r="M150" s="12"/>
      <c r="N150" s="2">
        <f t="shared" ref="N150:N183" si="72">N6</f>
        <v>0</v>
      </c>
      <c r="O150" s="126">
        <f t="shared" ref="O150:O183" ca="1" si="73">IF(TODAY()=$A$149,O6*P6*Q6,O150)</f>
        <v>0</v>
      </c>
      <c r="P150" s="127"/>
      <c r="Q150" s="12">
        <f ca="1">IF(TODAY()=$A$149,Q6,Q150)</f>
        <v>0</v>
      </c>
      <c r="R150" s="2">
        <f t="shared" ref="R150:R183" si="74">R6</f>
        <v>0</v>
      </c>
      <c r="S150" s="126">
        <f t="shared" ref="S150:S183" ca="1" si="75">IF(TODAY()=$A$149,S6*T6*U6,S150)</f>
        <v>0</v>
      </c>
      <c r="T150" s="127"/>
      <c r="U150" s="13">
        <f t="shared" ref="U150:U183" ca="1" si="76">IF(TODAY()=$A$149,U6,U150)</f>
        <v>0</v>
      </c>
      <c r="V150" s="2">
        <f t="shared" ref="V150:V183" si="77">V6</f>
        <v>0</v>
      </c>
      <c r="W150" s="126">
        <f t="shared" ref="W150:W183" ca="1" si="78">IF(TODAY()=$A$149,W6*X6*Y6,W150)</f>
        <v>0</v>
      </c>
      <c r="X150" s="127"/>
      <c r="Y150" s="12">
        <f t="shared" ref="Y150:Y183" ca="1" si="79">IF(TODAY()=$A$149,Y6,Y150)</f>
        <v>0</v>
      </c>
      <c r="Z150" s="2">
        <f t="shared" ref="Z150:Z183" si="80">Z6</f>
        <v>0</v>
      </c>
      <c r="AA150" s="126">
        <f t="shared" ref="AA150:AA183" ca="1" si="81">IF(TODAY()=$A$149,AA6*AB6*AC6,AA150)</f>
        <v>0</v>
      </c>
      <c r="AB150" s="127"/>
      <c r="AC150" s="12">
        <f t="shared" ref="AC150:AC183" ca="1" si="82">IF(TODAY()=$A$149,AC6,AC150)</f>
        <v>0</v>
      </c>
      <c r="AD150" s="140"/>
      <c r="AE150" s="140"/>
      <c r="AF150" s="140"/>
      <c r="AG150" s="140"/>
      <c r="AH150" s="113"/>
      <c r="AI150" s="136"/>
      <c r="AJ150" s="136"/>
    </row>
    <row r="151" spans="1:36" x14ac:dyDescent="0.25">
      <c r="A151" s="137"/>
      <c r="B151" s="2">
        <f t="shared" si="64"/>
        <v>0</v>
      </c>
      <c r="C151" s="126">
        <f t="shared" ca="1" si="65"/>
        <v>0</v>
      </c>
      <c r="D151" s="127"/>
      <c r="E151" s="13">
        <f t="shared" ca="1" si="66"/>
        <v>0</v>
      </c>
      <c r="F151" s="2">
        <f t="shared" si="67"/>
        <v>0</v>
      </c>
      <c r="G151" s="126">
        <f t="shared" ca="1" si="68"/>
        <v>0</v>
      </c>
      <c r="H151" s="127"/>
      <c r="I151" s="12">
        <f t="shared" ca="1" si="69"/>
        <v>0</v>
      </c>
      <c r="J151" s="2">
        <f t="shared" si="70"/>
        <v>0</v>
      </c>
      <c r="K151" s="126">
        <f t="shared" ca="1" si="71"/>
        <v>0</v>
      </c>
      <c r="L151" s="127"/>
      <c r="M151" s="12"/>
      <c r="N151" s="2">
        <f t="shared" si="72"/>
        <v>0</v>
      </c>
      <c r="O151" s="126">
        <f t="shared" ca="1" si="73"/>
        <v>0</v>
      </c>
      <c r="P151" s="127"/>
      <c r="Q151" s="12">
        <f t="shared" ref="Q151:Q183" ca="1" si="83">IF(TODAY()=$A$149,Q7,Q151)</f>
        <v>0</v>
      </c>
      <c r="R151" s="2">
        <f t="shared" si="74"/>
        <v>0</v>
      </c>
      <c r="S151" s="126">
        <f t="shared" ca="1" si="75"/>
        <v>0</v>
      </c>
      <c r="T151" s="127"/>
      <c r="U151" s="13">
        <f t="shared" ca="1" si="76"/>
        <v>0</v>
      </c>
      <c r="V151" s="2">
        <f t="shared" si="77"/>
        <v>0</v>
      </c>
      <c r="W151" s="126">
        <f t="shared" ca="1" si="78"/>
        <v>0</v>
      </c>
      <c r="X151" s="127"/>
      <c r="Y151" s="12">
        <f t="shared" ca="1" si="79"/>
        <v>0</v>
      </c>
      <c r="Z151" s="2">
        <f t="shared" si="80"/>
        <v>0</v>
      </c>
      <c r="AA151" s="126">
        <f t="shared" ca="1" si="81"/>
        <v>0</v>
      </c>
      <c r="AB151" s="127"/>
      <c r="AC151" s="12">
        <f t="shared" ca="1" si="82"/>
        <v>0</v>
      </c>
      <c r="AD151" s="140"/>
      <c r="AE151" s="140"/>
      <c r="AF151" s="140"/>
      <c r="AG151" s="140"/>
      <c r="AH151" s="113"/>
      <c r="AI151" s="136"/>
      <c r="AJ151" s="136"/>
    </row>
    <row r="152" spans="1:36" x14ac:dyDescent="0.25">
      <c r="A152" s="137"/>
      <c r="B152" s="2">
        <f t="shared" si="64"/>
        <v>0</v>
      </c>
      <c r="C152" s="126">
        <f t="shared" ca="1" si="65"/>
        <v>0</v>
      </c>
      <c r="D152" s="127"/>
      <c r="E152" s="13">
        <f t="shared" ca="1" si="66"/>
        <v>0</v>
      </c>
      <c r="F152" s="2">
        <f t="shared" si="67"/>
        <v>0</v>
      </c>
      <c r="G152" s="126">
        <f t="shared" ca="1" si="68"/>
        <v>0</v>
      </c>
      <c r="H152" s="127"/>
      <c r="I152" s="12">
        <f t="shared" ca="1" si="69"/>
        <v>0</v>
      </c>
      <c r="J152" s="2">
        <f t="shared" si="70"/>
        <v>0</v>
      </c>
      <c r="K152" s="126">
        <f t="shared" ca="1" si="71"/>
        <v>0</v>
      </c>
      <c r="L152" s="127"/>
      <c r="M152" s="12"/>
      <c r="N152" s="2">
        <f t="shared" si="72"/>
        <v>0</v>
      </c>
      <c r="O152" s="126">
        <f t="shared" ca="1" si="73"/>
        <v>0</v>
      </c>
      <c r="P152" s="127"/>
      <c r="Q152" s="12">
        <f t="shared" ca="1" si="83"/>
        <v>0</v>
      </c>
      <c r="R152" s="2">
        <f t="shared" si="74"/>
        <v>0</v>
      </c>
      <c r="S152" s="126">
        <f t="shared" ca="1" si="75"/>
        <v>0</v>
      </c>
      <c r="T152" s="127"/>
      <c r="U152" s="13">
        <f t="shared" ca="1" si="76"/>
        <v>0</v>
      </c>
      <c r="V152" s="2">
        <f t="shared" si="77"/>
        <v>0</v>
      </c>
      <c r="W152" s="126">
        <f t="shared" ca="1" si="78"/>
        <v>0</v>
      </c>
      <c r="X152" s="127"/>
      <c r="Y152" s="12">
        <f t="shared" ca="1" si="79"/>
        <v>0</v>
      </c>
      <c r="Z152" s="2">
        <f t="shared" si="80"/>
        <v>0</v>
      </c>
      <c r="AA152" s="126">
        <f t="shared" ca="1" si="81"/>
        <v>0</v>
      </c>
      <c r="AB152" s="127"/>
      <c r="AC152" s="12">
        <f t="shared" ca="1" si="82"/>
        <v>0</v>
      </c>
      <c r="AD152" s="140"/>
      <c r="AE152" s="140"/>
      <c r="AF152" s="140"/>
      <c r="AG152" s="140"/>
      <c r="AH152" s="113"/>
      <c r="AI152" s="136"/>
      <c r="AJ152" s="136"/>
    </row>
    <row r="153" spans="1:36" x14ac:dyDescent="0.25">
      <c r="A153" s="137"/>
      <c r="B153" s="2">
        <f t="shared" si="64"/>
        <v>0</v>
      </c>
      <c r="C153" s="126">
        <f ca="1">IF(TODAY()=$A$149,C9*D9*E9,C153)</f>
        <v>0</v>
      </c>
      <c r="D153" s="127"/>
      <c r="E153" s="13">
        <f t="shared" ca="1" si="66"/>
        <v>0</v>
      </c>
      <c r="F153" s="2">
        <f t="shared" si="67"/>
        <v>0</v>
      </c>
      <c r="G153" s="126">
        <f t="shared" ca="1" si="68"/>
        <v>0</v>
      </c>
      <c r="H153" s="127"/>
      <c r="I153" s="12">
        <f t="shared" ca="1" si="69"/>
        <v>0</v>
      </c>
      <c r="J153" s="2">
        <f t="shared" si="70"/>
        <v>0</v>
      </c>
      <c r="K153" s="126">
        <f t="shared" ca="1" si="71"/>
        <v>0</v>
      </c>
      <c r="L153" s="127"/>
      <c r="M153" s="12"/>
      <c r="N153" s="2">
        <f t="shared" si="72"/>
        <v>0</v>
      </c>
      <c r="O153" s="126">
        <f t="shared" ca="1" si="73"/>
        <v>0</v>
      </c>
      <c r="P153" s="127"/>
      <c r="Q153" s="12">
        <f t="shared" ca="1" si="83"/>
        <v>0</v>
      </c>
      <c r="R153" s="2">
        <f t="shared" si="74"/>
        <v>0</v>
      </c>
      <c r="S153" s="126">
        <f t="shared" ca="1" si="75"/>
        <v>0</v>
      </c>
      <c r="T153" s="127"/>
      <c r="U153" s="13">
        <f t="shared" ca="1" si="76"/>
        <v>0</v>
      </c>
      <c r="V153" s="2">
        <f t="shared" si="77"/>
        <v>0</v>
      </c>
      <c r="W153" s="126">
        <f t="shared" ca="1" si="78"/>
        <v>0</v>
      </c>
      <c r="X153" s="127"/>
      <c r="Y153" s="12">
        <f t="shared" ca="1" si="79"/>
        <v>0</v>
      </c>
      <c r="Z153" s="2">
        <f t="shared" si="80"/>
        <v>0</v>
      </c>
      <c r="AA153" s="126">
        <f t="shared" ca="1" si="81"/>
        <v>0</v>
      </c>
      <c r="AB153" s="127"/>
      <c r="AC153" s="12">
        <f t="shared" ca="1" si="82"/>
        <v>0</v>
      </c>
      <c r="AD153" s="140"/>
      <c r="AE153" s="140"/>
      <c r="AF153" s="140"/>
      <c r="AG153" s="140"/>
      <c r="AH153" s="113"/>
      <c r="AI153" s="136"/>
      <c r="AJ153" s="136"/>
    </row>
    <row r="154" spans="1:36" x14ac:dyDescent="0.25">
      <c r="A154" s="137"/>
      <c r="B154" s="2">
        <f t="shared" si="64"/>
        <v>0</v>
      </c>
      <c r="C154" s="126">
        <f t="shared" ca="1" si="65"/>
        <v>0</v>
      </c>
      <c r="D154" s="127"/>
      <c r="E154" s="13">
        <f t="shared" ca="1" si="66"/>
        <v>0</v>
      </c>
      <c r="F154" s="2">
        <f t="shared" si="67"/>
        <v>0</v>
      </c>
      <c r="G154" s="126">
        <f t="shared" ca="1" si="68"/>
        <v>0</v>
      </c>
      <c r="H154" s="127"/>
      <c r="I154" s="12">
        <f t="shared" ca="1" si="69"/>
        <v>0</v>
      </c>
      <c r="J154" s="2">
        <f t="shared" si="70"/>
        <v>0</v>
      </c>
      <c r="K154" s="126">
        <f t="shared" ca="1" si="71"/>
        <v>0</v>
      </c>
      <c r="L154" s="127"/>
      <c r="M154" s="12"/>
      <c r="N154" s="2">
        <f t="shared" si="72"/>
        <v>0</v>
      </c>
      <c r="O154" s="126">
        <f ca="1">IF(TODAY()=$A$149,O10*P10*Q10,O154)</f>
        <v>0</v>
      </c>
      <c r="P154" s="127"/>
      <c r="Q154" s="12">
        <f t="shared" ca="1" si="83"/>
        <v>0</v>
      </c>
      <c r="R154" s="2">
        <f t="shared" si="74"/>
        <v>0</v>
      </c>
      <c r="S154" s="126">
        <f t="shared" ca="1" si="75"/>
        <v>0</v>
      </c>
      <c r="T154" s="127"/>
      <c r="U154" s="13">
        <f t="shared" ca="1" si="76"/>
        <v>0</v>
      </c>
      <c r="V154" s="2">
        <f t="shared" si="77"/>
        <v>0</v>
      </c>
      <c r="W154" s="126">
        <f t="shared" ca="1" si="78"/>
        <v>0</v>
      </c>
      <c r="X154" s="127"/>
      <c r="Y154" s="12">
        <f t="shared" ca="1" si="79"/>
        <v>0</v>
      </c>
      <c r="Z154" s="2">
        <f t="shared" si="80"/>
        <v>0</v>
      </c>
      <c r="AA154" s="126">
        <f t="shared" ca="1" si="81"/>
        <v>0</v>
      </c>
      <c r="AB154" s="127"/>
      <c r="AC154" s="12">
        <f t="shared" ca="1" si="82"/>
        <v>0</v>
      </c>
      <c r="AD154" s="140"/>
      <c r="AE154" s="140"/>
      <c r="AF154" s="140"/>
      <c r="AG154" s="140"/>
      <c r="AH154" s="113"/>
      <c r="AI154" s="136"/>
      <c r="AJ154" s="136"/>
    </row>
    <row r="155" spans="1:36" x14ac:dyDescent="0.25">
      <c r="A155" s="137"/>
      <c r="B155" s="2">
        <f t="shared" si="64"/>
        <v>0</v>
      </c>
      <c r="C155" s="126">
        <f t="shared" ca="1" si="65"/>
        <v>0</v>
      </c>
      <c r="D155" s="127"/>
      <c r="E155" s="13">
        <f t="shared" ca="1" si="66"/>
        <v>0</v>
      </c>
      <c r="F155" s="2">
        <f t="shared" si="67"/>
        <v>0</v>
      </c>
      <c r="G155" s="126">
        <f t="shared" ca="1" si="68"/>
        <v>0</v>
      </c>
      <c r="H155" s="127"/>
      <c r="I155" s="12">
        <f t="shared" ca="1" si="69"/>
        <v>0</v>
      </c>
      <c r="J155" s="2">
        <f t="shared" si="70"/>
        <v>0</v>
      </c>
      <c r="K155" s="126">
        <f t="shared" ca="1" si="71"/>
        <v>0</v>
      </c>
      <c r="L155" s="127"/>
      <c r="M155" s="12"/>
      <c r="N155" s="2">
        <f t="shared" si="72"/>
        <v>0</v>
      </c>
      <c r="O155" s="126">
        <f t="shared" ca="1" si="73"/>
        <v>0</v>
      </c>
      <c r="P155" s="127"/>
      <c r="Q155" s="12">
        <f t="shared" ca="1" si="83"/>
        <v>0</v>
      </c>
      <c r="R155" s="2">
        <f t="shared" si="74"/>
        <v>0</v>
      </c>
      <c r="S155" s="126">
        <f t="shared" ca="1" si="75"/>
        <v>0</v>
      </c>
      <c r="T155" s="127"/>
      <c r="U155" s="13">
        <f t="shared" ca="1" si="76"/>
        <v>0</v>
      </c>
      <c r="V155" s="2">
        <f t="shared" si="77"/>
        <v>0</v>
      </c>
      <c r="W155" s="126">
        <f t="shared" ca="1" si="78"/>
        <v>0</v>
      </c>
      <c r="X155" s="127"/>
      <c r="Y155" s="12">
        <f t="shared" ca="1" si="79"/>
        <v>0</v>
      </c>
      <c r="Z155" s="2">
        <f t="shared" si="80"/>
        <v>0</v>
      </c>
      <c r="AA155" s="126">
        <f t="shared" ca="1" si="81"/>
        <v>0</v>
      </c>
      <c r="AB155" s="127"/>
      <c r="AC155" s="12">
        <f t="shared" ca="1" si="82"/>
        <v>0</v>
      </c>
      <c r="AD155" s="140"/>
      <c r="AE155" s="140"/>
      <c r="AF155" s="140"/>
      <c r="AG155" s="140"/>
      <c r="AH155" s="113"/>
      <c r="AI155" s="136"/>
      <c r="AJ155" s="136"/>
    </row>
    <row r="156" spans="1:36" x14ac:dyDescent="0.25">
      <c r="A156" s="137"/>
      <c r="B156" s="2">
        <f t="shared" si="64"/>
        <v>0</v>
      </c>
      <c r="C156" s="126">
        <f t="shared" ca="1" si="65"/>
        <v>0</v>
      </c>
      <c r="D156" s="127"/>
      <c r="E156" s="13">
        <f t="shared" ca="1" si="66"/>
        <v>0</v>
      </c>
      <c r="F156" s="2">
        <f t="shared" si="67"/>
        <v>0</v>
      </c>
      <c r="G156" s="126">
        <f t="shared" ca="1" si="68"/>
        <v>0</v>
      </c>
      <c r="H156" s="127"/>
      <c r="I156" s="12">
        <f t="shared" ca="1" si="69"/>
        <v>0</v>
      </c>
      <c r="J156" s="2">
        <f t="shared" si="70"/>
        <v>0</v>
      </c>
      <c r="K156" s="126">
        <f t="shared" ca="1" si="71"/>
        <v>0</v>
      </c>
      <c r="L156" s="127"/>
      <c r="M156" s="12"/>
      <c r="N156" s="2">
        <f t="shared" si="72"/>
        <v>0</v>
      </c>
      <c r="O156" s="126">
        <f t="shared" ca="1" si="73"/>
        <v>0</v>
      </c>
      <c r="P156" s="127"/>
      <c r="Q156" s="12">
        <f t="shared" ca="1" si="83"/>
        <v>0</v>
      </c>
      <c r="R156" s="2">
        <f t="shared" si="74"/>
        <v>0</v>
      </c>
      <c r="S156" s="126">
        <f t="shared" ca="1" si="75"/>
        <v>0</v>
      </c>
      <c r="T156" s="127"/>
      <c r="U156" s="13">
        <f t="shared" ca="1" si="76"/>
        <v>0</v>
      </c>
      <c r="V156" s="2">
        <f t="shared" si="77"/>
        <v>0</v>
      </c>
      <c r="W156" s="126">
        <f t="shared" ca="1" si="78"/>
        <v>0</v>
      </c>
      <c r="X156" s="127"/>
      <c r="Y156" s="12">
        <f t="shared" ca="1" si="79"/>
        <v>0</v>
      </c>
      <c r="Z156" s="2">
        <f t="shared" si="80"/>
        <v>0</v>
      </c>
      <c r="AA156" s="126">
        <f t="shared" ca="1" si="81"/>
        <v>0</v>
      </c>
      <c r="AB156" s="127"/>
      <c r="AC156" s="12">
        <f t="shared" ca="1" si="82"/>
        <v>0</v>
      </c>
      <c r="AD156" s="140"/>
      <c r="AE156" s="140"/>
      <c r="AF156" s="140"/>
      <c r="AG156" s="140"/>
      <c r="AH156" s="113"/>
      <c r="AI156" s="136"/>
      <c r="AJ156" s="136"/>
    </row>
    <row r="157" spans="1:36" x14ac:dyDescent="0.25">
      <c r="A157" s="137"/>
      <c r="B157" s="2">
        <f t="shared" si="64"/>
        <v>0</v>
      </c>
      <c r="C157" s="126">
        <f t="shared" ca="1" si="65"/>
        <v>0</v>
      </c>
      <c r="D157" s="127"/>
      <c r="E157" s="13">
        <f t="shared" ca="1" si="66"/>
        <v>0</v>
      </c>
      <c r="F157" s="2">
        <f t="shared" si="67"/>
        <v>0</v>
      </c>
      <c r="G157" s="126">
        <f t="shared" ca="1" si="68"/>
        <v>0</v>
      </c>
      <c r="H157" s="127"/>
      <c r="I157" s="12">
        <f t="shared" ca="1" si="69"/>
        <v>0</v>
      </c>
      <c r="J157" s="2">
        <f t="shared" si="70"/>
        <v>0</v>
      </c>
      <c r="K157" s="126">
        <f t="shared" ca="1" si="71"/>
        <v>0</v>
      </c>
      <c r="L157" s="127"/>
      <c r="M157" s="12"/>
      <c r="N157" s="2">
        <f t="shared" si="72"/>
        <v>0</v>
      </c>
      <c r="O157" s="126">
        <f t="shared" ca="1" si="73"/>
        <v>0</v>
      </c>
      <c r="P157" s="127"/>
      <c r="Q157" s="12">
        <f t="shared" ca="1" si="83"/>
        <v>0</v>
      </c>
      <c r="R157" s="2">
        <f t="shared" si="74"/>
        <v>0</v>
      </c>
      <c r="S157" s="126">
        <f t="shared" ca="1" si="75"/>
        <v>0</v>
      </c>
      <c r="T157" s="127"/>
      <c r="U157" s="13">
        <f t="shared" ca="1" si="76"/>
        <v>0</v>
      </c>
      <c r="V157" s="2">
        <f t="shared" si="77"/>
        <v>0</v>
      </c>
      <c r="W157" s="126">
        <f t="shared" ca="1" si="78"/>
        <v>0</v>
      </c>
      <c r="X157" s="127"/>
      <c r="Y157" s="12">
        <f t="shared" ca="1" si="79"/>
        <v>0</v>
      </c>
      <c r="Z157" s="2">
        <f t="shared" si="80"/>
        <v>0</v>
      </c>
      <c r="AA157" s="126">
        <f t="shared" ca="1" si="81"/>
        <v>0</v>
      </c>
      <c r="AB157" s="127"/>
      <c r="AC157" s="12">
        <f t="shared" ca="1" si="82"/>
        <v>0</v>
      </c>
      <c r="AD157" s="140"/>
      <c r="AE157" s="140"/>
      <c r="AF157" s="140"/>
      <c r="AG157" s="140"/>
      <c r="AH157" s="113"/>
      <c r="AI157" s="136"/>
      <c r="AJ157" s="136"/>
    </row>
    <row r="158" spans="1:36" x14ac:dyDescent="0.25">
      <c r="A158" s="137"/>
      <c r="B158" s="2">
        <f t="shared" si="64"/>
        <v>0</v>
      </c>
      <c r="C158" s="126">
        <f t="shared" ca="1" si="65"/>
        <v>0</v>
      </c>
      <c r="D158" s="127"/>
      <c r="E158" s="13">
        <f t="shared" ca="1" si="66"/>
        <v>0</v>
      </c>
      <c r="F158" s="2">
        <f t="shared" si="67"/>
        <v>0</v>
      </c>
      <c r="G158" s="126">
        <f t="shared" ca="1" si="68"/>
        <v>0</v>
      </c>
      <c r="H158" s="127"/>
      <c r="I158" s="12">
        <f t="shared" ca="1" si="69"/>
        <v>0</v>
      </c>
      <c r="J158" s="2">
        <f t="shared" si="70"/>
        <v>0</v>
      </c>
      <c r="K158" s="126">
        <f t="shared" ca="1" si="71"/>
        <v>0</v>
      </c>
      <c r="L158" s="127"/>
      <c r="M158" s="12"/>
      <c r="N158" s="2">
        <f t="shared" si="72"/>
        <v>0</v>
      </c>
      <c r="O158" s="126">
        <f t="shared" ca="1" si="73"/>
        <v>0</v>
      </c>
      <c r="P158" s="127"/>
      <c r="Q158" s="12">
        <f t="shared" ca="1" si="83"/>
        <v>0</v>
      </c>
      <c r="R158" s="2">
        <f t="shared" si="74"/>
        <v>0</v>
      </c>
      <c r="S158" s="126">
        <f t="shared" ca="1" si="75"/>
        <v>0</v>
      </c>
      <c r="T158" s="127"/>
      <c r="U158" s="13">
        <f t="shared" ca="1" si="76"/>
        <v>0</v>
      </c>
      <c r="V158" s="2">
        <f t="shared" si="77"/>
        <v>0</v>
      </c>
      <c r="W158" s="126">
        <f t="shared" ca="1" si="78"/>
        <v>0</v>
      </c>
      <c r="X158" s="127"/>
      <c r="Y158" s="12">
        <f t="shared" ca="1" si="79"/>
        <v>0</v>
      </c>
      <c r="Z158" s="2">
        <f t="shared" si="80"/>
        <v>0</v>
      </c>
      <c r="AA158" s="126">
        <f t="shared" ca="1" si="81"/>
        <v>0</v>
      </c>
      <c r="AB158" s="127"/>
      <c r="AC158" s="12">
        <f t="shared" ca="1" si="82"/>
        <v>0</v>
      </c>
      <c r="AD158" s="140"/>
      <c r="AE158" s="140"/>
      <c r="AF158" s="140"/>
      <c r="AG158" s="140"/>
      <c r="AH158" s="113"/>
      <c r="AI158" s="136"/>
      <c r="AJ158" s="136"/>
    </row>
    <row r="159" spans="1:36" x14ac:dyDescent="0.25">
      <c r="A159" s="137"/>
      <c r="B159" s="2">
        <f t="shared" si="64"/>
        <v>0</v>
      </c>
      <c r="C159" s="126">
        <f t="shared" ca="1" si="65"/>
        <v>0</v>
      </c>
      <c r="D159" s="127"/>
      <c r="E159" s="13">
        <f t="shared" ca="1" si="66"/>
        <v>0</v>
      </c>
      <c r="F159" s="2">
        <f t="shared" si="67"/>
        <v>0</v>
      </c>
      <c r="G159" s="126">
        <f t="shared" ca="1" si="68"/>
        <v>0</v>
      </c>
      <c r="H159" s="127"/>
      <c r="I159" s="12">
        <f t="shared" ca="1" si="69"/>
        <v>0</v>
      </c>
      <c r="J159" s="2">
        <f t="shared" si="70"/>
        <v>0</v>
      </c>
      <c r="K159" s="126">
        <f t="shared" ca="1" si="71"/>
        <v>0</v>
      </c>
      <c r="L159" s="127"/>
      <c r="M159" s="12"/>
      <c r="N159" s="2">
        <f t="shared" si="72"/>
        <v>0</v>
      </c>
      <c r="O159" s="126">
        <f t="shared" ca="1" si="73"/>
        <v>0</v>
      </c>
      <c r="P159" s="127"/>
      <c r="Q159" s="12">
        <f t="shared" ca="1" si="83"/>
        <v>0</v>
      </c>
      <c r="R159" s="2">
        <f t="shared" si="74"/>
        <v>0</v>
      </c>
      <c r="S159" s="126">
        <f t="shared" ca="1" si="75"/>
        <v>0</v>
      </c>
      <c r="T159" s="127"/>
      <c r="U159" s="13">
        <f t="shared" ca="1" si="76"/>
        <v>0</v>
      </c>
      <c r="V159" s="2">
        <f t="shared" si="77"/>
        <v>0</v>
      </c>
      <c r="W159" s="126">
        <f t="shared" ca="1" si="78"/>
        <v>0</v>
      </c>
      <c r="X159" s="127"/>
      <c r="Y159" s="12">
        <f t="shared" ca="1" si="79"/>
        <v>0</v>
      </c>
      <c r="Z159" s="2">
        <f t="shared" si="80"/>
        <v>0</v>
      </c>
      <c r="AA159" s="126">
        <f t="shared" ca="1" si="81"/>
        <v>0</v>
      </c>
      <c r="AB159" s="127"/>
      <c r="AC159" s="12">
        <f t="shared" ca="1" si="82"/>
        <v>0</v>
      </c>
      <c r="AD159" s="140"/>
      <c r="AE159" s="140"/>
      <c r="AF159" s="140"/>
      <c r="AG159" s="140"/>
      <c r="AH159" s="113"/>
      <c r="AI159" s="136"/>
      <c r="AJ159" s="136"/>
    </row>
    <row r="160" spans="1:36" x14ac:dyDescent="0.25">
      <c r="A160" s="137"/>
      <c r="B160" s="2">
        <f t="shared" si="64"/>
        <v>0</v>
      </c>
      <c r="C160" s="126">
        <f t="shared" ca="1" si="65"/>
        <v>0</v>
      </c>
      <c r="D160" s="127"/>
      <c r="E160" s="13">
        <f t="shared" ca="1" si="66"/>
        <v>0</v>
      </c>
      <c r="F160" s="2">
        <f t="shared" si="67"/>
        <v>0</v>
      </c>
      <c r="G160" s="126">
        <f t="shared" ca="1" si="68"/>
        <v>0</v>
      </c>
      <c r="H160" s="127"/>
      <c r="I160" s="12">
        <f t="shared" ca="1" si="69"/>
        <v>0</v>
      </c>
      <c r="J160" s="2">
        <f t="shared" si="70"/>
        <v>0</v>
      </c>
      <c r="K160" s="126">
        <f t="shared" ca="1" si="71"/>
        <v>0</v>
      </c>
      <c r="L160" s="127"/>
      <c r="M160" s="12"/>
      <c r="N160" s="2">
        <f t="shared" si="72"/>
        <v>0</v>
      </c>
      <c r="O160" s="126">
        <f t="shared" ca="1" si="73"/>
        <v>0</v>
      </c>
      <c r="P160" s="127"/>
      <c r="Q160" s="12">
        <f t="shared" ca="1" si="83"/>
        <v>0</v>
      </c>
      <c r="R160" s="2">
        <f t="shared" si="74"/>
        <v>0</v>
      </c>
      <c r="S160" s="126">
        <f t="shared" ca="1" si="75"/>
        <v>0</v>
      </c>
      <c r="T160" s="127"/>
      <c r="U160" s="13">
        <f t="shared" ca="1" si="76"/>
        <v>0</v>
      </c>
      <c r="V160" s="2">
        <f t="shared" si="77"/>
        <v>0</v>
      </c>
      <c r="W160" s="126">
        <f t="shared" ca="1" si="78"/>
        <v>0</v>
      </c>
      <c r="X160" s="127"/>
      <c r="Y160" s="12">
        <f t="shared" ca="1" si="79"/>
        <v>0</v>
      </c>
      <c r="Z160" s="2">
        <f t="shared" si="80"/>
        <v>0</v>
      </c>
      <c r="AA160" s="126">
        <f t="shared" ca="1" si="81"/>
        <v>0</v>
      </c>
      <c r="AB160" s="127"/>
      <c r="AC160" s="12">
        <f t="shared" ca="1" si="82"/>
        <v>0</v>
      </c>
      <c r="AD160" s="140"/>
      <c r="AE160" s="140"/>
      <c r="AF160" s="140"/>
      <c r="AG160" s="140"/>
      <c r="AH160" s="113"/>
      <c r="AI160" s="136"/>
      <c r="AJ160" s="136"/>
    </row>
    <row r="161" spans="1:36" x14ac:dyDescent="0.25">
      <c r="A161" s="137"/>
      <c r="B161" s="2">
        <f t="shared" si="64"/>
        <v>0</v>
      </c>
      <c r="C161" s="126">
        <f t="shared" ca="1" si="65"/>
        <v>0</v>
      </c>
      <c r="D161" s="127"/>
      <c r="E161" s="13">
        <f t="shared" ca="1" si="66"/>
        <v>0</v>
      </c>
      <c r="F161" s="2">
        <f t="shared" si="67"/>
        <v>0</v>
      </c>
      <c r="G161" s="126">
        <f t="shared" ca="1" si="68"/>
        <v>0</v>
      </c>
      <c r="H161" s="127"/>
      <c r="I161" s="12">
        <f t="shared" ca="1" si="69"/>
        <v>0</v>
      </c>
      <c r="J161" s="2">
        <f t="shared" si="70"/>
        <v>0</v>
      </c>
      <c r="K161" s="126">
        <f t="shared" ca="1" si="71"/>
        <v>0</v>
      </c>
      <c r="L161" s="127"/>
      <c r="M161" s="12"/>
      <c r="N161" s="2">
        <f t="shared" si="72"/>
        <v>0</v>
      </c>
      <c r="O161" s="126">
        <f t="shared" ca="1" si="73"/>
        <v>0</v>
      </c>
      <c r="P161" s="127"/>
      <c r="Q161" s="12">
        <f t="shared" ca="1" si="83"/>
        <v>0</v>
      </c>
      <c r="R161" s="2">
        <f t="shared" si="74"/>
        <v>0</v>
      </c>
      <c r="S161" s="126">
        <f t="shared" ca="1" si="75"/>
        <v>0</v>
      </c>
      <c r="T161" s="127"/>
      <c r="U161" s="13">
        <f t="shared" ca="1" si="76"/>
        <v>0</v>
      </c>
      <c r="V161" s="2">
        <f t="shared" si="77"/>
        <v>0</v>
      </c>
      <c r="W161" s="126">
        <f t="shared" ca="1" si="78"/>
        <v>0</v>
      </c>
      <c r="X161" s="127"/>
      <c r="Y161" s="12">
        <f t="shared" ca="1" si="79"/>
        <v>0</v>
      </c>
      <c r="Z161" s="2">
        <f t="shared" si="80"/>
        <v>0</v>
      </c>
      <c r="AA161" s="126">
        <f t="shared" ca="1" si="81"/>
        <v>0</v>
      </c>
      <c r="AB161" s="127"/>
      <c r="AC161" s="12">
        <f t="shared" ca="1" si="82"/>
        <v>0</v>
      </c>
      <c r="AD161" s="140"/>
      <c r="AE161" s="140"/>
      <c r="AF161" s="140"/>
      <c r="AG161" s="140"/>
      <c r="AH161" s="113"/>
      <c r="AI161" s="136"/>
      <c r="AJ161" s="136"/>
    </row>
    <row r="162" spans="1:36" x14ac:dyDescent="0.25">
      <c r="A162" s="137"/>
      <c r="B162" s="2">
        <f t="shared" si="64"/>
        <v>0</v>
      </c>
      <c r="C162" s="126">
        <f t="shared" ca="1" si="65"/>
        <v>0</v>
      </c>
      <c r="D162" s="127"/>
      <c r="E162" s="13">
        <f t="shared" ca="1" si="66"/>
        <v>0</v>
      </c>
      <c r="F162" s="2">
        <f t="shared" si="67"/>
        <v>0</v>
      </c>
      <c r="G162" s="126">
        <f t="shared" ca="1" si="68"/>
        <v>0</v>
      </c>
      <c r="H162" s="127"/>
      <c r="I162" s="12">
        <f t="shared" ca="1" si="69"/>
        <v>0</v>
      </c>
      <c r="J162" s="2">
        <f t="shared" si="70"/>
        <v>0</v>
      </c>
      <c r="K162" s="126">
        <f t="shared" ca="1" si="71"/>
        <v>0</v>
      </c>
      <c r="L162" s="127"/>
      <c r="M162" s="12"/>
      <c r="N162" s="2">
        <f t="shared" si="72"/>
        <v>0</v>
      </c>
      <c r="O162" s="126">
        <f t="shared" ca="1" si="73"/>
        <v>0</v>
      </c>
      <c r="P162" s="127"/>
      <c r="Q162" s="12">
        <f t="shared" ca="1" si="83"/>
        <v>0</v>
      </c>
      <c r="R162" s="2">
        <f t="shared" si="74"/>
        <v>0</v>
      </c>
      <c r="S162" s="126">
        <f t="shared" ca="1" si="75"/>
        <v>0</v>
      </c>
      <c r="T162" s="127"/>
      <c r="U162" s="13">
        <f t="shared" ca="1" si="76"/>
        <v>0</v>
      </c>
      <c r="V162" s="2">
        <f t="shared" si="77"/>
        <v>0</v>
      </c>
      <c r="W162" s="126">
        <f t="shared" ca="1" si="78"/>
        <v>0</v>
      </c>
      <c r="X162" s="127"/>
      <c r="Y162" s="12">
        <f t="shared" ca="1" si="79"/>
        <v>0</v>
      </c>
      <c r="Z162" s="2">
        <f t="shared" si="80"/>
        <v>0</v>
      </c>
      <c r="AA162" s="126">
        <f t="shared" ca="1" si="81"/>
        <v>0</v>
      </c>
      <c r="AB162" s="127"/>
      <c r="AC162" s="12">
        <f t="shared" ca="1" si="82"/>
        <v>0</v>
      </c>
      <c r="AD162" s="140"/>
      <c r="AE162" s="140"/>
      <c r="AF162" s="140"/>
      <c r="AG162" s="140"/>
      <c r="AH162" s="113"/>
      <c r="AI162" s="136"/>
      <c r="AJ162" s="136"/>
    </row>
    <row r="163" spans="1:36" x14ac:dyDescent="0.25">
      <c r="A163" s="137"/>
      <c r="B163" s="2">
        <f t="shared" si="64"/>
        <v>0</v>
      </c>
      <c r="C163" s="126">
        <f t="shared" ca="1" si="65"/>
        <v>0</v>
      </c>
      <c r="D163" s="127"/>
      <c r="E163" s="13">
        <f t="shared" ca="1" si="66"/>
        <v>0</v>
      </c>
      <c r="F163" s="2">
        <f t="shared" si="67"/>
        <v>0</v>
      </c>
      <c r="G163" s="126">
        <f t="shared" ca="1" si="68"/>
        <v>0</v>
      </c>
      <c r="H163" s="127"/>
      <c r="I163" s="12">
        <f t="shared" ca="1" si="69"/>
        <v>0</v>
      </c>
      <c r="J163" s="2">
        <f t="shared" si="70"/>
        <v>0</v>
      </c>
      <c r="K163" s="126">
        <f t="shared" ca="1" si="71"/>
        <v>0</v>
      </c>
      <c r="L163" s="127"/>
      <c r="M163" s="12"/>
      <c r="N163" s="2">
        <f t="shared" si="72"/>
        <v>0</v>
      </c>
      <c r="O163" s="126">
        <f t="shared" ca="1" si="73"/>
        <v>0</v>
      </c>
      <c r="P163" s="127"/>
      <c r="Q163" s="12">
        <f t="shared" ca="1" si="83"/>
        <v>0</v>
      </c>
      <c r="R163" s="2">
        <f t="shared" si="74"/>
        <v>0</v>
      </c>
      <c r="S163" s="126">
        <f t="shared" ca="1" si="75"/>
        <v>0</v>
      </c>
      <c r="T163" s="127"/>
      <c r="U163" s="13">
        <f t="shared" ca="1" si="76"/>
        <v>0</v>
      </c>
      <c r="V163" s="2">
        <f t="shared" si="77"/>
        <v>0</v>
      </c>
      <c r="W163" s="126">
        <f t="shared" ca="1" si="78"/>
        <v>0</v>
      </c>
      <c r="X163" s="127"/>
      <c r="Y163" s="12">
        <f t="shared" ca="1" si="79"/>
        <v>0</v>
      </c>
      <c r="Z163" s="2">
        <f t="shared" si="80"/>
        <v>0</v>
      </c>
      <c r="AA163" s="126">
        <f t="shared" ca="1" si="81"/>
        <v>0</v>
      </c>
      <c r="AB163" s="127"/>
      <c r="AC163" s="12">
        <f t="shared" ca="1" si="82"/>
        <v>0</v>
      </c>
      <c r="AD163" s="140"/>
      <c r="AE163" s="140"/>
      <c r="AF163" s="140"/>
      <c r="AG163" s="140"/>
      <c r="AH163" s="113"/>
      <c r="AI163" s="136"/>
      <c r="AJ163" s="136"/>
    </row>
    <row r="164" spans="1:36" x14ac:dyDescent="0.25">
      <c r="A164" s="137"/>
      <c r="B164" s="2">
        <f t="shared" si="64"/>
        <v>0</v>
      </c>
      <c r="C164" s="126">
        <f t="shared" ca="1" si="65"/>
        <v>0</v>
      </c>
      <c r="D164" s="127"/>
      <c r="E164" s="13">
        <f t="shared" ca="1" si="66"/>
        <v>0</v>
      </c>
      <c r="F164" s="2">
        <f t="shared" si="67"/>
        <v>0</v>
      </c>
      <c r="G164" s="126">
        <f t="shared" ca="1" si="68"/>
        <v>0</v>
      </c>
      <c r="H164" s="127"/>
      <c r="I164" s="12">
        <f t="shared" ca="1" si="69"/>
        <v>0</v>
      </c>
      <c r="J164" s="2">
        <f t="shared" si="70"/>
        <v>0</v>
      </c>
      <c r="K164" s="126">
        <f t="shared" ca="1" si="71"/>
        <v>0</v>
      </c>
      <c r="L164" s="127"/>
      <c r="M164" s="12"/>
      <c r="N164" s="2">
        <f t="shared" si="72"/>
        <v>0</v>
      </c>
      <c r="O164" s="126">
        <f t="shared" ca="1" si="73"/>
        <v>0</v>
      </c>
      <c r="P164" s="127"/>
      <c r="Q164" s="12">
        <f t="shared" ca="1" si="83"/>
        <v>0</v>
      </c>
      <c r="R164" s="2">
        <f t="shared" si="74"/>
        <v>0</v>
      </c>
      <c r="S164" s="126">
        <f t="shared" ca="1" si="75"/>
        <v>0</v>
      </c>
      <c r="T164" s="127"/>
      <c r="U164" s="13">
        <f t="shared" ca="1" si="76"/>
        <v>0</v>
      </c>
      <c r="V164" s="2">
        <f t="shared" si="77"/>
        <v>0</v>
      </c>
      <c r="W164" s="126">
        <f t="shared" ca="1" si="78"/>
        <v>0</v>
      </c>
      <c r="X164" s="127"/>
      <c r="Y164" s="12">
        <f t="shared" ca="1" si="79"/>
        <v>0</v>
      </c>
      <c r="Z164" s="2">
        <f t="shared" si="80"/>
        <v>0</v>
      </c>
      <c r="AA164" s="126">
        <f t="shared" ca="1" si="81"/>
        <v>0</v>
      </c>
      <c r="AB164" s="127"/>
      <c r="AC164" s="12">
        <f t="shared" ca="1" si="82"/>
        <v>0</v>
      </c>
      <c r="AD164" s="140"/>
      <c r="AE164" s="140"/>
      <c r="AF164" s="140"/>
      <c r="AG164" s="140"/>
      <c r="AH164" s="113"/>
      <c r="AI164" s="136"/>
      <c r="AJ164" s="136"/>
    </row>
    <row r="165" spans="1:36" x14ac:dyDescent="0.25">
      <c r="A165" s="137"/>
      <c r="B165" s="2">
        <f t="shared" si="64"/>
        <v>0</v>
      </c>
      <c r="C165" s="126">
        <f t="shared" ca="1" si="65"/>
        <v>0</v>
      </c>
      <c r="D165" s="127"/>
      <c r="E165" s="13">
        <f t="shared" ca="1" si="66"/>
        <v>0</v>
      </c>
      <c r="F165" s="2">
        <f t="shared" si="67"/>
        <v>0</v>
      </c>
      <c r="G165" s="126">
        <f t="shared" ca="1" si="68"/>
        <v>0</v>
      </c>
      <c r="H165" s="127"/>
      <c r="I165" s="12">
        <f t="shared" ca="1" si="69"/>
        <v>0</v>
      </c>
      <c r="J165" s="2">
        <f t="shared" si="70"/>
        <v>0</v>
      </c>
      <c r="K165" s="126">
        <f t="shared" ca="1" si="71"/>
        <v>0</v>
      </c>
      <c r="L165" s="127"/>
      <c r="M165" s="12"/>
      <c r="N165" s="2">
        <f t="shared" si="72"/>
        <v>0</v>
      </c>
      <c r="O165" s="126">
        <f t="shared" ca="1" si="73"/>
        <v>0</v>
      </c>
      <c r="P165" s="127"/>
      <c r="Q165" s="12">
        <f t="shared" ca="1" si="83"/>
        <v>0</v>
      </c>
      <c r="R165" s="2">
        <f t="shared" si="74"/>
        <v>0</v>
      </c>
      <c r="S165" s="126">
        <f t="shared" ca="1" si="75"/>
        <v>0</v>
      </c>
      <c r="T165" s="127"/>
      <c r="U165" s="13">
        <f t="shared" ca="1" si="76"/>
        <v>0</v>
      </c>
      <c r="V165" s="2">
        <f t="shared" si="77"/>
        <v>0</v>
      </c>
      <c r="W165" s="126">
        <f t="shared" ca="1" si="78"/>
        <v>0</v>
      </c>
      <c r="X165" s="127"/>
      <c r="Y165" s="12">
        <f t="shared" ca="1" si="79"/>
        <v>0</v>
      </c>
      <c r="Z165" s="2">
        <f t="shared" si="80"/>
        <v>0</v>
      </c>
      <c r="AA165" s="126">
        <f t="shared" ca="1" si="81"/>
        <v>0</v>
      </c>
      <c r="AB165" s="127"/>
      <c r="AC165" s="12">
        <f t="shared" ca="1" si="82"/>
        <v>0</v>
      </c>
      <c r="AD165" s="140"/>
      <c r="AE165" s="140"/>
      <c r="AF165" s="140"/>
      <c r="AG165" s="140"/>
      <c r="AH165" s="113"/>
      <c r="AI165" s="136"/>
      <c r="AJ165" s="136"/>
    </row>
    <row r="166" spans="1:36" x14ac:dyDescent="0.25">
      <c r="A166" s="137"/>
      <c r="B166" s="2">
        <f t="shared" si="64"/>
        <v>0</v>
      </c>
      <c r="C166" s="126">
        <f t="shared" ca="1" si="65"/>
        <v>0</v>
      </c>
      <c r="D166" s="127"/>
      <c r="E166" s="13">
        <f t="shared" ca="1" si="66"/>
        <v>0</v>
      </c>
      <c r="F166" s="2">
        <f t="shared" si="67"/>
        <v>0</v>
      </c>
      <c r="G166" s="126">
        <f t="shared" ca="1" si="68"/>
        <v>0</v>
      </c>
      <c r="H166" s="127"/>
      <c r="I166" s="12">
        <f t="shared" ca="1" si="69"/>
        <v>0</v>
      </c>
      <c r="J166" s="2">
        <f t="shared" si="70"/>
        <v>0</v>
      </c>
      <c r="K166" s="126">
        <f t="shared" ca="1" si="71"/>
        <v>0</v>
      </c>
      <c r="L166" s="127"/>
      <c r="M166" s="12"/>
      <c r="N166" s="2">
        <f t="shared" si="72"/>
        <v>0</v>
      </c>
      <c r="O166" s="126">
        <f t="shared" ca="1" si="73"/>
        <v>0</v>
      </c>
      <c r="P166" s="127"/>
      <c r="Q166" s="12">
        <f t="shared" ca="1" si="83"/>
        <v>0</v>
      </c>
      <c r="R166" s="2">
        <f t="shared" si="74"/>
        <v>0</v>
      </c>
      <c r="S166" s="126">
        <f t="shared" ca="1" si="75"/>
        <v>0</v>
      </c>
      <c r="T166" s="127"/>
      <c r="U166" s="13">
        <f t="shared" ca="1" si="76"/>
        <v>0</v>
      </c>
      <c r="V166" s="2">
        <f t="shared" si="77"/>
        <v>0</v>
      </c>
      <c r="W166" s="126">
        <f t="shared" ca="1" si="78"/>
        <v>0</v>
      </c>
      <c r="X166" s="127"/>
      <c r="Y166" s="12">
        <f t="shared" ca="1" si="79"/>
        <v>0</v>
      </c>
      <c r="Z166" s="2">
        <f t="shared" si="80"/>
        <v>0</v>
      </c>
      <c r="AA166" s="126">
        <f t="shared" ca="1" si="81"/>
        <v>0</v>
      </c>
      <c r="AB166" s="127"/>
      <c r="AC166" s="12">
        <f t="shared" ca="1" si="82"/>
        <v>0</v>
      </c>
      <c r="AD166" s="140"/>
      <c r="AE166" s="140"/>
      <c r="AF166" s="140"/>
      <c r="AG166" s="140"/>
      <c r="AH166" s="113"/>
      <c r="AI166" s="136"/>
      <c r="AJ166" s="136"/>
    </row>
    <row r="167" spans="1:36" x14ac:dyDescent="0.25">
      <c r="A167" s="137"/>
      <c r="B167" s="2">
        <f t="shared" si="64"/>
        <v>0</v>
      </c>
      <c r="C167" s="126">
        <f t="shared" ca="1" si="65"/>
        <v>0</v>
      </c>
      <c r="D167" s="127"/>
      <c r="E167" s="13">
        <f t="shared" ca="1" si="66"/>
        <v>0</v>
      </c>
      <c r="F167" s="2">
        <f t="shared" si="67"/>
        <v>0</v>
      </c>
      <c r="G167" s="126">
        <f t="shared" ca="1" si="68"/>
        <v>0</v>
      </c>
      <c r="H167" s="127"/>
      <c r="I167" s="12">
        <f t="shared" ca="1" si="69"/>
        <v>0</v>
      </c>
      <c r="J167" s="2">
        <f t="shared" si="70"/>
        <v>0</v>
      </c>
      <c r="K167" s="126">
        <f t="shared" ca="1" si="71"/>
        <v>0</v>
      </c>
      <c r="L167" s="127"/>
      <c r="M167" s="12"/>
      <c r="N167" s="2">
        <f t="shared" si="72"/>
        <v>0</v>
      </c>
      <c r="O167" s="126">
        <f t="shared" ca="1" si="73"/>
        <v>0</v>
      </c>
      <c r="P167" s="127"/>
      <c r="Q167" s="12">
        <f t="shared" ca="1" si="83"/>
        <v>0</v>
      </c>
      <c r="R167" s="2">
        <f t="shared" si="74"/>
        <v>0</v>
      </c>
      <c r="S167" s="126">
        <f t="shared" ca="1" si="75"/>
        <v>0</v>
      </c>
      <c r="T167" s="127"/>
      <c r="U167" s="13">
        <f t="shared" ca="1" si="76"/>
        <v>0</v>
      </c>
      <c r="V167" s="2">
        <f t="shared" si="77"/>
        <v>0</v>
      </c>
      <c r="W167" s="126">
        <f t="shared" ca="1" si="78"/>
        <v>0</v>
      </c>
      <c r="X167" s="127"/>
      <c r="Y167" s="12">
        <f t="shared" ca="1" si="79"/>
        <v>0</v>
      </c>
      <c r="Z167" s="2">
        <f t="shared" si="80"/>
        <v>0</v>
      </c>
      <c r="AA167" s="126">
        <f t="shared" ca="1" si="81"/>
        <v>0</v>
      </c>
      <c r="AB167" s="127"/>
      <c r="AC167" s="12">
        <f t="shared" ca="1" si="82"/>
        <v>0</v>
      </c>
      <c r="AD167" s="140"/>
      <c r="AE167" s="140"/>
      <c r="AF167" s="140"/>
      <c r="AG167" s="140"/>
      <c r="AH167" s="113"/>
      <c r="AI167" s="136"/>
      <c r="AJ167" s="136"/>
    </row>
    <row r="168" spans="1:36" x14ac:dyDescent="0.25">
      <c r="A168" s="137"/>
      <c r="B168" s="2">
        <f t="shared" si="64"/>
        <v>0</v>
      </c>
      <c r="C168" s="126">
        <f t="shared" ca="1" si="65"/>
        <v>0</v>
      </c>
      <c r="D168" s="127"/>
      <c r="E168" s="13">
        <f t="shared" ca="1" si="66"/>
        <v>0</v>
      </c>
      <c r="F168" s="2">
        <f t="shared" si="67"/>
        <v>0</v>
      </c>
      <c r="G168" s="126">
        <f t="shared" ca="1" si="68"/>
        <v>0</v>
      </c>
      <c r="H168" s="127"/>
      <c r="I168" s="12">
        <f t="shared" ca="1" si="69"/>
        <v>0</v>
      </c>
      <c r="J168" s="2">
        <f t="shared" si="70"/>
        <v>0</v>
      </c>
      <c r="K168" s="126">
        <f t="shared" ca="1" si="71"/>
        <v>0</v>
      </c>
      <c r="L168" s="127"/>
      <c r="M168" s="12"/>
      <c r="N168" s="2">
        <f t="shared" si="72"/>
        <v>0</v>
      </c>
      <c r="O168" s="126">
        <f t="shared" ca="1" si="73"/>
        <v>0</v>
      </c>
      <c r="P168" s="127"/>
      <c r="Q168" s="12">
        <f t="shared" ca="1" si="83"/>
        <v>0</v>
      </c>
      <c r="R168" s="2">
        <f t="shared" si="74"/>
        <v>0</v>
      </c>
      <c r="S168" s="126">
        <f t="shared" ca="1" si="75"/>
        <v>0</v>
      </c>
      <c r="T168" s="127"/>
      <c r="U168" s="13">
        <f t="shared" ca="1" si="76"/>
        <v>0</v>
      </c>
      <c r="V168" s="2">
        <f t="shared" si="77"/>
        <v>0</v>
      </c>
      <c r="W168" s="126">
        <f t="shared" ca="1" si="78"/>
        <v>0</v>
      </c>
      <c r="X168" s="127"/>
      <c r="Y168" s="12">
        <f t="shared" ca="1" si="79"/>
        <v>0</v>
      </c>
      <c r="Z168" s="2">
        <f t="shared" si="80"/>
        <v>0</v>
      </c>
      <c r="AA168" s="126">
        <f t="shared" ca="1" si="81"/>
        <v>0</v>
      </c>
      <c r="AB168" s="127"/>
      <c r="AC168" s="12">
        <f t="shared" ca="1" si="82"/>
        <v>0</v>
      </c>
      <c r="AD168" s="140"/>
      <c r="AE168" s="140"/>
      <c r="AF168" s="140"/>
      <c r="AG168" s="140"/>
      <c r="AH168" s="113"/>
      <c r="AI168" s="136"/>
      <c r="AJ168" s="136"/>
    </row>
    <row r="169" spans="1:36" x14ac:dyDescent="0.25">
      <c r="A169" s="137"/>
      <c r="B169" s="2">
        <f t="shared" si="64"/>
        <v>0</v>
      </c>
      <c r="C169" s="126">
        <f t="shared" ca="1" si="65"/>
        <v>0</v>
      </c>
      <c r="D169" s="127"/>
      <c r="E169" s="13">
        <f t="shared" ca="1" si="66"/>
        <v>0</v>
      </c>
      <c r="F169" s="2">
        <f t="shared" si="67"/>
        <v>0</v>
      </c>
      <c r="G169" s="126">
        <f t="shared" ca="1" si="68"/>
        <v>0</v>
      </c>
      <c r="H169" s="127"/>
      <c r="I169" s="12">
        <f t="shared" ca="1" si="69"/>
        <v>0</v>
      </c>
      <c r="J169" s="2">
        <f t="shared" si="70"/>
        <v>0</v>
      </c>
      <c r="K169" s="126">
        <f t="shared" ca="1" si="71"/>
        <v>0</v>
      </c>
      <c r="L169" s="127"/>
      <c r="M169" s="12"/>
      <c r="N169" s="2">
        <f t="shared" si="72"/>
        <v>0</v>
      </c>
      <c r="O169" s="126">
        <f t="shared" ca="1" si="73"/>
        <v>0</v>
      </c>
      <c r="P169" s="127"/>
      <c r="Q169" s="12">
        <f t="shared" ca="1" si="83"/>
        <v>0</v>
      </c>
      <c r="R169" s="2">
        <f t="shared" si="74"/>
        <v>0</v>
      </c>
      <c r="S169" s="126">
        <f t="shared" ca="1" si="75"/>
        <v>0</v>
      </c>
      <c r="T169" s="127"/>
      <c r="U169" s="13">
        <f t="shared" ca="1" si="76"/>
        <v>0</v>
      </c>
      <c r="V169" s="2">
        <f t="shared" si="77"/>
        <v>0</v>
      </c>
      <c r="W169" s="126">
        <f t="shared" ca="1" si="78"/>
        <v>0</v>
      </c>
      <c r="X169" s="127"/>
      <c r="Y169" s="12">
        <f t="shared" ca="1" si="79"/>
        <v>0</v>
      </c>
      <c r="Z169" s="2">
        <f t="shared" si="80"/>
        <v>0</v>
      </c>
      <c r="AA169" s="126">
        <f t="shared" ca="1" si="81"/>
        <v>0</v>
      </c>
      <c r="AB169" s="127"/>
      <c r="AC169" s="12">
        <f t="shared" ca="1" si="82"/>
        <v>0</v>
      </c>
      <c r="AD169" s="140"/>
      <c r="AE169" s="140"/>
      <c r="AF169" s="140"/>
      <c r="AG169" s="140"/>
      <c r="AH169" s="113"/>
      <c r="AI169" s="136"/>
      <c r="AJ169" s="136"/>
    </row>
    <row r="170" spans="1:36" x14ac:dyDescent="0.25">
      <c r="A170" s="137"/>
      <c r="B170" s="2">
        <f t="shared" si="64"/>
        <v>0</v>
      </c>
      <c r="C170" s="126">
        <f t="shared" ca="1" si="65"/>
        <v>0</v>
      </c>
      <c r="D170" s="127"/>
      <c r="E170" s="13">
        <f t="shared" ca="1" si="66"/>
        <v>0</v>
      </c>
      <c r="F170" s="2">
        <f t="shared" si="67"/>
        <v>0</v>
      </c>
      <c r="G170" s="126">
        <f t="shared" ca="1" si="68"/>
        <v>0</v>
      </c>
      <c r="H170" s="127"/>
      <c r="I170" s="12">
        <f t="shared" ca="1" si="69"/>
        <v>0</v>
      </c>
      <c r="J170" s="2">
        <f t="shared" si="70"/>
        <v>0</v>
      </c>
      <c r="K170" s="126">
        <f t="shared" ca="1" si="71"/>
        <v>0</v>
      </c>
      <c r="L170" s="127"/>
      <c r="M170" s="12"/>
      <c r="N170" s="2">
        <f t="shared" si="72"/>
        <v>0</v>
      </c>
      <c r="O170" s="126">
        <f t="shared" ca="1" si="73"/>
        <v>0</v>
      </c>
      <c r="P170" s="127"/>
      <c r="Q170" s="12">
        <f t="shared" ca="1" si="83"/>
        <v>0</v>
      </c>
      <c r="R170" s="2">
        <f t="shared" si="74"/>
        <v>0</v>
      </c>
      <c r="S170" s="126">
        <f t="shared" ca="1" si="75"/>
        <v>0</v>
      </c>
      <c r="T170" s="127"/>
      <c r="U170" s="13">
        <f t="shared" ca="1" si="76"/>
        <v>0</v>
      </c>
      <c r="V170" s="2">
        <f t="shared" si="77"/>
        <v>0</v>
      </c>
      <c r="W170" s="126">
        <f t="shared" ca="1" si="78"/>
        <v>0</v>
      </c>
      <c r="X170" s="127"/>
      <c r="Y170" s="12">
        <f t="shared" ca="1" si="79"/>
        <v>0</v>
      </c>
      <c r="Z170" s="2">
        <f t="shared" si="80"/>
        <v>0</v>
      </c>
      <c r="AA170" s="126">
        <f t="shared" ca="1" si="81"/>
        <v>0</v>
      </c>
      <c r="AB170" s="127"/>
      <c r="AC170" s="12">
        <f t="shared" ca="1" si="82"/>
        <v>0</v>
      </c>
      <c r="AD170" s="140"/>
      <c r="AE170" s="140"/>
      <c r="AF170" s="140"/>
      <c r="AG170" s="140"/>
      <c r="AH170" s="113"/>
      <c r="AI170" s="136"/>
      <c r="AJ170" s="136"/>
    </row>
    <row r="171" spans="1:36" x14ac:dyDescent="0.25">
      <c r="A171" s="137"/>
      <c r="B171" s="2">
        <f t="shared" si="64"/>
        <v>0</v>
      </c>
      <c r="C171" s="126">
        <f t="shared" ca="1" si="65"/>
        <v>0</v>
      </c>
      <c r="D171" s="127"/>
      <c r="E171" s="13">
        <f t="shared" ca="1" si="66"/>
        <v>0</v>
      </c>
      <c r="F171" s="2">
        <f t="shared" si="67"/>
        <v>0</v>
      </c>
      <c r="G171" s="126">
        <f t="shared" ca="1" si="68"/>
        <v>0</v>
      </c>
      <c r="H171" s="127"/>
      <c r="I171" s="12">
        <f t="shared" ca="1" si="69"/>
        <v>0</v>
      </c>
      <c r="J171" s="2">
        <f t="shared" si="70"/>
        <v>0</v>
      </c>
      <c r="K171" s="126">
        <f t="shared" ca="1" si="71"/>
        <v>0</v>
      </c>
      <c r="L171" s="127"/>
      <c r="M171" s="12"/>
      <c r="N171" s="2">
        <f t="shared" si="72"/>
        <v>0</v>
      </c>
      <c r="O171" s="126">
        <f t="shared" ca="1" si="73"/>
        <v>0</v>
      </c>
      <c r="P171" s="127"/>
      <c r="Q171" s="12">
        <f t="shared" ca="1" si="83"/>
        <v>0</v>
      </c>
      <c r="R171" s="2">
        <f t="shared" si="74"/>
        <v>0</v>
      </c>
      <c r="S171" s="126">
        <f t="shared" ca="1" si="75"/>
        <v>0</v>
      </c>
      <c r="T171" s="127"/>
      <c r="U171" s="13">
        <f t="shared" ca="1" si="76"/>
        <v>0</v>
      </c>
      <c r="V171" s="2">
        <f t="shared" si="77"/>
        <v>0</v>
      </c>
      <c r="W171" s="126">
        <f t="shared" ca="1" si="78"/>
        <v>0</v>
      </c>
      <c r="X171" s="127"/>
      <c r="Y171" s="12">
        <f t="shared" ca="1" si="79"/>
        <v>0</v>
      </c>
      <c r="Z171" s="2">
        <f t="shared" si="80"/>
        <v>0</v>
      </c>
      <c r="AA171" s="126">
        <f t="shared" ca="1" si="81"/>
        <v>0</v>
      </c>
      <c r="AB171" s="127"/>
      <c r="AC171" s="12">
        <f t="shared" ca="1" si="82"/>
        <v>0</v>
      </c>
      <c r="AD171" s="140"/>
      <c r="AE171" s="140"/>
      <c r="AF171" s="140"/>
      <c r="AG171" s="140"/>
      <c r="AH171" s="113"/>
      <c r="AI171" s="136"/>
      <c r="AJ171" s="136"/>
    </row>
    <row r="172" spans="1:36" x14ac:dyDescent="0.25">
      <c r="A172" s="137"/>
      <c r="B172" s="2">
        <f t="shared" si="64"/>
        <v>0</v>
      </c>
      <c r="C172" s="126">
        <f t="shared" ca="1" si="65"/>
        <v>0</v>
      </c>
      <c r="D172" s="127"/>
      <c r="E172" s="13">
        <f t="shared" ca="1" si="66"/>
        <v>0</v>
      </c>
      <c r="F172" s="2">
        <f t="shared" si="67"/>
        <v>0</v>
      </c>
      <c r="G172" s="126">
        <f t="shared" ca="1" si="68"/>
        <v>0</v>
      </c>
      <c r="H172" s="127"/>
      <c r="I172" s="12">
        <f t="shared" ca="1" si="69"/>
        <v>0</v>
      </c>
      <c r="J172" s="2">
        <f t="shared" si="70"/>
        <v>0</v>
      </c>
      <c r="K172" s="126">
        <f t="shared" ca="1" si="71"/>
        <v>0</v>
      </c>
      <c r="L172" s="127"/>
      <c r="M172" s="12"/>
      <c r="N172" s="2">
        <f t="shared" si="72"/>
        <v>0</v>
      </c>
      <c r="O172" s="126">
        <f t="shared" ca="1" si="73"/>
        <v>0</v>
      </c>
      <c r="P172" s="127"/>
      <c r="Q172" s="12">
        <f t="shared" ca="1" si="83"/>
        <v>0</v>
      </c>
      <c r="R172" s="2">
        <f t="shared" si="74"/>
        <v>0</v>
      </c>
      <c r="S172" s="126">
        <f t="shared" ca="1" si="75"/>
        <v>0</v>
      </c>
      <c r="T172" s="127"/>
      <c r="U172" s="13">
        <f t="shared" ca="1" si="76"/>
        <v>0</v>
      </c>
      <c r="V172" s="2">
        <f t="shared" si="77"/>
        <v>0</v>
      </c>
      <c r="W172" s="126">
        <f t="shared" ca="1" si="78"/>
        <v>0</v>
      </c>
      <c r="X172" s="127"/>
      <c r="Y172" s="12">
        <f t="shared" ca="1" si="79"/>
        <v>0</v>
      </c>
      <c r="Z172" s="2">
        <f t="shared" si="80"/>
        <v>0</v>
      </c>
      <c r="AA172" s="126">
        <f t="shared" ca="1" si="81"/>
        <v>0</v>
      </c>
      <c r="AB172" s="127"/>
      <c r="AC172" s="12">
        <f t="shared" ca="1" si="82"/>
        <v>0</v>
      </c>
      <c r="AD172" s="140"/>
      <c r="AE172" s="140"/>
      <c r="AF172" s="140"/>
      <c r="AG172" s="140"/>
      <c r="AH172" s="113"/>
      <c r="AI172" s="136"/>
      <c r="AJ172" s="136"/>
    </row>
    <row r="173" spans="1:36" x14ac:dyDescent="0.25">
      <c r="A173" s="137"/>
      <c r="B173" s="2">
        <f t="shared" si="64"/>
        <v>0</v>
      </c>
      <c r="C173" s="126">
        <f ca="1">IF(TODAY()=$A$149,C29*D29*E29,C173)</f>
        <v>0</v>
      </c>
      <c r="D173" s="127"/>
      <c r="E173" s="13">
        <f t="shared" ca="1" si="66"/>
        <v>0</v>
      </c>
      <c r="F173" s="2">
        <f t="shared" si="67"/>
        <v>0</v>
      </c>
      <c r="G173" s="126">
        <f t="shared" ca="1" si="68"/>
        <v>0</v>
      </c>
      <c r="H173" s="127"/>
      <c r="I173" s="12">
        <f t="shared" ca="1" si="69"/>
        <v>0</v>
      </c>
      <c r="J173" s="2">
        <f t="shared" si="70"/>
        <v>0</v>
      </c>
      <c r="K173" s="126">
        <f t="shared" ca="1" si="71"/>
        <v>0</v>
      </c>
      <c r="L173" s="127"/>
      <c r="M173" s="12"/>
      <c r="N173" s="2">
        <f t="shared" si="72"/>
        <v>0</v>
      </c>
      <c r="O173" s="126">
        <f t="shared" ca="1" si="73"/>
        <v>0</v>
      </c>
      <c r="P173" s="127"/>
      <c r="Q173" s="12">
        <f t="shared" ca="1" si="83"/>
        <v>0</v>
      </c>
      <c r="R173" s="2">
        <f t="shared" si="74"/>
        <v>0</v>
      </c>
      <c r="S173" s="126">
        <f t="shared" ca="1" si="75"/>
        <v>0</v>
      </c>
      <c r="T173" s="127"/>
      <c r="U173" s="13">
        <f t="shared" ca="1" si="76"/>
        <v>0</v>
      </c>
      <c r="V173" s="2">
        <f t="shared" si="77"/>
        <v>0</v>
      </c>
      <c r="W173" s="126">
        <f t="shared" ca="1" si="78"/>
        <v>0</v>
      </c>
      <c r="X173" s="127"/>
      <c r="Y173" s="12">
        <f t="shared" ca="1" si="79"/>
        <v>0</v>
      </c>
      <c r="Z173" s="2">
        <f t="shared" si="80"/>
        <v>0</v>
      </c>
      <c r="AA173" s="126">
        <f t="shared" ca="1" si="81"/>
        <v>0</v>
      </c>
      <c r="AB173" s="127"/>
      <c r="AC173" s="12">
        <f t="shared" ca="1" si="82"/>
        <v>0</v>
      </c>
      <c r="AD173" s="140"/>
      <c r="AE173" s="140"/>
      <c r="AF173" s="140"/>
      <c r="AG173" s="140"/>
      <c r="AH173" s="113"/>
      <c r="AI173" s="136"/>
      <c r="AJ173" s="136"/>
    </row>
    <row r="174" spans="1:36" x14ac:dyDescent="0.25">
      <c r="A174" s="137"/>
      <c r="B174" s="2">
        <f t="shared" si="64"/>
        <v>0</v>
      </c>
      <c r="C174" s="126">
        <f t="shared" ca="1" si="65"/>
        <v>0</v>
      </c>
      <c r="D174" s="127"/>
      <c r="E174" s="13">
        <f t="shared" ca="1" si="66"/>
        <v>0</v>
      </c>
      <c r="F174" s="2">
        <f t="shared" si="67"/>
        <v>0</v>
      </c>
      <c r="G174" s="126">
        <f t="shared" ca="1" si="68"/>
        <v>0</v>
      </c>
      <c r="H174" s="127"/>
      <c r="I174" s="12">
        <f t="shared" ca="1" si="69"/>
        <v>0</v>
      </c>
      <c r="J174" s="2">
        <f t="shared" si="70"/>
        <v>0</v>
      </c>
      <c r="K174" s="126">
        <f t="shared" ca="1" si="71"/>
        <v>0</v>
      </c>
      <c r="L174" s="127"/>
      <c r="M174" s="12"/>
      <c r="N174" s="2">
        <f t="shared" si="72"/>
        <v>0</v>
      </c>
      <c r="O174" s="126">
        <f t="shared" ca="1" si="73"/>
        <v>0</v>
      </c>
      <c r="P174" s="127"/>
      <c r="Q174" s="12">
        <f t="shared" ca="1" si="83"/>
        <v>0</v>
      </c>
      <c r="R174" s="2">
        <f t="shared" si="74"/>
        <v>0</v>
      </c>
      <c r="S174" s="126">
        <f t="shared" ca="1" si="75"/>
        <v>0</v>
      </c>
      <c r="T174" s="127"/>
      <c r="U174" s="13">
        <f t="shared" ca="1" si="76"/>
        <v>0</v>
      </c>
      <c r="V174" s="2">
        <f t="shared" si="77"/>
        <v>0</v>
      </c>
      <c r="W174" s="126">
        <f t="shared" ca="1" si="78"/>
        <v>0</v>
      </c>
      <c r="X174" s="127"/>
      <c r="Y174" s="12">
        <f t="shared" ca="1" si="79"/>
        <v>0</v>
      </c>
      <c r="Z174" s="2">
        <f t="shared" si="80"/>
        <v>0</v>
      </c>
      <c r="AA174" s="126">
        <f t="shared" ca="1" si="81"/>
        <v>0</v>
      </c>
      <c r="AB174" s="127"/>
      <c r="AC174" s="12">
        <f t="shared" ca="1" si="82"/>
        <v>0</v>
      </c>
      <c r="AD174" s="140"/>
      <c r="AE174" s="140"/>
      <c r="AF174" s="140"/>
      <c r="AG174" s="140"/>
      <c r="AH174" s="113"/>
      <c r="AI174" s="136"/>
      <c r="AJ174" s="136"/>
    </row>
    <row r="175" spans="1:36" x14ac:dyDescent="0.25">
      <c r="A175" s="137"/>
      <c r="B175" s="2">
        <f t="shared" si="64"/>
        <v>0</v>
      </c>
      <c r="C175" s="126">
        <f t="shared" ca="1" si="65"/>
        <v>0</v>
      </c>
      <c r="D175" s="127"/>
      <c r="E175" s="13">
        <f t="shared" ca="1" si="66"/>
        <v>0</v>
      </c>
      <c r="F175" s="2">
        <f t="shared" si="67"/>
        <v>0</v>
      </c>
      <c r="G175" s="126">
        <f t="shared" ca="1" si="68"/>
        <v>0</v>
      </c>
      <c r="H175" s="127"/>
      <c r="I175" s="12">
        <f t="shared" ca="1" si="69"/>
        <v>0</v>
      </c>
      <c r="J175" s="2">
        <f t="shared" si="70"/>
        <v>0</v>
      </c>
      <c r="K175" s="126">
        <f t="shared" ca="1" si="71"/>
        <v>0</v>
      </c>
      <c r="L175" s="127"/>
      <c r="M175" s="12"/>
      <c r="N175" s="2">
        <f t="shared" si="72"/>
        <v>0</v>
      </c>
      <c r="O175" s="126">
        <f t="shared" ca="1" si="73"/>
        <v>0</v>
      </c>
      <c r="P175" s="127"/>
      <c r="Q175" s="12">
        <f t="shared" ca="1" si="83"/>
        <v>0</v>
      </c>
      <c r="R175" s="2">
        <f t="shared" si="74"/>
        <v>0</v>
      </c>
      <c r="S175" s="126">
        <f t="shared" ca="1" si="75"/>
        <v>0</v>
      </c>
      <c r="T175" s="127"/>
      <c r="U175" s="13">
        <f t="shared" ca="1" si="76"/>
        <v>0</v>
      </c>
      <c r="V175" s="2">
        <f t="shared" si="77"/>
        <v>0</v>
      </c>
      <c r="W175" s="126">
        <f t="shared" ca="1" si="78"/>
        <v>0</v>
      </c>
      <c r="X175" s="127"/>
      <c r="Y175" s="12">
        <f t="shared" ca="1" si="79"/>
        <v>0</v>
      </c>
      <c r="Z175" s="2">
        <f t="shared" si="80"/>
        <v>0</v>
      </c>
      <c r="AA175" s="126">
        <f t="shared" ca="1" si="81"/>
        <v>0</v>
      </c>
      <c r="AB175" s="127"/>
      <c r="AC175" s="12">
        <f t="shared" ca="1" si="82"/>
        <v>0</v>
      </c>
      <c r="AD175" s="140"/>
      <c r="AE175" s="140"/>
      <c r="AF175" s="140"/>
      <c r="AG175" s="140"/>
      <c r="AH175" s="113"/>
      <c r="AI175" s="136"/>
      <c r="AJ175" s="136"/>
    </row>
    <row r="176" spans="1:36" x14ac:dyDescent="0.25">
      <c r="A176" s="137"/>
      <c r="B176" s="2">
        <f t="shared" si="64"/>
        <v>0</v>
      </c>
      <c r="C176" s="126">
        <f t="shared" ca="1" si="65"/>
        <v>0</v>
      </c>
      <c r="D176" s="127"/>
      <c r="E176" s="13">
        <f t="shared" ca="1" si="66"/>
        <v>0</v>
      </c>
      <c r="F176" s="2">
        <f t="shared" si="67"/>
        <v>0</v>
      </c>
      <c r="G176" s="126">
        <f t="shared" ca="1" si="68"/>
        <v>0</v>
      </c>
      <c r="H176" s="127"/>
      <c r="I176" s="12">
        <f t="shared" ca="1" si="69"/>
        <v>0</v>
      </c>
      <c r="J176" s="2">
        <f t="shared" si="70"/>
        <v>0</v>
      </c>
      <c r="K176" s="126">
        <f t="shared" ca="1" si="71"/>
        <v>0</v>
      </c>
      <c r="L176" s="127"/>
      <c r="M176" s="12"/>
      <c r="N176" s="2">
        <f t="shared" si="72"/>
        <v>0</v>
      </c>
      <c r="O176" s="126">
        <f t="shared" ca="1" si="73"/>
        <v>0</v>
      </c>
      <c r="P176" s="127"/>
      <c r="Q176" s="12">
        <f t="shared" ca="1" si="83"/>
        <v>0</v>
      </c>
      <c r="R176" s="2">
        <f t="shared" si="74"/>
        <v>0</v>
      </c>
      <c r="S176" s="126">
        <f t="shared" ca="1" si="75"/>
        <v>0</v>
      </c>
      <c r="T176" s="127"/>
      <c r="U176" s="13">
        <f t="shared" ca="1" si="76"/>
        <v>0</v>
      </c>
      <c r="V176" s="2">
        <f t="shared" si="77"/>
        <v>0</v>
      </c>
      <c r="W176" s="126">
        <f t="shared" ca="1" si="78"/>
        <v>0</v>
      </c>
      <c r="X176" s="127"/>
      <c r="Y176" s="12">
        <f t="shared" ca="1" si="79"/>
        <v>0</v>
      </c>
      <c r="Z176" s="2">
        <f t="shared" si="80"/>
        <v>0</v>
      </c>
      <c r="AA176" s="126">
        <f t="shared" ca="1" si="81"/>
        <v>0</v>
      </c>
      <c r="AB176" s="127"/>
      <c r="AC176" s="12">
        <f t="shared" ca="1" si="82"/>
        <v>0</v>
      </c>
      <c r="AD176" s="140"/>
      <c r="AE176" s="140"/>
      <c r="AF176" s="140"/>
      <c r="AG176" s="140"/>
      <c r="AH176" s="113"/>
      <c r="AI176" s="136"/>
      <c r="AJ176" s="136"/>
    </row>
    <row r="177" spans="1:36" x14ac:dyDescent="0.25">
      <c r="A177" s="137"/>
      <c r="B177" s="2">
        <f t="shared" si="64"/>
        <v>0</v>
      </c>
      <c r="C177" s="126">
        <f t="shared" ca="1" si="65"/>
        <v>0</v>
      </c>
      <c r="D177" s="127"/>
      <c r="E177" s="13">
        <f t="shared" ca="1" si="66"/>
        <v>0</v>
      </c>
      <c r="F177" s="2">
        <f t="shared" si="67"/>
        <v>0</v>
      </c>
      <c r="G177" s="126">
        <f t="shared" ca="1" si="68"/>
        <v>0</v>
      </c>
      <c r="H177" s="127"/>
      <c r="I177" s="12">
        <f t="shared" ca="1" si="69"/>
        <v>0</v>
      </c>
      <c r="J177" s="2">
        <f t="shared" si="70"/>
        <v>0</v>
      </c>
      <c r="K177" s="126">
        <f t="shared" ca="1" si="71"/>
        <v>0</v>
      </c>
      <c r="L177" s="127"/>
      <c r="M177" s="12"/>
      <c r="N177" s="2">
        <f t="shared" si="72"/>
        <v>0</v>
      </c>
      <c r="O177" s="126">
        <f t="shared" ca="1" si="73"/>
        <v>0</v>
      </c>
      <c r="P177" s="127"/>
      <c r="Q177" s="12">
        <f t="shared" ca="1" si="83"/>
        <v>0</v>
      </c>
      <c r="R177" s="2">
        <f t="shared" si="74"/>
        <v>0</v>
      </c>
      <c r="S177" s="126">
        <f t="shared" ca="1" si="75"/>
        <v>0</v>
      </c>
      <c r="T177" s="127"/>
      <c r="U177" s="13">
        <f t="shared" ca="1" si="76"/>
        <v>0</v>
      </c>
      <c r="V177" s="2">
        <f t="shared" si="77"/>
        <v>0</v>
      </c>
      <c r="W177" s="126">
        <f t="shared" ca="1" si="78"/>
        <v>0</v>
      </c>
      <c r="X177" s="127"/>
      <c r="Y177" s="12">
        <f t="shared" ca="1" si="79"/>
        <v>0</v>
      </c>
      <c r="Z177" s="2">
        <f t="shared" si="80"/>
        <v>0</v>
      </c>
      <c r="AA177" s="126">
        <f t="shared" ca="1" si="81"/>
        <v>0</v>
      </c>
      <c r="AB177" s="127"/>
      <c r="AC177" s="12">
        <f t="shared" ca="1" si="82"/>
        <v>0</v>
      </c>
      <c r="AD177" s="140"/>
      <c r="AE177" s="140"/>
      <c r="AF177" s="140"/>
      <c r="AG177" s="140"/>
      <c r="AH177" s="113"/>
      <c r="AI177" s="136"/>
      <c r="AJ177" s="136"/>
    </row>
    <row r="178" spans="1:36" x14ac:dyDescent="0.25">
      <c r="A178" s="137"/>
      <c r="B178" s="2">
        <f t="shared" si="64"/>
        <v>0</v>
      </c>
      <c r="C178" s="126">
        <f t="shared" ca="1" si="65"/>
        <v>0</v>
      </c>
      <c r="D178" s="127"/>
      <c r="E178" s="13">
        <f t="shared" ca="1" si="66"/>
        <v>0</v>
      </c>
      <c r="F178" s="2">
        <f t="shared" si="67"/>
        <v>0</v>
      </c>
      <c r="G178" s="126">
        <f t="shared" ca="1" si="68"/>
        <v>0</v>
      </c>
      <c r="H178" s="127"/>
      <c r="I178" s="12">
        <f t="shared" ca="1" si="69"/>
        <v>0</v>
      </c>
      <c r="J178" s="2">
        <f t="shared" si="70"/>
        <v>0</v>
      </c>
      <c r="K178" s="126">
        <f t="shared" ca="1" si="71"/>
        <v>0</v>
      </c>
      <c r="L178" s="127"/>
      <c r="M178" s="12"/>
      <c r="N178" s="2">
        <f t="shared" si="72"/>
        <v>0</v>
      </c>
      <c r="O178" s="126">
        <f t="shared" ca="1" si="73"/>
        <v>0</v>
      </c>
      <c r="P178" s="127"/>
      <c r="Q178" s="12">
        <f t="shared" ca="1" si="83"/>
        <v>0</v>
      </c>
      <c r="R178" s="2">
        <f t="shared" si="74"/>
        <v>0</v>
      </c>
      <c r="S178" s="126">
        <f t="shared" ca="1" si="75"/>
        <v>0</v>
      </c>
      <c r="T178" s="127"/>
      <c r="U178" s="13">
        <f t="shared" ca="1" si="76"/>
        <v>0</v>
      </c>
      <c r="V178" s="2">
        <f t="shared" si="77"/>
        <v>0</v>
      </c>
      <c r="W178" s="126">
        <f t="shared" ca="1" si="78"/>
        <v>0</v>
      </c>
      <c r="X178" s="127"/>
      <c r="Y178" s="12">
        <f t="shared" ca="1" si="79"/>
        <v>0</v>
      </c>
      <c r="Z178" s="2">
        <f t="shared" si="80"/>
        <v>0</v>
      </c>
      <c r="AA178" s="126">
        <f t="shared" ca="1" si="81"/>
        <v>0</v>
      </c>
      <c r="AB178" s="127"/>
      <c r="AC178" s="12">
        <f t="shared" ca="1" si="82"/>
        <v>0</v>
      </c>
      <c r="AD178" s="140"/>
      <c r="AE178" s="140"/>
      <c r="AF178" s="140"/>
      <c r="AG178" s="140"/>
      <c r="AH178" s="113"/>
      <c r="AI178" s="136"/>
      <c r="AJ178" s="136"/>
    </row>
    <row r="179" spans="1:36" x14ac:dyDescent="0.25">
      <c r="A179" s="137"/>
      <c r="B179" s="2">
        <f t="shared" si="64"/>
        <v>0</v>
      </c>
      <c r="C179" s="126">
        <f t="shared" ca="1" si="65"/>
        <v>0</v>
      </c>
      <c r="D179" s="127"/>
      <c r="E179" s="13">
        <f t="shared" ca="1" si="66"/>
        <v>0</v>
      </c>
      <c r="F179" s="2">
        <f t="shared" si="67"/>
        <v>0</v>
      </c>
      <c r="G179" s="126">
        <f t="shared" ca="1" si="68"/>
        <v>0</v>
      </c>
      <c r="H179" s="127"/>
      <c r="I179" s="12">
        <f t="shared" ca="1" si="69"/>
        <v>0</v>
      </c>
      <c r="J179" s="2">
        <f t="shared" si="70"/>
        <v>0</v>
      </c>
      <c r="K179" s="126">
        <f t="shared" ca="1" si="71"/>
        <v>0</v>
      </c>
      <c r="L179" s="127"/>
      <c r="M179" s="12"/>
      <c r="N179" s="2">
        <f t="shared" si="72"/>
        <v>0</v>
      </c>
      <c r="O179" s="126">
        <f t="shared" ca="1" si="73"/>
        <v>0</v>
      </c>
      <c r="P179" s="127"/>
      <c r="Q179" s="12">
        <f t="shared" ca="1" si="83"/>
        <v>0</v>
      </c>
      <c r="R179" s="2">
        <f t="shared" si="74"/>
        <v>0</v>
      </c>
      <c r="S179" s="126">
        <f t="shared" ca="1" si="75"/>
        <v>0</v>
      </c>
      <c r="T179" s="127"/>
      <c r="U179" s="13">
        <f t="shared" ca="1" si="76"/>
        <v>0</v>
      </c>
      <c r="V179" s="2">
        <f t="shared" si="77"/>
        <v>0</v>
      </c>
      <c r="W179" s="126">
        <f t="shared" ca="1" si="78"/>
        <v>0</v>
      </c>
      <c r="X179" s="127"/>
      <c r="Y179" s="12">
        <f t="shared" ca="1" si="79"/>
        <v>0</v>
      </c>
      <c r="Z179" s="2">
        <f t="shared" si="80"/>
        <v>0</v>
      </c>
      <c r="AA179" s="126">
        <f t="shared" ca="1" si="81"/>
        <v>0</v>
      </c>
      <c r="AB179" s="127"/>
      <c r="AC179" s="12">
        <f t="shared" ca="1" si="82"/>
        <v>0</v>
      </c>
      <c r="AD179" s="140"/>
      <c r="AE179" s="140"/>
      <c r="AF179" s="140"/>
      <c r="AG179" s="140"/>
      <c r="AH179" s="113"/>
      <c r="AI179" s="136"/>
      <c r="AJ179" s="136"/>
    </row>
    <row r="180" spans="1:36" x14ac:dyDescent="0.25">
      <c r="A180" s="137"/>
      <c r="B180" s="2">
        <f t="shared" si="64"/>
        <v>0</v>
      </c>
      <c r="C180" s="126">
        <f t="shared" ca="1" si="65"/>
        <v>0</v>
      </c>
      <c r="D180" s="127"/>
      <c r="E180" s="13">
        <f t="shared" ca="1" si="66"/>
        <v>0</v>
      </c>
      <c r="F180" s="2">
        <f t="shared" si="67"/>
        <v>0</v>
      </c>
      <c r="G180" s="126">
        <f t="shared" ca="1" si="68"/>
        <v>0</v>
      </c>
      <c r="H180" s="127"/>
      <c r="I180" s="12">
        <f t="shared" ca="1" si="69"/>
        <v>0</v>
      </c>
      <c r="J180" s="2">
        <f t="shared" si="70"/>
        <v>0</v>
      </c>
      <c r="K180" s="126">
        <f t="shared" ca="1" si="71"/>
        <v>0</v>
      </c>
      <c r="L180" s="127"/>
      <c r="M180" s="12"/>
      <c r="N180" s="2">
        <f t="shared" si="72"/>
        <v>0</v>
      </c>
      <c r="O180" s="126">
        <f t="shared" ca="1" si="73"/>
        <v>0</v>
      </c>
      <c r="P180" s="127"/>
      <c r="Q180" s="12">
        <f t="shared" ca="1" si="83"/>
        <v>0</v>
      </c>
      <c r="R180" s="2">
        <f t="shared" si="74"/>
        <v>0</v>
      </c>
      <c r="S180" s="126">
        <f t="shared" ca="1" si="75"/>
        <v>0</v>
      </c>
      <c r="T180" s="127"/>
      <c r="U180" s="13">
        <f t="shared" ca="1" si="76"/>
        <v>0</v>
      </c>
      <c r="V180" s="2">
        <f t="shared" si="77"/>
        <v>0</v>
      </c>
      <c r="W180" s="126">
        <f t="shared" ca="1" si="78"/>
        <v>0</v>
      </c>
      <c r="X180" s="127"/>
      <c r="Y180" s="12">
        <f t="shared" ca="1" si="79"/>
        <v>0</v>
      </c>
      <c r="Z180" s="2">
        <f t="shared" si="80"/>
        <v>0</v>
      </c>
      <c r="AA180" s="126">
        <f t="shared" ca="1" si="81"/>
        <v>0</v>
      </c>
      <c r="AB180" s="127"/>
      <c r="AC180" s="12">
        <f t="shared" ca="1" si="82"/>
        <v>0</v>
      </c>
      <c r="AD180" s="140"/>
      <c r="AE180" s="140"/>
      <c r="AF180" s="140"/>
      <c r="AG180" s="140"/>
      <c r="AH180" s="113"/>
      <c r="AI180" s="136"/>
      <c r="AJ180" s="136"/>
    </row>
    <row r="181" spans="1:36" x14ac:dyDescent="0.25">
      <c r="A181" s="137"/>
      <c r="B181" s="2">
        <f t="shared" si="64"/>
        <v>0</v>
      </c>
      <c r="C181" s="126">
        <f t="shared" ca="1" si="65"/>
        <v>0</v>
      </c>
      <c r="D181" s="127"/>
      <c r="E181" s="13">
        <f t="shared" ca="1" si="66"/>
        <v>0</v>
      </c>
      <c r="F181" s="2">
        <f t="shared" si="67"/>
        <v>0</v>
      </c>
      <c r="G181" s="126">
        <f t="shared" ca="1" si="68"/>
        <v>0</v>
      </c>
      <c r="H181" s="127"/>
      <c r="I181" s="12">
        <f t="shared" ca="1" si="69"/>
        <v>0</v>
      </c>
      <c r="J181" s="2">
        <f t="shared" si="70"/>
        <v>0</v>
      </c>
      <c r="K181" s="126">
        <f t="shared" ca="1" si="71"/>
        <v>0</v>
      </c>
      <c r="L181" s="127"/>
      <c r="M181" s="12"/>
      <c r="N181" s="2">
        <f t="shared" si="72"/>
        <v>0</v>
      </c>
      <c r="O181" s="126">
        <f t="shared" ca="1" si="73"/>
        <v>0</v>
      </c>
      <c r="P181" s="127"/>
      <c r="Q181" s="12">
        <f t="shared" ca="1" si="83"/>
        <v>0</v>
      </c>
      <c r="R181" s="2">
        <f t="shared" si="74"/>
        <v>0</v>
      </c>
      <c r="S181" s="126">
        <f t="shared" ca="1" si="75"/>
        <v>0</v>
      </c>
      <c r="T181" s="127"/>
      <c r="U181" s="13">
        <f t="shared" ca="1" si="76"/>
        <v>0</v>
      </c>
      <c r="V181" s="2">
        <f t="shared" si="77"/>
        <v>0</v>
      </c>
      <c r="W181" s="126">
        <f t="shared" ca="1" si="78"/>
        <v>0</v>
      </c>
      <c r="X181" s="127"/>
      <c r="Y181" s="12">
        <f t="shared" ca="1" si="79"/>
        <v>0</v>
      </c>
      <c r="Z181" s="2">
        <f t="shared" si="80"/>
        <v>0</v>
      </c>
      <c r="AA181" s="126">
        <f t="shared" ca="1" si="81"/>
        <v>0</v>
      </c>
      <c r="AB181" s="127"/>
      <c r="AC181" s="12">
        <f t="shared" ca="1" si="82"/>
        <v>0</v>
      </c>
      <c r="AD181" s="140"/>
      <c r="AE181" s="140"/>
      <c r="AF181" s="140"/>
      <c r="AG181" s="140"/>
      <c r="AH181" s="113"/>
      <c r="AI181" s="136"/>
      <c r="AJ181" s="136"/>
    </row>
    <row r="182" spans="1:36" x14ac:dyDescent="0.25">
      <c r="A182" s="137"/>
      <c r="B182" s="2">
        <f t="shared" si="64"/>
        <v>0</v>
      </c>
      <c r="C182" s="126">
        <f t="shared" ca="1" si="65"/>
        <v>0</v>
      </c>
      <c r="D182" s="127"/>
      <c r="E182" s="13">
        <f t="shared" ca="1" si="66"/>
        <v>0</v>
      </c>
      <c r="F182" s="2">
        <f t="shared" si="67"/>
        <v>0</v>
      </c>
      <c r="G182" s="126">
        <f t="shared" ca="1" si="68"/>
        <v>0</v>
      </c>
      <c r="H182" s="127"/>
      <c r="I182" s="12">
        <f t="shared" ca="1" si="69"/>
        <v>0</v>
      </c>
      <c r="J182" s="2">
        <f t="shared" si="70"/>
        <v>0</v>
      </c>
      <c r="K182" s="126">
        <f t="shared" ca="1" si="71"/>
        <v>0</v>
      </c>
      <c r="L182" s="127"/>
      <c r="M182" s="12"/>
      <c r="N182" s="2">
        <f t="shared" si="72"/>
        <v>0</v>
      </c>
      <c r="O182" s="126">
        <f t="shared" ca="1" si="73"/>
        <v>0</v>
      </c>
      <c r="P182" s="127"/>
      <c r="Q182" s="12">
        <f t="shared" ca="1" si="83"/>
        <v>0</v>
      </c>
      <c r="R182" s="2">
        <f t="shared" si="74"/>
        <v>0</v>
      </c>
      <c r="S182" s="126">
        <f t="shared" ca="1" si="75"/>
        <v>0</v>
      </c>
      <c r="T182" s="127"/>
      <c r="U182" s="13">
        <f t="shared" ca="1" si="76"/>
        <v>0</v>
      </c>
      <c r="V182" s="2">
        <f t="shared" si="77"/>
        <v>0</v>
      </c>
      <c r="W182" s="126">
        <f t="shared" ca="1" si="78"/>
        <v>0</v>
      </c>
      <c r="X182" s="127"/>
      <c r="Y182" s="12">
        <f t="shared" ca="1" si="79"/>
        <v>0</v>
      </c>
      <c r="Z182" s="2">
        <f t="shared" si="80"/>
        <v>0</v>
      </c>
      <c r="AA182" s="126">
        <f t="shared" ca="1" si="81"/>
        <v>0</v>
      </c>
      <c r="AB182" s="127"/>
      <c r="AC182" s="12">
        <f t="shared" ca="1" si="82"/>
        <v>0</v>
      </c>
      <c r="AD182" s="140"/>
      <c r="AE182" s="140"/>
      <c r="AF182" s="140"/>
      <c r="AG182" s="140"/>
      <c r="AH182" s="113"/>
      <c r="AI182" s="136"/>
      <c r="AJ182" s="136"/>
    </row>
    <row r="183" spans="1:36" x14ac:dyDescent="0.25">
      <c r="A183" s="138"/>
      <c r="B183" s="2">
        <f t="shared" si="64"/>
        <v>0</v>
      </c>
      <c r="C183" s="126">
        <f t="shared" ca="1" si="65"/>
        <v>0</v>
      </c>
      <c r="D183" s="127"/>
      <c r="E183" s="13">
        <f t="shared" ca="1" si="66"/>
        <v>0</v>
      </c>
      <c r="F183" s="2">
        <f t="shared" si="67"/>
        <v>0</v>
      </c>
      <c r="G183" s="126">
        <f t="shared" ca="1" si="68"/>
        <v>0</v>
      </c>
      <c r="H183" s="127"/>
      <c r="I183" s="12">
        <f t="shared" ca="1" si="69"/>
        <v>0</v>
      </c>
      <c r="J183" s="2">
        <f t="shared" si="70"/>
        <v>0</v>
      </c>
      <c r="K183" s="126">
        <f t="shared" ca="1" si="71"/>
        <v>0</v>
      </c>
      <c r="L183" s="127"/>
      <c r="M183" s="12"/>
      <c r="N183" s="2">
        <f t="shared" si="72"/>
        <v>0</v>
      </c>
      <c r="O183" s="126">
        <f t="shared" ca="1" si="73"/>
        <v>0</v>
      </c>
      <c r="P183" s="127"/>
      <c r="Q183" s="12">
        <f t="shared" ca="1" si="83"/>
        <v>0</v>
      </c>
      <c r="R183" s="2">
        <f t="shared" si="74"/>
        <v>0</v>
      </c>
      <c r="S183" s="126">
        <f t="shared" ca="1" si="75"/>
        <v>0</v>
      </c>
      <c r="T183" s="127"/>
      <c r="U183" s="13">
        <f t="shared" ca="1" si="76"/>
        <v>0</v>
      </c>
      <c r="V183" s="2">
        <f t="shared" si="77"/>
        <v>0</v>
      </c>
      <c r="W183" s="126">
        <f t="shared" ca="1" si="78"/>
        <v>0</v>
      </c>
      <c r="X183" s="127"/>
      <c r="Y183" s="12">
        <f t="shared" ca="1" si="79"/>
        <v>0</v>
      </c>
      <c r="Z183" s="2">
        <f t="shared" si="80"/>
        <v>0</v>
      </c>
      <c r="AA183" s="126">
        <f t="shared" ca="1" si="81"/>
        <v>0</v>
      </c>
      <c r="AB183" s="127"/>
      <c r="AC183" s="12">
        <f t="shared" ca="1" si="82"/>
        <v>0</v>
      </c>
      <c r="AD183" s="140"/>
      <c r="AE183" s="140"/>
      <c r="AF183" s="140"/>
      <c r="AG183" s="140"/>
      <c r="AH183" s="113"/>
      <c r="AI183" s="136"/>
      <c r="AJ183" s="136"/>
    </row>
    <row r="184" spans="1:36" x14ac:dyDescent="0.25">
      <c r="A184" s="137">
        <v>45270</v>
      </c>
      <c r="B184" s="2">
        <f>B5</f>
        <v>0</v>
      </c>
      <c r="C184" s="126">
        <f ca="1">IF(TODAY()=$A$184,C5*D5*E5,C184)</f>
        <v>0</v>
      </c>
      <c r="D184" s="127"/>
      <c r="E184" s="13">
        <f ca="1">IF(TODAY()=$A$184,E5,E184)</f>
        <v>0</v>
      </c>
      <c r="F184" s="2">
        <f>F5</f>
        <v>0</v>
      </c>
      <c r="G184" s="126">
        <f ca="1">IF(TODAY()=$A$184,G5*H5*I5,G184)</f>
        <v>0</v>
      </c>
      <c r="H184" s="127"/>
      <c r="I184" s="12">
        <f ca="1">IF(TODAY()=$A$184,I5,I184)</f>
        <v>0</v>
      </c>
      <c r="J184" s="2">
        <f>J5</f>
        <v>0</v>
      </c>
      <c r="K184" s="126">
        <f ca="1">IF(TODAY()=$A$184,K5*L5*M5,K184)</f>
        <v>0</v>
      </c>
      <c r="L184" s="127"/>
      <c r="M184" s="12">
        <f ca="1">IF(TODAY()=$A$184,M5,M184)</f>
        <v>0</v>
      </c>
      <c r="N184" s="2">
        <f>N5</f>
        <v>0</v>
      </c>
      <c r="O184" s="126">
        <f ca="1">IF(TODAY()=$A$184,O5*P5*Q5,O184)</f>
        <v>0</v>
      </c>
      <c r="P184" s="127"/>
      <c r="Q184" s="12">
        <f ca="1">IF(TODAY()=$A$184,Q5,Q184)</f>
        <v>0</v>
      </c>
      <c r="R184" s="2">
        <f>R5</f>
        <v>0</v>
      </c>
      <c r="S184" s="126">
        <f ca="1">IF(TODAY()=$A$184,S5*T5*U5,S184)</f>
        <v>0</v>
      </c>
      <c r="T184" s="127"/>
      <c r="U184" s="13">
        <f ca="1">IF(TODAY()=$A$184,U5,U184)</f>
        <v>0</v>
      </c>
      <c r="V184" s="2">
        <f>V5</f>
        <v>0</v>
      </c>
      <c r="W184" s="126">
        <f ca="1">IF(TODAY()=$A$184,W5*X5*Y5,W184)</f>
        <v>0</v>
      </c>
      <c r="X184" s="127"/>
      <c r="Y184" s="12">
        <f ca="1">IF(TODAY()=$A$184,Y5,Y184)</f>
        <v>0</v>
      </c>
      <c r="Z184" s="2">
        <f>Z5</f>
        <v>0</v>
      </c>
      <c r="AA184" s="126">
        <f ca="1">IF(TODAY()=$A$184,AA5*AB5*AC5,AA184)</f>
        <v>0</v>
      </c>
      <c r="AB184" s="127"/>
      <c r="AC184" s="12">
        <f ca="1">IF(TODAY()=$A$184,AC5,AC184)</f>
        <v>0</v>
      </c>
      <c r="AD184" s="139">
        <f ca="1">SUM(C184:E218,G184:I218,K184:M218,O184:Q218,S184:U218,W184:Y218,AA184:AC218)</f>
        <v>0</v>
      </c>
      <c r="AE184" s="139"/>
      <c r="AF184" s="139"/>
      <c r="AG184" s="139"/>
      <c r="AH184" s="112" t="e">
        <f t="shared" ref="AH184" ca="1" si="84">(AD184-AD149)/AD149</f>
        <v>#DIV/0!</v>
      </c>
      <c r="AI184" s="135"/>
      <c r="AJ184" s="135"/>
    </row>
    <row r="185" spans="1:36" x14ac:dyDescent="0.25">
      <c r="A185" s="137"/>
      <c r="B185" s="2">
        <f t="shared" ref="B185:B218" si="85">B6</f>
        <v>0</v>
      </c>
      <c r="C185" s="126">
        <f t="shared" ref="C185:C218" ca="1" si="86">IF(TODAY()=$A$184,C6*D6*E6,C185)</f>
        <v>0</v>
      </c>
      <c r="D185" s="127"/>
      <c r="E185" s="13">
        <f t="shared" ref="E185:E218" ca="1" si="87">IF(TODAY()=$A$184,E6,E185)</f>
        <v>0</v>
      </c>
      <c r="F185" s="2">
        <f t="shared" ref="F185:F218" si="88">F6</f>
        <v>0</v>
      </c>
      <c r="G185" s="126">
        <f t="shared" ref="G185:G218" ca="1" si="89">IF(TODAY()=$A$184,G6*H6*I6,G185)</f>
        <v>0</v>
      </c>
      <c r="H185" s="127"/>
      <c r="I185" s="12">
        <f t="shared" ref="I185:I218" ca="1" si="90">IF(TODAY()=$A$184,I6,I185)</f>
        <v>0</v>
      </c>
      <c r="J185" s="2">
        <f t="shared" ref="J185:J218" si="91">J6</f>
        <v>0</v>
      </c>
      <c r="K185" s="126">
        <f t="shared" ref="K185:K218" ca="1" si="92">IF(TODAY()=$A$184,K6*L6*M6,K185)</f>
        <v>0</v>
      </c>
      <c r="L185" s="127"/>
      <c r="M185" s="12">
        <f t="shared" ref="M185:M218" ca="1" si="93">IF(TODAY()=$A$184,M6,M185)</f>
        <v>0</v>
      </c>
      <c r="N185" s="2">
        <f t="shared" ref="N185:N218" si="94">N6</f>
        <v>0</v>
      </c>
      <c r="O185" s="126">
        <f t="shared" ref="O185:O218" ca="1" si="95">IF(TODAY()=$A$184,O6*P6*Q6,O185)</f>
        <v>0</v>
      </c>
      <c r="P185" s="127"/>
      <c r="Q185" s="12">
        <f t="shared" ref="Q185:Q218" ca="1" si="96">IF(TODAY()=$A$184,Q6,Q185)</f>
        <v>0</v>
      </c>
      <c r="R185" s="2">
        <f t="shared" ref="R185:R218" si="97">R6</f>
        <v>0</v>
      </c>
      <c r="S185" s="126">
        <f t="shared" ref="S185:S218" ca="1" si="98">IF(TODAY()=$A$184,S6*T6*U6,S185)</f>
        <v>0</v>
      </c>
      <c r="T185" s="127"/>
      <c r="U185" s="13">
        <f t="shared" ref="U185:U218" ca="1" si="99">IF(TODAY()=$A$184,U6,U185)</f>
        <v>0</v>
      </c>
      <c r="V185" s="2">
        <f t="shared" ref="V185:V218" si="100">V6</f>
        <v>0</v>
      </c>
      <c r="W185" s="126">
        <f t="shared" ref="W185:W218" ca="1" si="101">IF(TODAY()=$A$184,W6*X6*Y6,W185)</f>
        <v>0</v>
      </c>
      <c r="X185" s="127"/>
      <c r="Y185" s="12">
        <f t="shared" ref="Y185:Y218" ca="1" si="102">IF(TODAY()=$A$184,Y6,Y185)</f>
        <v>0</v>
      </c>
      <c r="Z185" s="2">
        <f t="shared" ref="Z185:Z218" si="103">Z6</f>
        <v>0</v>
      </c>
      <c r="AA185" s="126">
        <f t="shared" ref="AA185:AA218" ca="1" si="104">IF(TODAY()=$A$184,AA6*AB6*AC6,AA185)</f>
        <v>0</v>
      </c>
      <c r="AB185" s="127"/>
      <c r="AC185" s="12">
        <f t="shared" ref="AC185:AC218" ca="1" si="105">IF(TODAY()=$A$184,AC6,AC185)</f>
        <v>0</v>
      </c>
      <c r="AD185" s="140"/>
      <c r="AE185" s="140"/>
      <c r="AF185" s="140"/>
      <c r="AG185" s="140"/>
      <c r="AH185" s="113"/>
      <c r="AI185" s="136"/>
      <c r="AJ185" s="136"/>
    </row>
    <row r="186" spans="1:36" x14ac:dyDescent="0.25">
      <c r="A186" s="137"/>
      <c r="B186" s="2">
        <f t="shared" si="85"/>
        <v>0</v>
      </c>
      <c r="C186" s="126">
        <f t="shared" ca="1" si="86"/>
        <v>0</v>
      </c>
      <c r="D186" s="127"/>
      <c r="E186" s="13">
        <f t="shared" ca="1" si="87"/>
        <v>0</v>
      </c>
      <c r="F186" s="2">
        <f t="shared" si="88"/>
        <v>0</v>
      </c>
      <c r="G186" s="126">
        <f t="shared" ca="1" si="89"/>
        <v>0</v>
      </c>
      <c r="H186" s="127"/>
      <c r="I186" s="12">
        <f t="shared" ca="1" si="90"/>
        <v>0</v>
      </c>
      <c r="J186" s="2">
        <f t="shared" si="91"/>
        <v>0</v>
      </c>
      <c r="K186" s="126">
        <f t="shared" ca="1" si="92"/>
        <v>0</v>
      </c>
      <c r="L186" s="127"/>
      <c r="M186" s="12">
        <f t="shared" ca="1" si="93"/>
        <v>0</v>
      </c>
      <c r="N186" s="2">
        <f t="shared" si="94"/>
        <v>0</v>
      </c>
      <c r="O186" s="126">
        <f t="shared" ca="1" si="95"/>
        <v>0</v>
      </c>
      <c r="P186" s="127"/>
      <c r="Q186" s="12">
        <f t="shared" ca="1" si="96"/>
        <v>0</v>
      </c>
      <c r="R186" s="2">
        <f t="shared" si="97"/>
        <v>0</v>
      </c>
      <c r="S186" s="126">
        <f t="shared" ca="1" si="98"/>
        <v>0</v>
      </c>
      <c r="T186" s="127"/>
      <c r="U186" s="13">
        <f t="shared" ca="1" si="99"/>
        <v>0</v>
      </c>
      <c r="V186" s="2">
        <f t="shared" si="100"/>
        <v>0</v>
      </c>
      <c r="W186" s="126">
        <f t="shared" ca="1" si="101"/>
        <v>0</v>
      </c>
      <c r="X186" s="127"/>
      <c r="Y186" s="12">
        <f t="shared" ca="1" si="102"/>
        <v>0</v>
      </c>
      <c r="Z186" s="2">
        <f t="shared" si="103"/>
        <v>0</v>
      </c>
      <c r="AA186" s="126">
        <f t="shared" ca="1" si="104"/>
        <v>0</v>
      </c>
      <c r="AB186" s="127"/>
      <c r="AC186" s="12">
        <f t="shared" ca="1" si="105"/>
        <v>0</v>
      </c>
      <c r="AD186" s="140"/>
      <c r="AE186" s="140"/>
      <c r="AF186" s="140"/>
      <c r="AG186" s="140"/>
      <c r="AH186" s="113"/>
      <c r="AI186" s="136"/>
      <c r="AJ186" s="136"/>
    </row>
    <row r="187" spans="1:36" x14ac:dyDescent="0.25">
      <c r="A187" s="137"/>
      <c r="B187" s="2">
        <f t="shared" si="85"/>
        <v>0</v>
      </c>
      <c r="C187" s="126">
        <f t="shared" ca="1" si="86"/>
        <v>0</v>
      </c>
      <c r="D187" s="127"/>
      <c r="E187" s="13">
        <f t="shared" ca="1" si="87"/>
        <v>0</v>
      </c>
      <c r="F187" s="2">
        <f t="shared" si="88"/>
        <v>0</v>
      </c>
      <c r="G187" s="126">
        <f t="shared" ca="1" si="89"/>
        <v>0</v>
      </c>
      <c r="H187" s="127"/>
      <c r="I187" s="12">
        <f t="shared" ca="1" si="90"/>
        <v>0</v>
      </c>
      <c r="J187" s="2">
        <f t="shared" si="91"/>
        <v>0</v>
      </c>
      <c r="K187" s="126">
        <f t="shared" ca="1" si="92"/>
        <v>0</v>
      </c>
      <c r="L187" s="127"/>
      <c r="M187" s="12">
        <f t="shared" ca="1" si="93"/>
        <v>0</v>
      </c>
      <c r="N187" s="2">
        <f t="shared" si="94"/>
        <v>0</v>
      </c>
      <c r="O187" s="126">
        <f t="shared" ca="1" si="95"/>
        <v>0</v>
      </c>
      <c r="P187" s="127"/>
      <c r="Q187" s="12">
        <f t="shared" ca="1" si="96"/>
        <v>0</v>
      </c>
      <c r="R187" s="2">
        <f t="shared" si="97"/>
        <v>0</v>
      </c>
      <c r="S187" s="126">
        <f t="shared" ca="1" si="98"/>
        <v>0</v>
      </c>
      <c r="T187" s="127"/>
      <c r="U187" s="13">
        <f t="shared" ca="1" si="99"/>
        <v>0</v>
      </c>
      <c r="V187" s="2">
        <f t="shared" si="100"/>
        <v>0</v>
      </c>
      <c r="W187" s="126">
        <f t="shared" ca="1" si="101"/>
        <v>0</v>
      </c>
      <c r="X187" s="127"/>
      <c r="Y187" s="12">
        <f t="shared" ca="1" si="102"/>
        <v>0</v>
      </c>
      <c r="Z187" s="2">
        <f t="shared" si="103"/>
        <v>0</v>
      </c>
      <c r="AA187" s="126">
        <f t="shared" ca="1" si="104"/>
        <v>0</v>
      </c>
      <c r="AB187" s="127"/>
      <c r="AC187" s="12">
        <f t="shared" ca="1" si="105"/>
        <v>0</v>
      </c>
      <c r="AD187" s="140"/>
      <c r="AE187" s="140"/>
      <c r="AF187" s="140"/>
      <c r="AG187" s="140"/>
      <c r="AH187" s="113"/>
      <c r="AI187" s="136"/>
      <c r="AJ187" s="136"/>
    </row>
    <row r="188" spans="1:36" x14ac:dyDescent="0.25">
      <c r="A188" s="137"/>
      <c r="B188" s="2">
        <f t="shared" si="85"/>
        <v>0</v>
      </c>
      <c r="C188" s="126">
        <f t="shared" ca="1" si="86"/>
        <v>0</v>
      </c>
      <c r="D188" s="127"/>
      <c r="E188" s="13">
        <f t="shared" ca="1" si="87"/>
        <v>0</v>
      </c>
      <c r="F188" s="2">
        <f t="shared" si="88"/>
        <v>0</v>
      </c>
      <c r="G188" s="126">
        <f t="shared" ca="1" si="89"/>
        <v>0</v>
      </c>
      <c r="H188" s="127"/>
      <c r="I188" s="12">
        <f t="shared" ca="1" si="90"/>
        <v>0</v>
      </c>
      <c r="J188" s="2">
        <f t="shared" si="91"/>
        <v>0</v>
      </c>
      <c r="K188" s="126">
        <f t="shared" ca="1" si="92"/>
        <v>0</v>
      </c>
      <c r="L188" s="127"/>
      <c r="M188" s="12">
        <f t="shared" ca="1" si="93"/>
        <v>0</v>
      </c>
      <c r="N188" s="2">
        <f t="shared" si="94"/>
        <v>0</v>
      </c>
      <c r="O188" s="126">
        <f t="shared" ca="1" si="95"/>
        <v>0</v>
      </c>
      <c r="P188" s="127"/>
      <c r="Q188" s="12">
        <f t="shared" ca="1" si="96"/>
        <v>0</v>
      </c>
      <c r="R188" s="2">
        <f t="shared" si="97"/>
        <v>0</v>
      </c>
      <c r="S188" s="126">
        <f t="shared" ca="1" si="98"/>
        <v>0</v>
      </c>
      <c r="T188" s="127"/>
      <c r="U188" s="13">
        <f t="shared" ca="1" si="99"/>
        <v>0</v>
      </c>
      <c r="V188" s="2">
        <f t="shared" si="100"/>
        <v>0</v>
      </c>
      <c r="W188" s="126">
        <f t="shared" ca="1" si="101"/>
        <v>0</v>
      </c>
      <c r="X188" s="127"/>
      <c r="Y188" s="12">
        <f t="shared" ca="1" si="102"/>
        <v>0</v>
      </c>
      <c r="Z188" s="2">
        <f t="shared" si="103"/>
        <v>0</v>
      </c>
      <c r="AA188" s="126">
        <f t="shared" ca="1" si="104"/>
        <v>0</v>
      </c>
      <c r="AB188" s="127"/>
      <c r="AC188" s="12">
        <f t="shared" ca="1" si="105"/>
        <v>0</v>
      </c>
      <c r="AD188" s="140"/>
      <c r="AE188" s="140"/>
      <c r="AF188" s="140"/>
      <c r="AG188" s="140"/>
      <c r="AH188" s="113"/>
      <c r="AI188" s="136"/>
      <c r="AJ188" s="136"/>
    </row>
    <row r="189" spans="1:36" x14ac:dyDescent="0.25">
      <c r="A189" s="137"/>
      <c r="B189" s="2">
        <f t="shared" si="85"/>
        <v>0</v>
      </c>
      <c r="C189" s="126">
        <f t="shared" ca="1" si="86"/>
        <v>0</v>
      </c>
      <c r="D189" s="127"/>
      <c r="E189" s="13">
        <f t="shared" ca="1" si="87"/>
        <v>0</v>
      </c>
      <c r="F189" s="2">
        <f t="shared" si="88"/>
        <v>0</v>
      </c>
      <c r="G189" s="126">
        <f t="shared" ca="1" si="89"/>
        <v>0</v>
      </c>
      <c r="H189" s="127"/>
      <c r="I189" s="12">
        <f t="shared" ca="1" si="90"/>
        <v>0</v>
      </c>
      <c r="J189" s="2">
        <f t="shared" si="91"/>
        <v>0</v>
      </c>
      <c r="K189" s="126">
        <f t="shared" ca="1" si="92"/>
        <v>0</v>
      </c>
      <c r="L189" s="127"/>
      <c r="M189" s="12">
        <f t="shared" ca="1" si="93"/>
        <v>0</v>
      </c>
      <c r="N189" s="2">
        <f t="shared" si="94"/>
        <v>0</v>
      </c>
      <c r="O189" s="126">
        <f t="shared" ca="1" si="95"/>
        <v>0</v>
      </c>
      <c r="P189" s="127"/>
      <c r="Q189" s="12">
        <f t="shared" ca="1" si="96"/>
        <v>0</v>
      </c>
      <c r="R189" s="2">
        <f t="shared" si="97"/>
        <v>0</v>
      </c>
      <c r="S189" s="126">
        <f t="shared" ca="1" si="98"/>
        <v>0</v>
      </c>
      <c r="T189" s="127"/>
      <c r="U189" s="13">
        <f t="shared" ca="1" si="99"/>
        <v>0</v>
      </c>
      <c r="V189" s="2">
        <f t="shared" si="100"/>
        <v>0</v>
      </c>
      <c r="W189" s="126">
        <f t="shared" ca="1" si="101"/>
        <v>0</v>
      </c>
      <c r="X189" s="127"/>
      <c r="Y189" s="12">
        <f t="shared" ca="1" si="102"/>
        <v>0</v>
      </c>
      <c r="Z189" s="2">
        <f t="shared" si="103"/>
        <v>0</v>
      </c>
      <c r="AA189" s="126">
        <f t="shared" ca="1" si="104"/>
        <v>0</v>
      </c>
      <c r="AB189" s="127"/>
      <c r="AC189" s="12">
        <f t="shared" ca="1" si="105"/>
        <v>0</v>
      </c>
      <c r="AD189" s="140"/>
      <c r="AE189" s="140"/>
      <c r="AF189" s="140"/>
      <c r="AG189" s="140"/>
      <c r="AH189" s="113"/>
      <c r="AI189" s="136"/>
      <c r="AJ189" s="136"/>
    </row>
    <row r="190" spans="1:36" x14ac:dyDescent="0.25">
      <c r="A190" s="137"/>
      <c r="B190" s="2">
        <f t="shared" si="85"/>
        <v>0</v>
      </c>
      <c r="C190" s="126">
        <f t="shared" ca="1" si="86"/>
        <v>0</v>
      </c>
      <c r="D190" s="127"/>
      <c r="E190" s="13">
        <f t="shared" ca="1" si="87"/>
        <v>0</v>
      </c>
      <c r="F190" s="2">
        <f t="shared" si="88"/>
        <v>0</v>
      </c>
      <c r="G190" s="126">
        <f t="shared" ca="1" si="89"/>
        <v>0</v>
      </c>
      <c r="H190" s="127"/>
      <c r="I190" s="12">
        <f t="shared" ca="1" si="90"/>
        <v>0</v>
      </c>
      <c r="J190" s="2">
        <f t="shared" si="91"/>
        <v>0</v>
      </c>
      <c r="K190" s="126">
        <f t="shared" ca="1" si="92"/>
        <v>0</v>
      </c>
      <c r="L190" s="127"/>
      <c r="M190" s="12">
        <f t="shared" ca="1" si="93"/>
        <v>0</v>
      </c>
      <c r="N190" s="2">
        <f t="shared" si="94"/>
        <v>0</v>
      </c>
      <c r="O190" s="126">
        <f t="shared" ca="1" si="95"/>
        <v>0</v>
      </c>
      <c r="P190" s="127"/>
      <c r="Q190" s="12">
        <f t="shared" ca="1" si="96"/>
        <v>0</v>
      </c>
      <c r="R190" s="2">
        <f t="shared" si="97"/>
        <v>0</v>
      </c>
      <c r="S190" s="126">
        <f t="shared" ca="1" si="98"/>
        <v>0</v>
      </c>
      <c r="T190" s="127"/>
      <c r="U190" s="13">
        <f t="shared" ca="1" si="99"/>
        <v>0</v>
      </c>
      <c r="V190" s="2">
        <f t="shared" si="100"/>
        <v>0</v>
      </c>
      <c r="W190" s="126">
        <f t="shared" ca="1" si="101"/>
        <v>0</v>
      </c>
      <c r="X190" s="127"/>
      <c r="Y190" s="12">
        <f t="shared" ca="1" si="102"/>
        <v>0</v>
      </c>
      <c r="Z190" s="2">
        <f t="shared" si="103"/>
        <v>0</v>
      </c>
      <c r="AA190" s="126">
        <f t="shared" ca="1" si="104"/>
        <v>0</v>
      </c>
      <c r="AB190" s="127"/>
      <c r="AC190" s="12">
        <f t="shared" ca="1" si="105"/>
        <v>0</v>
      </c>
      <c r="AD190" s="140"/>
      <c r="AE190" s="140"/>
      <c r="AF190" s="140"/>
      <c r="AG190" s="140"/>
      <c r="AH190" s="113"/>
      <c r="AI190" s="136"/>
      <c r="AJ190" s="136"/>
    </row>
    <row r="191" spans="1:36" x14ac:dyDescent="0.25">
      <c r="A191" s="137"/>
      <c r="B191" s="2">
        <f t="shared" si="85"/>
        <v>0</v>
      </c>
      <c r="C191" s="126">
        <f t="shared" ca="1" si="86"/>
        <v>0</v>
      </c>
      <c r="D191" s="127"/>
      <c r="E191" s="13">
        <f t="shared" ca="1" si="87"/>
        <v>0</v>
      </c>
      <c r="F191" s="2">
        <f t="shared" si="88"/>
        <v>0</v>
      </c>
      <c r="G191" s="126">
        <f t="shared" ca="1" si="89"/>
        <v>0</v>
      </c>
      <c r="H191" s="127"/>
      <c r="I191" s="12">
        <f t="shared" ca="1" si="90"/>
        <v>0</v>
      </c>
      <c r="J191" s="2">
        <f t="shared" si="91"/>
        <v>0</v>
      </c>
      <c r="K191" s="126">
        <f t="shared" ca="1" si="92"/>
        <v>0</v>
      </c>
      <c r="L191" s="127"/>
      <c r="M191" s="12">
        <f t="shared" ca="1" si="93"/>
        <v>0</v>
      </c>
      <c r="N191" s="2">
        <f t="shared" si="94"/>
        <v>0</v>
      </c>
      <c r="O191" s="126">
        <f t="shared" ca="1" si="95"/>
        <v>0</v>
      </c>
      <c r="P191" s="127"/>
      <c r="Q191" s="12">
        <f t="shared" ca="1" si="96"/>
        <v>0</v>
      </c>
      <c r="R191" s="2">
        <f t="shared" si="97"/>
        <v>0</v>
      </c>
      <c r="S191" s="126">
        <f t="shared" ca="1" si="98"/>
        <v>0</v>
      </c>
      <c r="T191" s="127"/>
      <c r="U191" s="13">
        <f t="shared" ca="1" si="99"/>
        <v>0</v>
      </c>
      <c r="V191" s="2">
        <f t="shared" si="100"/>
        <v>0</v>
      </c>
      <c r="W191" s="126">
        <f t="shared" ca="1" si="101"/>
        <v>0</v>
      </c>
      <c r="X191" s="127"/>
      <c r="Y191" s="12">
        <f t="shared" ca="1" si="102"/>
        <v>0</v>
      </c>
      <c r="Z191" s="2">
        <f t="shared" si="103"/>
        <v>0</v>
      </c>
      <c r="AA191" s="126">
        <f t="shared" ca="1" si="104"/>
        <v>0</v>
      </c>
      <c r="AB191" s="127"/>
      <c r="AC191" s="12">
        <f t="shared" ca="1" si="105"/>
        <v>0</v>
      </c>
      <c r="AD191" s="140"/>
      <c r="AE191" s="140"/>
      <c r="AF191" s="140"/>
      <c r="AG191" s="140"/>
      <c r="AH191" s="113"/>
      <c r="AI191" s="136"/>
      <c r="AJ191" s="136"/>
    </row>
    <row r="192" spans="1:36" x14ac:dyDescent="0.25">
      <c r="A192" s="137"/>
      <c r="B192" s="2">
        <f t="shared" si="85"/>
        <v>0</v>
      </c>
      <c r="C192" s="126">
        <f t="shared" ca="1" si="86"/>
        <v>0</v>
      </c>
      <c r="D192" s="127"/>
      <c r="E192" s="13">
        <f t="shared" ca="1" si="87"/>
        <v>0</v>
      </c>
      <c r="F192" s="2">
        <f t="shared" si="88"/>
        <v>0</v>
      </c>
      <c r="G192" s="126">
        <f t="shared" ca="1" si="89"/>
        <v>0</v>
      </c>
      <c r="H192" s="127"/>
      <c r="I192" s="12">
        <f t="shared" ca="1" si="90"/>
        <v>0</v>
      </c>
      <c r="J192" s="2">
        <f t="shared" si="91"/>
        <v>0</v>
      </c>
      <c r="K192" s="126">
        <f t="shared" ca="1" si="92"/>
        <v>0</v>
      </c>
      <c r="L192" s="127"/>
      <c r="M192" s="12">
        <f t="shared" ca="1" si="93"/>
        <v>0</v>
      </c>
      <c r="N192" s="2">
        <f t="shared" si="94"/>
        <v>0</v>
      </c>
      <c r="O192" s="126">
        <f t="shared" ca="1" si="95"/>
        <v>0</v>
      </c>
      <c r="P192" s="127"/>
      <c r="Q192" s="12">
        <f t="shared" ca="1" si="96"/>
        <v>0</v>
      </c>
      <c r="R192" s="2">
        <f t="shared" si="97"/>
        <v>0</v>
      </c>
      <c r="S192" s="126">
        <f t="shared" ca="1" si="98"/>
        <v>0</v>
      </c>
      <c r="T192" s="127"/>
      <c r="U192" s="13">
        <f t="shared" ca="1" si="99"/>
        <v>0</v>
      </c>
      <c r="V192" s="2">
        <f t="shared" si="100"/>
        <v>0</v>
      </c>
      <c r="W192" s="126">
        <f t="shared" ca="1" si="101"/>
        <v>0</v>
      </c>
      <c r="X192" s="127"/>
      <c r="Y192" s="12">
        <f t="shared" ca="1" si="102"/>
        <v>0</v>
      </c>
      <c r="Z192" s="2">
        <f t="shared" si="103"/>
        <v>0</v>
      </c>
      <c r="AA192" s="126">
        <f t="shared" ca="1" si="104"/>
        <v>0</v>
      </c>
      <c r="AB192" s="127"/>
      <c r="AC192" s="12">
        <f t="shared" ca="1" si="105"/>
        <v>0</v>
      </c>
      <c r="AD192" s="140"/>
      <c r="AE192" s="140"/>
      <c r="AF192" s="140"/>
      <c r="AG192" s="140"/>
      <c r="AH192" s="113"/>
      <c r="AI192" s="136"/>
      <c r="AJ192" s="136"/>
    </row>
    <row r="193" spans="1:36" x14ac:dyDescent="0.25">
      <c r="A193" s="137"/>
      <c r="B193" s="2">
        <f t="shared" si="85"/>
        <v>0</v>
      </c>
      <c r="C193" s="126">
        <f t="shared" ca="1" si="86"/>
        <v>0</v>
      </c>
      <c r="D193" s="127"/>
      <c r="E193" s="13">
        <f t="shared" ca="1" si="87"/>
        <v>0</v>
      </c>
      <c r="F193" s="2">
        <f t="shared" si="88"/>
        <v>0</v>
      </c>
      <c r="G193" s="126">
        <f t="shared" ca="1" si="89"/>
        <v>0</v>
      </c>
      <c r="H193" s="127"/>
      <c r="I193" s="12">
        <f t="shared" ca="1" si="90"/>
        <v>0</v>
      </c>
      <c r="J193" s="2">
        <f t="shared" si="91"/>
        <v>0</v>
      </c>
      <c r="K193" s="126">
        <f ca="1">IF(TODAY()=$A$184,K14*L14*M14,K193)</f>
        <v>0</v>
      </c>
      <c r="L193" s="127"/>
      <c r="M193" s="12">
        <f t="shared" ca="1" si="93"/>
        <v>0</v>
      </c>
      <c r="N193" s="2">
        <f t="shared" si="94"/>
        <v>0</v>
      </c>
      <c r="O193" s="126">
        <f t="shared" ca="1" si="95"/>
        <v>0</v>
      </c>
      <c r="P193" s="127"/>
      <c r="Q193" s="12">
        <f t="shared" ca="1" si="96"/>
        <v>0</v>
      </c>
      <c r="R193" s="2">
        <f t="shared" si="97"/>
        <v>0</v>
      </c>
      <c r="S193" s="126">
        <f t="shared" ca="1" si="98"/>
        <v>0</v>
      </c>
      <c r="T193" s="127"/>
      <c r="U193" s="13">
        <f t="shared" ca="1" si="99"/>
        <v>0</v>
      </c>
      <c r="V193" s="2">
        <f t="shared" si="100"/>
        <v>0</v>
      </c>
      <c r="W193" s="126">
        <f t="shared" ca="1" si="101"/>
        <v>0</v>
      </c>
      <c r="X193" s="127"/>
      <c r="Y193" s="12">
        <f t="shared" ca="1" si="102"/>
        <v>0</v>
      </c>
      <c r="Z193" s="2">
        <f t="shared" si="103"/>
        <v>0</v>
      </c>
      <c r="AA193" s="126">
        <f t="shared" ca="1" si="104"/>
        <v>0</v>
      </c>
      <c r="AB193" s="127"/>
      <c r="AC193" s="12">
        <f t="shared" ca="1" si="105"/>
        <v>0</v>
      </c>
      <c r="AD193" s="140"/>
      <c r="AE193" s="140"/>
      <c r="AF193" s="140"/>
      <c r="AG193" s="140"/>
      <c r="AH193" s="113"/>
      <c r="AI193" s="136"/>
      <c r="AJ193" s="136"/>
    </row>
    <row r="194" spans="1:36" x14ac:dyDescent="0.25">
      <c r="A194" s="137"/>
      <c r="B194" s="2">
        <f t="shared" si="85"/>
        <v>0</v>
      </c>
      <c r="C194" s="126">
        <f t="shared" ca="1" si="86"/>
        <v>0</v>
      </c>
      <c r="D194" s="127"/>
      <c r="E194" s="13">
        <f t="shared" ca="1" si="87"/>
        <v>0</v>
      </c>
      <c r="F194" s="2">
        <f t="shared" si="88"/>
        <v>0</v>
      </c>
      <c r="G194" s="126">
        <f t="shared" ca="1" si="89"/>
        <v>0</v>
      </c>
      <c r="H194" s="127"/>
      <c r="I194" s="12">
        <f t="shared" ca="1" si="90"/>
        <v>0</v>
      </c>
      <c r="J194" s="2">
        <f t="shared" si="91"/>
        <v>0</v>
      </c>
      <c r="K194" s="126">
        <f t="shared" ca="1" si="92"/>
        <v>0</v>
      </c>
      <c r="L194" s="127"/>
      <c r="M194" s="12">
        <f t="shared" ca="1" si="93"/>
        <v>0</v>
      </c>
      <c r="N194" s="2">
        <f t="shared" si="94"/>
        <v>0</v>
      </c>
      <c r="O194" s="126">
        <f t="shared" ca="1" si="95"/>
        <v>0</v>
      </c>
      <c r="P194" s="127"/>
      <c r="Q194" s="12">
        <f t="shared" ca="1" si="96"/>
        <v>0</v>
      </c>
      <c r="R194" s="2">
        <f t="shared" si="97"/>
        <v>0</v>
      </c>
      <c r="S194" s="126">
        <f t="shared" ca="1" si="98"/>
        <v>0</v>
      </c>
      <c r="T194" s="127"/>
      <c r="U194" s="13">
        <f t="shared" ca="1" si="99"/>
        <v>0</v>
      </c>
      <c r="V194" s="2">
        <f t="shared" si="100"/>
        <v>0</v>
      </c>
      <c r="W194" s="126">
        <f t="shared" ca="1" si="101"/>
        <v>0</v>
      </c>
      <c r="X194" s="127"/>
      <c r="Y194" s="12">
        <f t="shared" ca="1" si="102"/>
        <v>0</v>
      </c>
      <c r="Z194" s="2">
        <f t="shared" si="103"/>
        <v>0</v>
      </c>
      <c r="AA194" s="126">
        <f t="shared" ca="1" si="104"/>
        <v>0</v>
      </c>
      <c r="AB194" s="127"/>
      <c r="AC194" s="12">
        <f t="shared" ca="1" si="105"/>
        <v>0</v>
      </c>
      <c r="AD194" s="140"/>
      <c r="AE194" s="140"/>
      <c r="AF194" s="140"/>
      <c r="AG194" s="140"/>
      <c r="AH194" s="113"/>
      <c r="AI194" s="136"/>
      <c r="AJ194" s="136"/>
    </row>
    <row r="195" spans="1:36" x14ac:dyDescent="0.25">
      <c r="A195" s="137"/>
      <c r="B195" s="2">
        <f t="shared" si="85"/>
        <v>0</v>
      </c>
      <c r="C195" s="126">
        <f t="shared" ca="1" si="86"/>
        <v>0</v>
      </c>
      <c r="D195" s="127"/>
      <c r="E195" s="13">
        <f t="shared" ca="1" si="87"/>
        <v>0</v>
      </c>
      <c r="F195" s="2">
        <f t="shared" si="88"/>
        <v>0</v>
      </c>
      <c r="G195" s="126">
        <f t="shared" ca="1" si="89"/>
        <v>0</v>
      </c>
      <c r="H195" s="127"/>
      <c r="I195" s="12">
        <f t="shared" ca="1" si="90"/>
        <v>0</v>
      </c>
      <c r="J195" s="2">
        <f t="shared" si="91"/>
        <v>0</v>
      </c>
      <c r="K195" s="126">
        <f t="shared" ca="1" si="92"/>
        <v>0</v>
      </c>
      <c r="L195" s="127"/>
      <c r="M195" s="12">
        <f t="shared" ca="1" si="93"/>
        <v>0</v>
      </c>
      <c r="N195" s="2">
        <f t="shared" si="94"/>
        <v>0</v>
      </c>
      <c r="O195" s="126">
        <f t="shared" ca="1" si="95"/>
        <v>0</v>
      </c>
      <c r="P195" s="127"/>
      <c r="Q195" s="12">
        <f t="shared" ca="1" si="96"/>
        <v>0</v>
      </c>
      <c r="R195" s="2">
        <f t="shared" si="97"/>
        <v>0</v>
      </c>
      <c r="S195" s="126">
        <f t="shared" ca="1" si="98"/>
        <v>0</v>
      </c>
      <c r="T195" s="127"/>
      <c r="U195" s="13">
        <f t="shared" ca="1" si="99"/>
        <v>0</v>
      </c>
      <c r="V195" s="2">
        <f t="shared" si="100"/>
        <v>0</v>
      </c>
      <c r="W195" s="126">
        <f t="shared" ca="1" si="101"/>
        <v>0</v>
      </c>
      <c r="X195" s="127"/>
      <c r="Y195" s="12">
        <f t="shared" ca="1" si="102"/>
        <v>0</v>
      </c>
      <c r="Z195" s="2">
        <f t="shared" si="103"/>
        <v>0</v>
      </c>
      <c r="AA195" s="126">
        <f t="shared" ca="1" si="104"/>
        <v>0</v>
      </c>
      <c r="AB195" s="127"/>
      <c r="AC195" s="12">
        <f t="shared" ca="1" si="105"/>
        <v>0</v>
      </c>
      <c r="AD195" s="140"/>
      <c r="AE195" s="140"/>
      <c r="AF195" s="140"/>
      <c r="AG195" s="140"/>
      <c r="AH195" s="113"/>
      <c r="AI195" s="136"/>
      <c r="AJ195" s="136"/>
    </row>
    <row r="196" spans="1:36" x14ac:dyDescent="0.25">
      <c r="A196" s="137"/>
      <c r="B196" s="2">
        <f t="shared" si="85"/>
        <v>0</v>
      </c>
      <c r="C196" s="126">
        <f t="shared" ca="1" si="86"/>
        <v>0</v>
      </c>
      <c r="D196" s="127"/>
      <c r="E196" s="13">
        <f t="shared" ca="1" si="87"/>
        <v>0</v>
      </c>
      <c r="F196" s="2">
        <f t="shared" si="88"/>
        <v>0</v>
      </c>
      <c r="G196" s="126">
        <f t="shared" ca="1" si="89"/>
        <v>0</v>
      </c>
      <c r="H196" s="127"/>
      <c r="I196" s="12">
        <f t="shared" ca="1" si="90"/>
        <v>0</v>
      </c>
      <c r="J196" s="2">
        <f t="shared" si="91"/>
        <v>0</v>
      </c>
      <c r="K196" s="126">
        <f t="shared" ca="1" si="92"/>
        <v>0</v>
      </c>
      <c r="L196" s="127"/>
      <c r="M196" s="12">
        <f t="shared" ca="1" si="93"/>
        <v>0</v>
      </c>
      <c r="N196" s="2">
        <f t="shared" si="94"/>
        <v>0</v>
      </c>
      <c r="O196" s="126">
        <f t="shared" ca="1" si="95"/>
        <v>0</v>
      </c>
      <c r="P196" s="127"/>
      <c r="Q196" s="12">
        <f t="shared" ca="1" si="96"/>
        <v>0</v>
      </c>
      <c r="R196" s="2">
        <f t="shared" si="97"/>
        <v>0</v>
      </c>
      <c r="S196" s="126">
        <f t="shared" ca="1" si="98"/>
        <v>0</v>
      </c>
      <c r="T196" s="127"/>
      <c r="U196" s="13">
        <f t="shared" ca="1" si="99"/>
        <v>0</v>
      </c>
      <c r="V196" s="2">
        <f t="shared" si="100"/>
        <v>0</v>
      </c>
      <c r="W196" s="126">
        <f t="shared" ca="1" si="101"/>
        <v>0</v>
      </c>
      <c r="X196" s="127"/>
      <c r="Y196" s="12">
        <f t="shared" ca="1" si="102"/>
        <v>0</v>
      </c>
      <c r="Z196" s="2">
        <f t="shared" si="103"/>
        <v>0</v>
      </c>
      <c r="AA196" s="126">
        <f t="shared" ca="1" si="104"/>
        <v>0</v>
      </c>
      <c r="AB196" s="127"/>
      <c r="AC196" s="12">
        <f t="shared" ca="1" si="105"/>
        <v>0</v>
      </c>
      <c r="AD196" s="140"/>
      <c r="AE196" s="140"/>
      <c r="AF196" s="140"/>
      <c r="AG196" s="140"/>
      <c r="AH196" s="113"/>
      <c r="AI196" s="136"/>
      <c r="AJ196" s="136"/>
    </row>
    <row r="197" spans="1:36" x14ac:dyDescent="0.25">
      <c r="A197" s="137"/>
      <c r="B197" s="2">
        <f t="shared" si="85"/>
        <v>0</v>
      </c>
      <c r="C197" s="126">
        <f t="shared" ca="1" si="86"/>
        <v>0</v>
      </c>
      <c r="D197" s="127"/>
      <c r="E197" s="13">
        <f t="shared" ca="1" si="87"/>
        <v>0</v>
      </c>
      <c r="F197" s="2">
        <f t="shared" si="88"/>
        <v>0</v>
      </c>
      <c r="G197" s="126">
        <f t="shared" ca="1" si="89"/>
        <v>0</v>
      </c>
      <c r="H197" s="127"/>
      <c r="I197" s="12">
        <f t="shared" ca="1" si="90"/>
        <v>0</v>
      </c>
      <c r="J197" s="2">
        <f t="shared" si="91"/>
        <v>0</v>
      </c>
      <c r="K197" s="126">
        <f t="shared" ca="1" si="92"/>
        <v>0</v>
      </c>
      <c r="L197" s="127"/>
      <c r="M197" s="12">
        <f t="shared" ca="1" si="93"/>
        <v>0</v>
      </c>
      <c r="N197" s="2">
        <f t="shared" si="94"/>
        <v>0</v>
      </c>
      <c r="O197" s="126">
        <f t="shared" ca="1" si="95"/>
        <v>0</v>
      </c>
      <c r="P197" s="127"/>
      <c r="Q197" s="12">
        <f t="shared" ca="1" si="96"/>
        <v>0</v>
      </c>
      <c r="R197" s="2">
        <f t="shared" si="97"/>
        <v>0</v>
      </c>
      <c r="S197" s="126">
        <f t="shared" ca="1" si="98"/>
        <v>0</v>
      </c>
      <c r="T197" s="127"/>
      <c r="U197" s="13">
        <f t="shared" ca="1" si="99"/>
        <v>0</v>
      </c>
      <c r="V197" s="2">
        <f t="shared" si="100"/>
        <v>0</v>
      </c>
      <c r="W197" s="126">
        <f t="shared" ca="1" si="101"/>
        <v>0</v>
      </c>
      <c r="X197" s="127"/>
      <c r="Y197" s="12">
        <f t="shared" ca="1" si="102"/>
        <v>0</v>
      </c>
      <c r="Z197" s="2">
        <f t="shared" si="103"/>
        <v>0</v>
      </c>
      <c r="AA197" s="126">
        <f t="shared" ca="1" si="104"/>
        <v>0</v>
      </c>
      <c r="AB197" s="127"/>
      <c r="AC197" s="12">
        <f t="shared" ca="1" si="105"/>
        <v>0</v>
      </c>
      <c r="AD197" s="140"/>
      <c r="AE197" s="140"/>
      <c r="AF197" s="140"/>
      <c r="AG197" s="140"/>
      <c r="AH197" s="113"/>
      <c r="AI197" s="136"/>
      <c r="AJ197" s="136"/>
    </row>
    <row r="198" spans="1:36" x14ac:dyDescent="0.25">
      <c r="A198" s="137"/>
      <c r="B198" s="2">
        <f t="shared" si="85"/>
        <v>0</v>
      </c>
      <c r="C198" s="126">
        <f t="shared" ca="1" si="86"/>
        <v>0</v>
      </c>
      <c r="D198" s="127"/>
      <c r="E198" s="13">
        <f t="shared" ca="1" si="87"/>
        <v>0</v>
      </c>
      <c r="F198" s="2">
        <f t="shared" si="88"/>
        <v>0</v>
      </c>
      <c r="G198" s="126">
        <f t="shared" ca="1" si="89"/>
        <v>0</v>
      </c>
      <c r="H198" s="127"/>
      <c r="I198" s="12">
        <f t="shared" ca="1" si="90"/>
        <v>0</v>
      </c>
      <c r="J198" s="2">
        <f t="shared" si="91"/>
        <v>0</v>
      </c>
      <c r="K198" s="126">
        <f t="shared" ca="1" si="92"/>
        <v>0</v>
      </c>
      <c r="L198" s="127"/>
      <c r="M198" s="12">
        <f t="shared" ca="1" si="93"/>
        <v>0</v>
      </c>
      <c r="N198" s="2">
        <f t="shared" si="94"/>
        <v>0</v>
      </c>
      <c r="O198" s="126">
        <f t="shared" ca="1" si="95"/>
        <v>0</v>
      </c>
      <c r="P198" s="127"/>
      <c r="Q198" s="12">
        <f t="shared" ca="1" si="96"/>
        <v>0</v>
      </c>
      <c r="R198" s="2">
        <f t="shared" si="97"/>
        <v>0</v>
      </c>
      <c r="S198" s="126">
        <f t="shared" ca="1" si="98"/>
        <v>0</v>
      </c>
      <c r="T198" s="127"/>
      <c r="U198" s="13">
        <f t="shared" ca="1" si="99"/>
        <v>0</v>
      </c>
      <c r="V198" s="2">
        <f t="shared" si="100"/>
        <v>0</v>
      </c>
      <c r="W198" s="126">
        <f t="shared" ca="1" si="101"/>
        <v>0</v>
      </c>
      <c r="X198" s="127"/>
      <c r="Y198" s="12">
        <f t="shared" ca="1" si="102"/>
        <v>0</v>
      </c>
      <c r="Z198" s="2">
        <f t="shared" si="103"/>
        <v>0</v>
      </c>
      <c r="AA198" s="126">
        <f t="shared" ca="1" si="104"/>
        <v>0</v>
      </c>
      <c r="AB198" s="127"/>
      <c r="AC198" s="12">
        <f t="shared" ca="1" si="105"/>
        <v>0</v>
      </c>
      <c r="AD198" s="140"/>
      <c r="AE198" s="140"/>
      <c r="AF198" s="140"/>
      <c r="AG198" s="140"/>
      <c r="AH198" s="113"/>
      <c r="AI198" s="136"/>
      <c r="AJ198" s="136"/>
    </row>
    <row r="199" spans="1:36" x14ac:dyDescent="0.25">
      <c r="A199" s="137"/>
      <c r="B199" s="2">
        <f t="shared" si="85"/>
        <v>0</v>
      </c>
      <c r="C199" s="126">
        <f t="shared" ca="1" si="86"/>
        <v>0</v>
      </c>
      <c r="D199" s="127"/>
      <c r="E199" s="13">
        <f t="shared" ca="1" si="87"/>
        <v>0</v>
      </c>
      <c r="F199" s="2">
        <f t="shared" si="88"/>
        <v>0</v>
      </c>
      <c r="G199" s="126">
        <f t="shared" ca="1" si="89"/>
        <v>0</v>
      </c>
      <c r="H199" s="127"/>
      <c r="I199" s="12">
        <f t="shared" ca="1" si="90"/>
        <v>0</v>
      </c>
      <c r="J199" s="2">
        <f t="shared" si="91"/>
        <v>0</v>
      </c>
      <c r="K199" s="126">
        <f t="shared" ca="1" si="92"/>
        <v>0</v>
      </c>
      <c r="L199" s="127"/>
      <c r="M199" s="12">
        <f t="shared" ca="1" si="93"/>
        <v>0</v>
      </c>
      <c r="N199" s="2">
        <f t="shared" si="94"/>
        <v>0</v>
      </c>
      <c r="O199" s="126">
        <f t="shared" ca="1" si="95"/>
        <v>0</v>
      </c>
      <c r="P199" s="127"/>
      <c r="Q199" s="12">
        <f t="shared" ca="1" si="96"/>
        <v>0</v>
      </c>
      <c r="R199" s="2">
        <f t="shared" si="97"/>
        <v>0</v>
      </c>
      <c r="S199" s="126">
        <f t="shared" ca="1" si="98"/>
        <v>0</v>
      </c>
      <c r="T199" s="127"/>
      <c r="U199" s="13">
        <f t="shared" ca="1" si="99"/>
        <v>0</v>
      </c>
      <c r="V199" s="2">
        <f t="shared" si="100"/>
        <v>0</v>
      </c>
      <c r="W199" s="126">
        <f t="shared" ca="1" si="101"/>
        <v>0</v>
      </c>
      <c r="X199" s="127"/>
      <c r="Y199" s="12">
        <f t="shared" ca="1" si="102"/>
        <v>0</v>
      </c>
      <c r="Z199" s="2">
        <f t="shared" si="103"/>
        <v>0</v>
      </c>
      <c r="AA199" s="126">
        <f t="shared" ca="1" si="104"/>
        <v>0</v>
      </c>
      <c r="AB199" s="127"/>
      <c r="AC199" s="12">
        <f t="shared" ca="1" si="105"/>
        <v>0</v>
      </c>
      <c r="AD199" s="140"/>
      <c r="AE199" s="140"/>
      <c r="AF199" s="140"/>
      <c r="AG199" s="140"/>
      <c r="AH199" s="113"/>
      <c r="AI199" s="136"/>
      <c r="AJ199" s="136"/>
    </row>
    <row r="200" spans="1:36" x14ac:dyDescent="0.25">
      <c r="A200" s="137"/>
      <c r="B200" s="2">
        <f t="shared" si="85"/>
        <v>0</v>
      </c>
      <c r="C200" s="126">
        <f t="shared" ca="1" si="86"/>
        <v>0</v>
      </c>
      <c r="D200" s="127"/>
      <c r="E200" s="13">
        <f t="shared" ca="1" si="87"/>
        <v>0</v>
      </c>
      <c r="F200" s="2">
        <f t="shared" si="88"/>
        <v>0</v>
      </c>
      <c r="G200" s="126">
        <f t="shared" ca="1" si="89"/>
        <v>0</v>
      </c>
      <c r="H200" s="127"/>
      <c r="I200" s="12">
        <f t="shared" ca="1" si="90"/>
        <v>0</v>
      </c>
      <c r="J200" s="2">
        <f t="shared" si="91"/>
        <v>0</v>
      </c>
      <c r="K200" s="126">
        <f t="shared" ca="1" si="92"/>
        <v>0</v>
      </c>
      <c r="L200" s="127"/>
      <c r="M200" s="12">
        <f t="shared" ca="1" si="93"/>
        <v>0</v>
      </c>
      <c r="N200" s="2">
        <f t="shared" si="94"/>
        <v>0</v>
      </c>
      <c r="O200" s="126">
        <f t="shared" ca="1" si="95"/>
        <v>0</v>
      </c>
      <c r="P200" s="127"/>
      <c r="Q200" s="12">
        <f t="shared" ca="1" si="96"/>
        <v>0</v>
      </c>
      <c r="R200" s="2">
        <f t="shared" si="97"/>
        <v>0</v>
      </c>
      <c r="S200" s="126">
        <f t="shared" ca="1" si="98"/>
        <v>0</v>
      </c>
      <c r="T200" s="127"/>
      <c r="U200" s="13">
        <f t="shared" ca="1" si="99"/>
        <v>0</v>
      </c>
      <c r="V200" s="2">
        <f t="shared" si="100"/>
        <v>0</v>
      </c>
      <c r="W200" s="126">
        <f t="shared" ca="1" si="101"/>
        <v>0</v>
      </c>
      <c r="X200" s="127"/>
      <c r="Y200" s="12">
        <f t="shared" ca="1" si="102"/>
        <v>0</v>
      </c>
      <c r="Z200" s="2">
        <f t="shared" si="103"/>
        <v>0</v>
      </c>
      <c r="AA200" s="126">
        <f t="shared" ca="1" si="104"/>
        <v>0</v>
      </c>
      <c r="AB200" s="127"/>
      <c r="AC200" s="12">
        <f t="shared" ca="1" si="105"/>
        <v>0</v>
      </c>
      <c r="AD200" s="140"/>
      <c r="AE200" s="140"/>
      <c r="AF200" s="140"/>
      <c r="AG200" s="140"/>
      <c r="AH200" s="113"/>
      <c r="AI200" s="136"/>
      <c r="AJ200" s="136"/>
    </row>
    <row r="201" spans="1:36" x14ac:dyDescent="0.25">
      <c r="A201" s="137"/>
      <c r="B201" s="2">
        <f t="shared" si="85"/>
        <v>0</v>
      </c>
      <c r="C201" s="126">
        <f t="shared" ca="1" si="86"/>
        <v>0</v>
      </c>
      <c r="D201" s="127"/>
      <c r="E201" s="13">
        <f t="shared" ca="1" si="87"/>
        <v>0</v>
      </c>
      <c r="F201" s="2">
        <f t="shared" si="88"/>
        <v>0</v>
      </c>
      <c r="G201" s="126">
        <f t="shared" ca="1" si="89"/>
        <v>0</v>
      </c>
      <c r="H201" s="127"/>
      <c r="I201" s="12">
        <f t="shared" ca="1" si="90"/>
        <v>0</v>
      </c>
      <c r="J201" s="2">
        <f t="shared" si="91"/>
        <v>0</v>
      </c>
      <c r="K201" s="126">
        <f t="shared" ca="1" si="92"/>
        <v>0</v>
      </c>
      <c r="L201" s="127"/>
      <c r="M201" s="12">
        <f t="shared" ca="1" si="93"/>
        <v>0</v>
      </c>
      <c r="N201" s="2">
        <f t="shared" si="94"/>
        <v>0</v>
      </c>
      <c r="O201" s="126">
        <f t="shared" ca="1" si="95"/>
        <v>0</v>
      </c>
      <c r="P201" s="127"/>
      <c r="Q201" s="12">
        <f t="shared" ca="1" si="96"/>
        <v>0</v>
      </c>
      <c r="R201" s="2">
        <f t="shared" si="97"/>
        <v>0</v>
      </c>
      <c r="S201" s="126">
        <f t="shared" ca="1" si="98"/>
        <v>0</v>
      </c>
      <c r="T201" s="127"/>
      <c r="U201" s="13">
        <f t="shared" ca="1" si="99"/>
        <v>0</v>
      </c>
      <c r="V201" s="2">
        <f t="shared" si="100"/>
        <v>0</v>
      </c>
      <c r="W201" s="126">
        <f t="shared" ca="1" si="101"/>
        <v>0</v>
      </c>
      <c r="X201" s="127"/>
      <c r="Y201" s="12">
        <f t="shared" ca="1" si="102"/>
        <v>0</v>
      </c>
      <c r="Z201" s="2">
        <f t="shared" si="103"/>
        <v>0</v>
      </c>
      <c r="AA201" s="126">
        <f t="shared" ca="1" si="104"/>
        <v>0</v>
      </c>
      <c r="AB201" s="127"/>
      <c r="AC201" s="12">
        <f t="shared" ca="1" si="105"/>
        <v>0</v>
      </c>
      <c r="AD201" s="140"/>
      <c r="AE201" s="140"/>
      <c r="AF201" s="140"/>
      <c r="AG201" s="140"/>
      <c r="AH201" s="113"/>
      <c r="AI201" s="136"/>
      <c r="AJ201" s="136"/>
    </row>
    <row r="202" spans="1:36" x14ac:dyDescent="0.25">
      <c r="A202" s="137"/>
      <c r="B202" s="2">
        <f t="shared" si="85"/>
        <v>0</v>
      </c>
      <c r="C202" s="126">
        <f t="shared" ca="1" si="86"/>
        <v>0</v>
      </c>
      <c r="D202" s="127"/>
      <c r="E202" s="13">
        <f t="shared" ca="1" si="87"/>
        <v>0</v>
      </c>
      <c r="F202" s="2">
        <f t="shared" si="88"/>
        <v>0</v>
      </c>
      <c r="G202" s="126">
        <f t="shared" ca="1" si="89"/>
        <v>0</v>
      </c>
      <c r="H202" s="127"/>
      <c r="I202" s="12">
        <f t="shared" ca="1" si="90"/>
        <v>0</v>
      </c>
      <c r="J202" s="2">
        <f t="shared" si="91"/>
        <v>0</v>
      </c>
      <c r="K202" s="126">
        <f t="shared" ca="1" si="92"/>
        <v>0</v>
      </c>
      <c r="L202" s="127"/>
      <c r="M202" s="12">
        <f t="shared" ca="1" si="93"/>
        <v>0</v>
      </c>
      <c r="N202" s="2">
        <f t="shared" si="94"/>
        <v>0</v>
      </c>
      <c r="O202" s="126">
        <f t="shared" ca="1" si="95"/>
        <v>0</v>
      </c>
      <c r="P202" s="127"/>
      <c r="Q202" s="12">
        <f t="shared" ca="1" si="96"/>
        <v>0</v>
      </c>
      <c r="R202" s="2">
        <f t="shared" si="97"/>
        <v>0</v>
      </c>
      <c r="S202" s="126">
        <f t="shared" ca="1" si="98"/>
        <v>0</v>
      </c>
      <c r="T202" s="127"/>
      <c r="U202" s="13">
        <f t="shared" ca="1" si="99"/>
        <v>0</v>
      </c>
      <c r="V202" s="2">
        <f t="shared" si="100"/>
        <v>0</v>
      </c>
      <c r="W202" s="126">
        <f t="shared" ca="1" si="101"/>
        <v>0</v>
      </c>
      <c r="X202" s="127"/>
      <c r="Y202" s="12">
        <f t="shared" ca="1" si="102"/>
        <v>0</v>
      </c>
      <c r="Z202" s="2">
        <f t="shared" si="103"/>
        <v>0</v>
      </c>
      <c r="AA202" s="126">
        <f t="shared" ca="1" si="104"/>
        <v>0</v>
      </c>
      <c r="AB202" s="127"/>
      <c r="AC202" s="12">
        <f t="shared" ca="1" si="105"/>
        <v>0</v>
      </c>
      <c r="AD202" s="140"/>
      <c r="AE202" s="140"/>
      <c r="AF202" s="140"/>
      <c r="AG202" s="140"/>
      <c r="AH202" s="113"/>
      <c r="AI202" s="136"/>
      <c r="AJ202" s="136"/>
    </row>
    <row r="203" spans="1:36" x14ac:dyDescent="0.25">
      <c r="A203" s="137"/>
      <c r="B203" s="2">
        <f t="shared" si="85"/>
        <v>0</v>
      </c>
      <c r="C203" s="126">
        <f t="shared" ca="1" si="86"/>
        <v>0</v>
      </c>
      <c r="D203" s="127"/>
      <c r="E203" s="13">
        <f t="shared" ca="1" si="87"/>
        <v>0</v>
      </c>
      <c r="F203" s="2">
        <f t="shared" si="88"/>
        <v>0</v>
      </c>
      <c r="G203" s="126">
        <f t="shared" ca="1" si="89"/>
        <v>0</v>
      </c>
      <c r="H203" s="127"/>
      <c r="I203" s="12">
        <f t="shared" ca="1" si="90"/>
        <v>0</v>
      </c>
      <c r="J203" s="2">
        <f t="shared" si="91"/>
        <v>0</v>
      </c>
      <c r="K203" s="126">
        <f t="shared" ca="1" si="92"/>
        <v>0</v>
      </c>
      <c r="L203" s="127"/>
      <c r="M203" s="12">
        <f t="shared" ca="1" si="93"/>
        <v>0</v>
      </c>
      <c r="N203" s="2">
        <f t="shared" si="94"/>
        <v>0</v>
      </c>
      <c r="O203" s="126">
        <f t="shared" ca="1" si="95"/>
        <v>0</v>
      </c>
      <c r="P203" s="127"/>
      <c r="Q203" s="12">
        <f t="shared" ca="1" si="96"/>
        <v>0</v>
      </c>
      <c r="R203" s="2">
        <f t="shared" si="97"/>
        <v>0</v>
      </c>
      <c r="S203" s="126">
        <f t="shared" ca="1" si="98"/>
        <v>0</v>
      </c>
      <c r="T203" s="127"/>
      <c r="U203" s="13">
        <f t="shared" ca="1" si="99"/>
        <v>0</v>
      </c>
      <c r="V203" s="2">
        <f t="shared" si="100"/>
        <v>0</v>
      </c>
      <c r="W203" s="126">
        <f t="shared" ca="1" si="101"/>
        <v>0</v>
      </c>
      <c r="X203" s="127"/>
      <c r="Y203" s="12">
        <f t="shared" ca="1" si="102"/>
        <v>0</v>
      </c>
      <c r="Z203" s="2">
        <f t="shared" si="103"/>
        <v>0</v>
      </c>
      <c r="AA203" s="126">
        <f t="shared" ca="1" si="104"/>
        <v>0</v>
      </c>
      <c r="AB203" s="127"/>
      <c r="AC203" s="12">
        <f t="shared" ca="1" si="105"/>
        <v>0</v>
      </c>
      <c r="AD203" s="140"/>
      <c r="AE203" s="140"/>
      <c r="AF203" s="140"/>
      <c r="AG203" s="140"/>
      <c r="AH203" s="113"/>
      <c r="AI203" s="136"/>
      <c r="AJ203" s="136"/>
    </row>
    <row r="204" spans="1:36" x14ac:dyDescent="0.25">
      <c r="A204" s="137"/>
      <c r="B204" s="2">
        <f t="shared" si="85"/>
        <v>0</v>
      </c>
      <c r="C204" s="126">
        <f t="shared" ca="1" si="86"/>
        <v>0</v>
      </c>
      <c r="D204" s="127"/>
      <c r="E204" s="13">
        <f t="shared" ca="1" si="87"/>
        <v>0</v>
      </c>
      <c r="F204" s="2">
        <f t="shared" si="88"/>
        <v>0</v>
      </c>
      <c r="G204" s="126">
        <f t="shared" ca="1" si="89"/>
        <v>0</v>
      </c>
      <c r="H204" s="127"/>
      <c r="I204" s="12">
        <f t="shared" ca="1" si="90"/>
        <v>0</v>
      </c>
      <c r="J204" s="2">
        <f t="shared" si="91"/>
        <v>0</v>
      </c>
      <c r="K204" s="126">
        <f t="shared" ca="1" si="92"/>
        <v>0</v>
      </c>
      <c r="L204" s="127"/>
      <c r="M204" s="12">
        <f t="shared" ca="1" si="93"/>
        <v>0</v>
      </c>
      <c r="N204" s="2">
        <f t="shared" si="94"/>
        <v>0</v>
      </c>
      <c r="O204" s="126">
        <f t="shared" ca="1" si="95"/>
        <v>0</v>
      </c>
      <c r="P204" s="127"/>
      <c r="Q204" s="12">
        <f t="shared" ca="1" si="96"/>
        <v>0</v>
      </c>
      <c r="R204" s="2">
        <f t="shared" si="97"/>
        <v>0</v>
      </c>
      <c r="S204" s="126">
        <f t="shared" ca="1" si="98"/>
        <v>0</v>
      </c>
      <c r="T204" s="127"/>
      <c r="U204" s="13">
        <f t="shared" ca="1" si="99"/>
        <v>0</v>
      </c>
      <c r="V204" s="2">
        <f t="shared" si="100"/>
        <v>0</v>
      </c>
      <c r="W204" s="126">
        <f t="shared" ca="1" si="101"/>
        <v>0</v>
      </c>
      <c r="X204" s="127"/>
      <c r="Y204" s="12">
        <f t="shared" ca="1" si="102"/>
        <v>0</v>
      </c>
      <c r="Z204" s="2">
        <f t="shared" si="103"/>
        <v>0</v>
      </c>
      <c r="AA204" s="126">
        <f t="shared" ca="1" si="104"/>
        <v>0</v>
      </c>
      <c r="AB204" s="127"/>
      <c r="AC204" s="12">
        <f t="shared" ca="1" si="105"/>
        <v>0</v>
      </c>
      <c r="AD204" s="140"/>
      <c r="AE204" s="140"/>
      <c r="AF204" s="140"/>
      <c r="AG204" s="140"/>
      <c r="AH204" s="113"/>
      <c r="AI204" s="136"/>
      <c r="AJ204" s="136"/>
    </row>
    <row r="205" spans="1:36" x14ac:dyDescent="0.25">
      <c r="A205" s="137"/>
      <c r="B205" s="2">
        <f t="shared" si="85"/>
        <v>0</v>
      </c>
      <c r="C205" s="126">
        <f t="shared" ca="1" si="86"/>
        <v>0</v>
      </c>
      <c r="D205" s="127"/>
      <c r="E205" s="13">
        <f t="shared" ca="1" si="87"/>
        <v>0</v>
      </c>
      <c r="F205" s="2">
        <f t="shared" si="88"/>
        <v>0</v>
      </c>
      <c r="G205" s="126">
        <f t="shared" ca="1" si="89"/>
        <v>0</v>
      </c>
      <c r="H205" s="127"/>
      <c r="I205" s="12">
        <f t="shared" ca="1" si="90"/>
        <v>0</v>
      </c>
      <c r="J205" s="2">
        <f t="shared" si="91"/>
        <v>0</v>
      </c>
      <c r="K205" s="126">
        <f t="shared" ca="1" si="92"/>
        <v>0</v>
      </c>
      <c r="L205" s="127"/>
      <c r="M205" s="12">
        <f t="shared" ca="1" si="93"/>
        <v>0</v>
      </c>
      <c r="N205" s="2">
        <f t="shared" si="94"/>
        <v>0</v>
      </c>
      <c r="O205" s="126">
        <f t="shared" ca="1" si="95"/>
        <v>0</v>
      </c>
      <c r="P205" s="127"/>
      <c r="Q205" s="12">
        <f t="shared" ca="1" si="96"/>
        <v>0</v>
      </c>
      <c r="R205" s="2">
        <f t="shared" si="97"/>
        <v>0</v>
      </c>
      <c r="S205" s="126">
        <f t="shared" ca="1" si="98"/>
        <v>0</v>
      </c>
      <c r="T205" s="127"/>
      <c r="U205" s="13">
        <f t="shared" ca="1" si="99"/>
        <v>0</v>
      </c>
      <c r="V205" s="2">
        <f t="shared" si="100"/>
        <v>0</v>
      </c>
      <c r="W205" s="126">
        <f t="shared" ca="1" si="101"/>
        <v>0</v>
      </c>
      <c r="X205" s="127"/>
      <c r="Y205" s="12">
        <f t="shared" ca="1" si="102"/>
        <v>0</v>
      </c>
      <c r="Z205" s="2">
        <f t="shared" si="103"/>
        <v>0</v>
      </c>
      <c r="AA205" s="126">
        <f t="shared" ca="1" si="104"/>
        <v>0</v>
      </c>
      <c r="AB205" s="127"/>
      <c r="AC205" s="12">
        <f t="shared" ca="1" si="105"/>
        <v>0</v>
      </c>
      <c r="AD205" s="140"/>
      <c r="AE205" s="140"/>
      <c r="AF205" s="140"/>
      <c r="AG205" s="140"/>
      <c r="AH205" s="113"/>
      <c r="AI205" s="136"/>
      <c r="AJ205" s="136"/>
    </row>
    <row r="206" spans="1:36" x14ac:dyDescent="0.25">
      <c r="A206" s="137"/>
      <c r="B206" s="2">
        <f t="shared" si="85"/>
        <v>0</v>
      </c>
      <c r="C206" s="126">
        <f t="shared" ca="1" si="86"/>
        <v>0</v>
      </c>
      <c r="D206" s="127"/>
      <c r="E206" s="13">
        <f t="shared" ca="1" si="87"/>
        <v>0</v>
      </c>
      <c r="F206" s="2">
        <f t="shared" si="88"/>
        <v>0</v>
      </c>
      <c r="G206" s="126">
        <f t="shared" ca="1" si="89"/>
        <v>0</v>
      </c>
      <c r="H206" s="127"/>
      <c r="I206" s="12">
        <f t="shared" ca="1" si="90"/>
        <v>0</v>
      </c>
      <c r="J206" s="2">
        <f t="shared" si="91"/>
        <v>0</v>
      </c>
      <c r="K206" s="126">
        <f t="shared" ca="1" si="92"/>
        <v>0</v>
      </c>
      <c r="L206" s="127"/>
      <c r="M206" s="12">
        <f t="shared" ca="1" si="93"/>
        <v>0</v>
      </c>
      <c r="N206" s="2">
        <f t="shared" si="94"/>
        <v>0</v>
      </c>
      <c r="O206" s="126">
        <f t="shared" ca="1" si="95"/>
        <v>0</v>
      </c>
      <c r="P206" s="127"/>
      <c r="Q206" s="12">
        <f t="shared" ca="1" si="96"/>
        <v>0</v>
      </c>
      <c r="R206" s="2">
        <f t="shared" si="97"/>
        <v>0</v>
      </c>
      <c r="S206" s="126">
        <f t="shared" ca="1" si="98"/>
        <v>0</v>
      </c>
      <c r="T206" s="127"/>
      <c r="U206" s="13">
        <f t="shared" ca="1" si="99"/>
        <v>0</v>
      </c>
      <c r="V206" s="2">
        <f t="shared" si="100"/>
        <v>0</v>
      </c>
      <c r="W206" s="126">
        <f t="shared" ca="1" si="101"/>
        <v>0</v>
      </c>
      <c r="X206" s="127"/>
      <c r="Y206" s="12">
        <f t="shared" ca="1" si="102"/>
        <v>0</v>
      </c>
      <c r="Z206" s="2">
        <f t="shared" si="103"/>
        <v>0</v>
      </c>
      <c r="AA206" s="126">
        <f t="shared" ca="1" si="104"/>
        <v>0</v>
      </c>
      <c r="AB206" s="127"/>
      <c r="AC206" s="12">
        <f t="shared" ca="1" si="105"/>
        <v>0</v>
      </c>
      <c r="AD206" s="140"/>
      <c r="AE206" s="140"/>
      <c r="AF206" s="140"/>
      <c r="AG206" s="140"/>
      <c r="AH206" s="113"/>
      <c r="AI206" s="136"/>
      <c r="AJ206" s="136"/>
    </row>
    <row r="207" spans="1:36" x14ac:dyDescent="0.25">
      <c r="A207" s="137"/>
      <c r="B207" s="2">
        <f t="shared" si="85"/>
        <v>0</v>
      </c>
      <c r="C207" s="126">
        <f t="shared" ca="1" si="86"/>
        <v>0</v>
      </c>
      <c r="D207" s="127"/>
      <c r="E207" s="13">
        <f t="shared" ca="1" si="87"/>
        <v>0</v>
      </c>
      <c r="F207" s="2">
        <f t="shared" si="88"/>
        <v>0</v>
      </c>
      <c r="G207" s="126">
        <f t="shared" ca="1" si="89"/>
        <v>0</v>
      </c>
      <c r="H207" s="127"/>
      <c r="I207" s="12">
        <f t="shared" ca="1" si="90"/>
        <v>0</v>
      </c>
      <c r="J207" s="2">
        <f t="shared" si="91"/>
        <v>0</v>
      </c>
      <c r="K207" s="126">
        <f t="shared" ca="1" si="92"/>
        <v>0</v>
      </c>
      <c r="L207" s="127"/>
      <c r="M207" s="12">
        <f t="shared" ca="1" si="93"/>
        <v>0</v>
      </c>
      <c r="N207" s="2">
        <f t="shared" si="94"/>
        <v>0</v>
      </c>
      <c r="O207" s="126">
        <f t="shared" ca="1" si="95"/>
        <v>0</v>
      </c>
      <c r="P207" s="127"/>
      <c r="Q207" s="12">
        <f t="shared" ca="1" si="96"/>
        <v>0</v>
      </c>
      <c r="R207" s="2">
        <f t="shared" si="97"/>
        <v>0</v>
      </c>
      <c r="S207" s="126">
        <f t="shared" ca="1" si="98"/>
        <v>0</v>
      </c>
      <c r="T207" s="127"/>
      <c r="U207" s="13">
        <f t="shared" ca="1" si="99"/>
        <v>0</v>
      </c>
      <c r="V207" s="2">
        <f t="shared" si="100"/>
        <v>0</v>
      </c>
      <c r="W207" s="126">
        <f t="shared" ca="1" si="101"/>
        <v>0</v>
      </c>
      <c r="X207" s="127"/>
      <c r="Y207" s="12">
        <f t="shared" ca="1" si="102"/>
        <v>0</v>
      </c>
      <c r="Z207" s="2">
        <f t="shared" si="103"/>
        <v>0</v>
      </c>
      <c r="AA207" s="126">
        <f t="shared" ca="1" si="104"/>
        <v>0</v>
      </c>
      <c r="AB207" s="127"/>
      <c r="AC207" s="12">
        <f t="shared" ca="1" si="105"/>
        <v>0</v>
      </c>
      <c r="AD207" s="140"/>
      <c r="AE207" s="140"/>
      <c r="AF207" s="140"/>
      <c r="AG207" s="140"/>
      <c r="AH207" s="113"/>
      <c r="AI207" s="136"/>
      <c r="AJ207" s="136"/>
    </row>
    <row r="208" spans="1:36" x14ac:dyDescent="0.25">
      <c r="A208" s="137"/>
      <c r="B208" s="2">
        <f t="shared" si="85"/>
        <v>0</v>
      </c>
      <c r="C208" s="126">
        <f t="shared" ca="1" si="86"/>
        <v>0</v>
      </c>
      <c r="D208" s="127"/>
      <c r="E208" s="13">
        <f t="shared" ca="1" si="87"/>
        <v>0</v>
      </c>
      <c r="F208" s="2">
        <f t="shared" si="88"/>
        <v>0</v>
      </c>
      <c r="G208" s="126">
        <f t="shared" ca="1" si="89"/>
        <v>0</v>
      </c>
      <c r="H208" s="127"/>
      <c r="I208" s="12">
        <f t="shared" ca="1" si="90"/>
        <v>0</v>
      </c>
      <c r="J208" s="2">
        <f t="shared" si="91"/>
        <v>0</v>
      </c>
      <c r="K208" s="126">
        <f t="shared" ca="1" si="92"/>
        <v>0</v>
      </c>
      <c r="L208" s="127"/>
      <c r="M208" s="12">
        <f t="shared" ca="1" si="93"/>
        <v>0</v>
      </c>
      <c r="N208" s="2">
        <f t="shared" si="94"/>
        <v>0</v>
      </c>
      <c r="O208" s="126">
        <f t="shared" ca="1" si="95"/>
        <v>0</v>
      </c>
      <c r="P208" s="127"/>
      <c r="Q208" s="12">
        <f t="shared" ca="1" si="96"/>
        <v>0</v>
      </c>
      <c r="R208" s="2">
        <f t="shared" si="97"/>
        <v>0</v>
      </c>
      <c r="S208" s="126">
        <f t="shared" ca="1" si="98"/>
        <v>0</v>
      </c>
      <c r="T208" s="127"/>
      <c r="U208" s="13">
        <f t="shared" ca="1" si="99"/>
        <v>0</v>
      </c>
      <c r="V208" s="2">
        <f t="shared" si="100"/>
        <v>0</v>
      </c>
      <c r="W208" s="126">
        <f t="shared" ca="1" si="101"/>
        <v>0</v>
      </c>
      <c r="X208" s="127"/>
      <c r="Y208" s="12">
        <f t="shared" ca="1" si="102"/>
        <v>0</v>
      </c>
      <c r="Z208" s="2">
        <f t="shared" si="103"/>
        <v>0</v>
      </c>
      <c r="AA208" s="126">
        <f t="shared" ca="1" si="104"/>
        <v>0</v>
      </c>
      <c r="AB208" s="127"/>
      <c r="AC208" s="12">
        <f t="shared" ca="1" si="105"/>
        <v>0</v>
      </c>
      <c r="AD208" s="140"/>
      <c r="AE208" s="140"/>
      <c r="AF208" s="140"/>
      <c r="AG208" s="140"/>
      <c r="AH208" s="113"/>
      <c r="AI208" s="136"/>
      <c r="AJ208" s="136"/>
    </row>
    <row r="209" spans="1:36" x14ac:dyDescent="0.25">
      <c r="A209" s="137"/>
      <c r="B209" s="2">
        <f t="shared" si="85"/>
        <v>0</v>
      </c>
      <c r="C209" s="126">
        <f t="shared" ca="1" si="86"/>
        <v>0</v>
      </c>
      <c r="D209" s="127"/>
      <c r="E209" s="13">
        <f t="shared" ca="1" si="87"/>
        <v>0</v>
      </c>
      <c r="F209" s="2">
        <f t="shared" si="88"/>
        <v>0</v>
      </c>
      <c r="G209" s="126">
        <f t="shared" ca="1" si="89"/>
        <v>0</v>
      </c>
      <c r="H209" s="127"/>
      <c r="I209" s="12">
        <f t="shared" ca="1" si="90"/>
        <v>0</v>
      </c>
      <c r="J209" s="2">
        <f t="shared" si="91"/>
        <v>0</v>
      </c>
      <c r="K209" s="126">
        <f t="shared" ca="1" si="92"/>
        <v>0</v>
      </c>
      <c r="L209" s="127"/>
      <c r="M209" s="12">
        <f t="shared" ca="1" si="93"/>
        <v>0</v>
      </c>
      <c r="N209" s="2">
        <f t="shared" si="94"/>
        <v>0</v>
      </c>
      <c r="O209" s="126">
        <f t="shared" ca="1" si="95"/>
        <v>0</v>
      </c>
      <c r="P209" s="127"/>
      <c r="Q209" s="12">
        <f t="shared" ca="1" si="96"/>
        <v>0</v>
      </c>
      <c r="R209" s="2">
        <f t="shared" si="97"/>
        <v>0</v>
      </c>
      <c r="S209" s="126">
        <f t="shared" ca="1" si="98"/>
        <v>0</v>
      </c>
      <c r="T209" s="127"/>
      <c r="U209" s="13">
        <f t="shared" ca="1" si="99"/>
        <v>0</v>
      </c>
      <c r="V209" s="2">
        <f t="shared" si="100"/>
        <v>0</v>
      </c>
      <c r="W209" s="126">
        <f t="shared" ca="1" si="101"/>
        <v>0</v>
      </c>
      <c r="X209" s="127"/>
      <c r="Y209" s="12">
        <f t="shared" ca="1" si="102"/>
        <v>0</v>
      </c>
      <c r="Z209" s="2">
        <f t="shared" si="103"/>
        <v>0</v>
      </c>
      <c r="AA209" s="126">
        <f t="shared" ca="1" si="104"/>
        <v>0</v>
      </c>
      <c r="AB209" s="127"/>
      <c r="AC209" s="12">
        <f t="shared" ca="1" si="105"/>
        <v>0</v>
      </c>
      <c r="AD209" s="140"/>
      <c r="AE209" s="140"/>
      <c r="AF209" s="140"/>
      <c r="AG209" s="140"/>
      <c r="AH209" s="113"/>
      <c r="AI209" s="136"/>
      <c r="AJ209" s="136"/>
    </row>
    <row r="210" spans="1:36" x14ac:dyDescent="0.25">
      <c r="A210" s="137"/>
      <c r="B210" s="2">
        <f t="shared" si="85"/>
        <v>0</v>
      </c>
      <c r="C210" s="126">
        <f t="shared" ca="1" si="86"/>
        <v>0</v>
      </c>
      <c r="D210" s="127"/>
      <c r="E210" s="13">
        <f t="shared" ca="1" si="87"/>
        <v>0</v>
      </c>
      <c r="F210" s="2">
        <f t="shared" si="88"/>
        <v>0</v>
      </c>
      <c r="G210" s="126">
        <f t="shared" ca="1" si="89"/>
        <v>0</v>
      </c>
      <c r="H210" s="127"/>
      <c r="I210" s="12">
        <f t="shared" ca="1" si="90"/>
        <v>0</v>
      </c>
      <c r="J210" s="2">
        <f t="shared" si="91"/>
        <v>0</v>
      </c>
      <c r="K210" s="126">
        <f t="shared" ca="1" si="92"/>
        <v>0</v>
      </c>
      <c r="L210" s="127"/>
      <c r="M210" s="12">
        <f t="shared" ca="1" si="93"/>
        <v>0</v>
      </c>
      <c r="N210" s="2">
        <f t="shared" si="94"/>
        <v>0</v>
      </c>
      <c r="O210" s="126">
        <f t="shared" ca="1" si="95"/>
        <v>0</v>
      </c>
      <c r="P210" s="127"/>
      <c r="Q210" s="12">
        <f t="shared" ca="1" si="96"/>
        <v>0</v>
      </c>
      <c r="R210" s="2">
        <f t="shared" si="97"/>
        <v>0</v>
      </c>
      <c r="S210" s="126">
        <f t="shared" ca="1" si="98"/>
        <v>0</v>
      </c>
      <c r="T210" s="127"/>
      <c r="U210" s="13">
        <f t="shared" ca="1" si="99"/>
        <v>0</v>
      </c>
      <c r="V210" s="2">
        <f t="shared" si="100"/>
        <v>0</v>
      </c>
      <c r="W210" s="126">
        <f t="shared" ca="1" si="101"/>
        <v>0</v>
      </c>
      <c r="X210" s="127"/>
      <c r="Y210" s="12">
        <f t="shared" ca="1" si="102"/>
        <v>0</v>
      </c>
      <c r="Z210" s="2">
        <f t="shared" si="103"/>
        <v>0</v>
      </c>
      <c r="AA210" s="126">
        <f t="shared" ca="1" si="104"/>
        <v>0</v>
      </c>
      <c r="AB210" s="127"/>
      <c r="AC210" s="12">
        <f t="shared" ca="1" si="105"/>
        <v>0</v>
      </c>
      <c r="AD210" s="140"/>
      <c r="AE210" s="140"/>
      <c r="AF210" s="140"/>
      <c r="AG210" s="140"/>
      <c r="AH210" s="113"/>
      <c r="AI210" s="136"/>
      <c r="AJ210" s="136"/>
    </row>
    <row r="211" spans="1:36" x14ac:dyDescent="0.25">
      <c r="A211" s="137"/>
      <c r="B211" s="2">
        <f t="shared" si="85"/>
        <v>0</v>
      </c>
      <c r="C211" s="126">
        <f t="shared" ca="1" si="86"/>
        <v>0</v>
      </c>
      <c r="D211" s="127"/>
      <c r="E211" s="13">
        <f t="shared" ca="1" si="87"/>
        <v>0</v>
      </c>
      <c r="F211" s="2">
        <f t="shared" si="88"/>
        <v>0</v>
      </c>
      <c r="G211" s="126">
        <f t="shared" ca="1" si="89"/>
        <v>0</v>
      </c>
      <c r="H211" s="127"/>
      <c r="I211" s="12">
        <f t="shared" ca="1" si="90"/>
        <v>0</v>
      </c>
      <c r="J211" s="2">
        <f t="shared" si="91"/>
        <v>0</v>
      </c>
      <c r="K211" s="126">
        <f t="shared" ca="1" si="92"/>
        <v>0</v>
      </c>
      <c r="L211" s="127"/>
      <c r="M211" s="12">
        <f t="shared" ca="1" si="93"/>
        <v>0</v>
      </c>
      <c r="N211" s="2">
        <f t="shared" si="94"/>
        <v>0</v>
      </c>
      <c r="O211" s="126">
        <f t="shared" ca="1" si="95"/>
        <v>0</v>
      </c>
      <c r="P211" s="127"/>
      <c r="Q211" s="12">
        <f t="shared" ca="1" si="96"/>
        <v>0</v>
      </c>
      <c r="R211" s="2">
        <f t="shared" si="97"/>
        <v>0</v>
      </c>
      <c r="S211" s="126">
        <f t="shared" ca="1" si="98"/>
        <v>0</v>
      </c>
      <c r="T211" s="127"/>
      <c r="U211" s="13">
        <f t="shared" ca="1" si="99"/>
        <v>0</v>
      </c>
      <c r="V211" s="2">
        <f t="shared" si="100"/>
        <v>0</v>
      </c>
      <c r="W211" s="126">
        <f t="shared" ca="1" si="101"/>
        <v>0</v>
      </c>
      <c r="X211" s="127"/>
      <c r="Y211" s="12">
        <f t="shared" ca="1" si="102"/>
        <v>0</v>
      </c>
      <c r="Z211" s="2">
        <f t="shared" si="103"/>
        <v>0</v>
      </c>
      <c r="AA211" s="126">
        <f t="shared" ca="1" si="104"/>
        <v>0</v>
      </c>
      <c r="AB211" s="127"/>
      <c r="AC211" s="12">
        <f t="shared" ca="1" si="105"/>
        <v>0</v>
      </c>
      <c r="AD211" s="140"/>
      <c r="AE211" s="140"/>
      <c r="AF211" s="140"/>
      <c r="AG211" s="140"/>
      <c r="AH211" s="113"/>
      <c r="AI211" s="136"/>
      <c r="AJ211" s="136"/>
    </row>
    <row r="212" spans="1:36" x14ac:dyDescent="0.25">
      <c r="A212" s="137"/>
      <c r="B212" s="2">
        <f t="shared" si="85"/>
        <v>0</v>
      </c>
      <c r="C212" s="126">
        <f t="shared" ca="1" si="86"/>
        <v>0</v>
      </c>
      <c r="D212" s="127"/>
      <c r="E212" s="13">
        <f t="shared" ca="1" si="87"/>
        <v>0</v>
      </c>
      <c r="F212" s="2">
        <f t="shared" si="88"/>
        <v>0</v>
      </c>
      <c r="G212" s="126">
        <f t="shared" ca="1" si="89"/>
        <v>0</v>
      </c>
      <c r="H212" s="127"/>
      <c r="I212" s="12">
        <f t="shared" ca="1" si="90"/>
        <v>0</v>
      </c>
      <c r="J212" s="2">
        <f t="shared" si="91"/>
        <v>0</v>
      </c>
      <c r="K212" s="126">
        <f t="shared" ca="1" si="92"/>
        <v>0</v>
      </c>
      <c r="L212" s="127"/>
      <c r="M212" s="12">
        <f t="shared" ca="1" si="93"/>
        <v>0</v>
      </c>
      <c r="N212" s="2">
        <f t="shared" si="94"/>
        <v>0</v>
      </c>
      <c r="O212" s="126">
        <f t="shared" ca="1" si="95"/>
        <v>0</v>
      </c>
      <c r="P212" s="127"/>
      <c r="Q212" s="12">
        <f t="shared" ca="1" si="96"/>
        <v>0</v>
      </c>
      <c r="R212" s="2">
        <f t="shared" si="97"/>
        <v>0</v>
      </c>
      <c r="S212" s="126">
        <f t="shared" ca="1" si="98"/>
        <v>0</v>
      </c>
      <c r="T212" s="127"/>
      <c r="U212" s="13">
        <f t="shared" ca="1" si="99"/>
        <v>0</v>
      </c>
      <c r="V212" s="2">
        <f t="shared" si="100"/>
        <v>0</v>
      </c>
      <c r="W212" s="126">
        <f t="shared" ca="1" si="101"/>
        <v>0</v>
      </c>
      <c r="X212" s="127"/>
      <c r="Y212" s="12">
        <f t="shared" ca="1" si="102"/>
        <v>0</v>
      </c>
      <c r="Z212" s="2">
        <f t="shared" si="103"/>
        <v>0</v>
      </c>
      <c r="AA212" s="126">
        <f t="shared" ca="1" si="104"/>
        <v>0</v>
      </c>
      <c r="AB212" s="127"/>
      <c r="AC212" s="12">
        <f t="shared" ca="1" si="105"/>
        <v>0</v>
      </c>
      <c r="AD212" s="140"/>
      <c r="AE212" s="140"/>
      <c r="AF212" s="140"/>
      <c r="AG212" s="140"/>
      <c r="AH212" s="113"/>
      <c r="AI212" s="136"/>
      <c r="AJ212" s="136"/>
    </row>
    <row r="213" spans="1:36" x14ac:dyDescent="0.25">
      <c r="A213" s="137"/>
      <c r="B213" s="2">
        <f t="shared" si="85"/>
        <v>0</v>
      </c>
      <c r="C213" s="126">
        <f t="shared" ca="1" si="86"/>
        <v>0</v>
      </c>
      <c r="D213" s="127"/>
      <c r="E213" s="13">
        <f t="shared" ca="1" si="87"/>
        <v>0</v>
      </c>
      <c r="F213" s="2">
        <f t="shared" si="88"/>
        <v>0</v>
      </c>
      <c r="G213" s="126">
        <f t="shared" ca="1" si="89"/>
        <v>0</v>
      </c>
      <c r="H213" s="127"/>
      <c r="I213" s="12">
        <f t="shared" ca="1" si="90"/>
        <v>0</v>
      </c>
      <c r="J213" s="2">
        <f t="shared" si="91"/>
        <v>0</v>
      </c>
      <c r="K213" s="126">
        <f ca="1">IF(TODAY()=$A$184,K34*L34*M34,K213)</f>
        <v>0</v>
      </c>
      <c r="L213" s="127"/>
      <c r="M213" s="12">
        <f t="shared" ca="1" si="93"/>
        <v>0</v>
      </c>
      <c r="N213" s="2">
        <f t="shared" si="94"/>
        <v>0</v>
      </c>
      <c r="O213" s="126">
        <f t="shared" ca="1" si="95"/>
        <v>0</v>
      </c>
      <c r="P213" s="127"/>
      <c r="Q213" s="12">
        <f t="shared" ca="1" si="96"/>
        <v>0</v>
      </c>
      <c r="R213" s="2">
        <f t="shared" si="97"/>
        <v>0</v>
      </c>
      <c r="S213" s="126">
        <f t="shared" ca="1" si="98"/>
        <v>0</v>
      </c>
      <c r="T213" s="127"/>
      <c r="U213" s="13">
        <f t="shared" ca="1" si="99"/>
        <v>0</v>
      </c>
      <c r="V213" s="2">
        <f t="shared" si="100"/>
        <v>0</v>
      </c>
      <c r="W213" s="126">
        <f t="shared" ca="1" si="101"/>
        <v>0</v>
      </c>
      <c r="X213" s="127"/>
      <c r="Y213" s="12">
        <f t="shared" ca="1" si="102"/>
        <v>0</v>
      </c>
      <c r="Z213" s="2">
        <f t="shared" si="103"/>
        <v>0</v>
      </c>
      <c r="AA213" s="126">
        <f t="shared" ca="1" si="104"/>
        <v>0</v>
      </c>
      <c r="AB213" s="127"/>
      <c r="AC213" s="12">
        <f t="shared" ca="1" si="105"/>
        <v>0</v>
      </c>
      <c r="AD213" s="140"/>
      <c r="AE213" s="140"/>
      <c r="AF213" s="140"/>
      <c r="AG213" s="140"/>
      <c r="AH213" s="113"/>
      <c r="AI213" s="136"/>
      <c r="AJ213" s="136"/>
    </row>
    <row r="214" spans="1:36" x14ac:dyDescent="0.25">
      <c r="A214" s="137"/>
      <c r="B214" s="2">
        <f t="shared" si="85"/>
        <v>0</v>
      </c>
      <c r="C214" s="126">
        <f t="shared" ca="1" si="86"/>
        <v>0</v>
      </c>
      <c r="D214" s="127"/>
      <c r="E214" s="13">
        <f t="shared" ca="1" si="87"/>
        <v>0</v>
      </c>
      <c r="F214" s="2">
        <f t="shared" si="88"/>
        <v>0</v>
      </c>
      <c r="G214" s="126">
        <f t="shared" ca="1" si="89"/>
        <v>0</v>
      </c>
      <c r="H214" s="127"/>
      <c r="I214" s="12">
        <f t="shared" ca="1" si="90"/>
        <v>0</v>
      </c>
      <c r="J214" s="2">
        <f t="shared" si="91"/>
        <v>0</v>
      </c>
      <c r="K214" s="126">
        <f t="shared" ca="1" si="92"/>
        <v>0</v>
      </c>
      <c r="L214" s="127"/>
      <c r="M214" s="12">
        <f t="shared" ca="1" si="93"/>
        <v>0</v>
      </c>
      <c r="N214" s="2">
        <f t="shared" si="94"/>
        <v>0</v>
      </c>
      <c r="O214" s="126">
        <f t="shared" ca="1" si="95"/>
        <v>0</v>
      </c>
      <c r="P214" s="127"/>
      <c r="Q214" s="12">
        <f t="shared" ca="1" si="96"/>
        <v>0</v>
      </c>
      <c r="R214" s="2">
        <f t="shared" si="97"/>
        <v>0</v>
      </c>
      <c r="S214" s="126">
        <f t="shared" ca="1" si="98"/>
        <v>0</v>
      </c>
      <c r="T214" s="127"/>
      <c r="U214" s="13">
        <f t="shared" ca="1" si="99"/>
        <v>0</v>
      </c>
      <c r="V214" s="2">
        <f t="shared" si="100"/>
        <v>0</v>
      </c>
      <c r="W214" s="126">
        <f t="shared" ca="1" si="101"/>
        <v>0</v>
      </c>
      <c r="X214" s="127"/>
      <c r="Y214" s="12">
        <f t="shared" ca="1" si="102"/>
        <v>0</v>
      </c>
      <c r="Z214" s="2">
        <f t="shared" si="103"/>
        <v>0</v>
      </c>
      <c r="AA214" s="126">
        <f t="shared" ca="1" si="104"/>
        <v>0</v>
      </c>
      <c r="AB214" s="127"/>
      <c r="AC214" s="12">
        <f t="shared" ca="1" si="105"/>
        <v>0</v>
      </c>
      <c r="AD214" s="140"/>
      <c r="AE214" s="140"/>
      <c r="AF214" s="140"/>
      <c r="AG214" s="140"/>
      <c r="AH214" s="113"/>
      <c r="AI214" s="136"/>
      <c r="AJ214" s="136"/>
    </row>
    <row r="215" spans="1:36" x14ac:dyDescent="0.25">
      <c r="A215" s="137"/>
      <c r="B215" s="2">
        <f t="shared" si="85"/>
        <v>0</v>
      </c>
      <c r="C215" s="126">
        <f t="shared" ca="1" si="86"/>
        <v>0</v>
      </c>
      <c r="D215" s="127"/>
      <c r="E215" s="13">
        <f t="shared" ca="1" si="87"/>
        <v>0</v>
      </c>
      <c r="F215" s="2">
        <f t="shared" si="88"/>
        <v>0</v>
      </c>
      <c r="G215" s="126">
        <f t="shared" ca="1" si="89"/>
        <v>0</v>
      </c>
      <c r="H215" s="127"/>
      <c r="I215" s="12">
        <f t="shared" ca="1" si="90"/>
        <v>0</v>
      </c>
      <c r="J215" s="2">
        <f t="shared" si="91"/>
        <v>0</v>
      </c>
      <c r="K215" s="126">
        <f t="shared" ca="1" si="92"/>
        <v>0</v>
      </c>
      <c r="L215" s="127"/>
      <c r="M215" s="12">
        <f t="shared" ca="1" si="93"/>
        <v>0</v>
      </c>
      <c r="N215" s="2">
        <f t="shared" si="94"/>
        <v>0</v>
      </c>
      <c r="O215" s="126">
        <f t="shared" ca="1" si="95"/>
        <v>0</v>
      </c>
      <c r="P215" s="127"/>
      <c r="Q215" s="12">
        <f t="shared" ca="1" si="96"/>
        <v>0</v>
      </c>
      <c r="R215" s="2">
        <f t="shared" si="97"/>
        <v>0</v>
      </c>
      <c r="S215" s="126">
        <f t="shared" ca="1" si="98"/>
        <v>0</v>
      </c>
      <c r="T215" s="127"/>
      <c r="U215" s="13">
        <f t="shared" ca="1" si="99"/>
        <v>0</v>
      </c>
      <c r="V215" s="2">
        <f t="shared" si="100"/>
        <v>0</v>
      </c>
      <c r="W215" s="126">
        <f t="shared" ca="1" si="101"/>
        <v>0</v>
      </c>
      <c r="X215" s="127"/>
      <c r="Y215" s="12">
        <f t="shared" ca="1" si="102"/>
        <v>0</v>
      </c>
      <c r="Z215" s="2">
        <f t="shared" si="103"/>
        <v>0</v>
      </c>
      <c r="AA215" s="126">
        <f t="shared" ca="1" si="104"/>
        <v>0</v>
      </c>
      <c r="AB215" s="127"/>
      <c r="AC215" s="12">
        <f t="shared" ca="1" si="105"/>
        <v>0</v>
      </c>
      <c r="AD215" s="140"/>
      <c r="AE215" s="140"/>
      <c r="AF215" s="140"/>
      <c r="AG215" s="140"/>
      <c r="AH215" s="113"/>
      <c r="AI215" s="136"/>
      <c r="AJ215" s="136"/>
    </row>
    <row r="216" spans="1:36" x14ac:dyDescent="0.25">
      <c r="A216" s="137"/>
      <c r="B216" s="2">
        <f t="shared" si="85"/>
        <v>0</v>
      </c>
      <c r="C216" s="126">
        <f t="shared" ca="1" si="86"/>
        <v>0</v>
      </c>
      <c r="D216" s="127"/>
      <c r="E216" s="13">
        <f t="shared" ca="1" si="87"/>
        <v>0</v>
      </c>
      <c r="F216" s="2">
        <f t="shared" si="88"/>
        <v>0</v>
      </c>
      <c r="G216" s="126">
        <f t="shared" ca="1" si="89"/>
        <v>0</v>
      </c>
      <c r="H216" s="127"/>
      <c r="I216" s="12">
        <f t="shared" ca="1" si="90"/>
        <v>0</v>
      </c>
      <c r="J216" s="2">
        <f t="shared" si="91"/>
        <v>0</v>
      </c>
      <c r="K216" s="126">
        <f t="shared" ca="1" si="92"/>
        <v>0</v>
      </c>
      <c r="L216" s="127"/>
      <c r="M216" s="12">
        <f t="shared" ca="1" si="93"/>
        <v>0</v>
      </c>
      <c r="N216" s="2">
        <f t="shared" si="94"/>
        <v>0</v>
      </c>
      <c r="O216" s="126">
        <f t="shared" ca="1" si="95"/>
        <v>0</v>
      </c>
      <c r="P216" s="127"/>
      <c r="Q216" s="12">
        <f t="shared" ca="1" si="96"/>
        <v>0</v>
      </c>
      <c r="R216" s="2">
        <f t="shared" si="97"/>
        <v>0</v>
      </c>
      <c r="S216" s="126">
        <f t="shared" ca="1" si="98"/>
        <v>0</v>
      </c>
      <c r="T216" s="127"/>
      <c r="U216" s="13">
        <f t="shared" ca="1" si="99"/>
        <v>0</v>
      </c>
      <c r="V216" s="2">
        <f t="shared" si="100"/>
        <v>0</v>
      </c>
      <c r="W216" s="126">
        <f t="shared" ca="1" si="101"/>
        <v>0</v>
      </c>
      <c r="X216" s="127"/>
      <c r="Y216" s="12">
        <f t="shared" ca="1" si="102"/>
        <v>0</v>
      </c>
      <c r="Z216" s="2">
        <f t="shared" si="103"/>
        <v>0</v>
      </c>
      <c r="AA216" s="126">
        <f t="shared" ca="1" si="104"/>
        <v>0</v>
      </c>
      <c r="AB216" s="127"/>
      <c r="AC216" s="12">
        <f t="shared" ca="1" si="105"/>
        <v>0</v>
      </c>
      <c r="AD216" s="140"/>
      <c r="AE216" s="140"/>
      <c r="AF216" s="140"/>
      <c r="AG216" s="140"/>
      <c r="AH216" s="113"/>
      <c r="AI216" s="136"/>
      <c r="AJ216" s="136"/>
    </row>
    <row r="217" spans="1:36" x14ac:dyDescent="0.25">
      <c r="A217" s="137"/>
      <c r="B217" s="2">
        <f t="shared" si="85"/>
        <v>0</v>
      </c>
      <c r="C217" s="126">
        <f t="shared" ca="1" si="86"/>
        <v>0</v>
      </c>
      <c r="D217" s="127"/>
      <c r="E217" s="13">
        <f t="shared" ca="1" si="87"/>
        <v>0</v>
      </c>
      <c r="F217" s="2">
        <f t="shared" si="88"/>
        <v>0</v>
      </c>
      <c r="G217" s="126">
        <f t="shared" ca="1" si="89"/>
        <v>0</v>
      </c>
      <c r="H217" s="127"/>
      <c r="I217" s="12">
        <f t="shared" ca="1" si="90"/>
        <v>0</v>
      </c>
      <c r="J217" s="2">
        <f t="shared" si="91"/>
        <v>0</v>
      </c>
      <c r="K217" s="126">
        <f t="shared" ca="1" si="92"/>
        <v>0</v>
      </c>
      <c r="L217" s="127"/>
      <c r="M217" s="12">
        <f t="shared" ca="1" si="93"/>
        <v>0</v>
      </c>
      <c r="N217" s="2">
        <f t="shared" si="94"/>
        <v>0</v>
      </c>
      <c r="O217" s="126">
        <f t="shared" ca="1" si="95"/>
        <v>0</v>
      </c>
      <c r="P217" s="127"/>
      <c r="Q217" s="12">
        <f t="shared" ca="1" si="96"/>
        <v>0</v>
      </c>
      <c r="R217" s="2">
        <f t="shared" si="97"/>
        <v>0</v>
      </c>
      <c r="S217" s="126">
        <f t="shared" ca="1" si="98"/>
        <v>0</v>
      </c>
      <c r="T217" s="127"/>
      <c r="U217" s="13">
        <f t="shared" ca="1" si="99"/>
        <v>0</v>
      </c>
      <c r="V217" s="2">
        <f t="shared" si="100"/>
        <v>0</v>
      </c>
      <c r="W217" s="126">
        <f t="shared" ca="1" si="101"/>
        <v>0</v>
      </c>
      <c r="X217" s="127"/>
      <c r="Y217" s="12">
        <f t="shared" ca="1" si="102"/>
        <v>0</v>
      </c>
      <c r="Z217" s="2">
        <f t="shared" si="103"/>
        <v>0</v>
      </c>
      <c r="AA217" s="126">
        <f t="shared" ca="1" si="104"/>
        <v>0</v>
      </c>
      <c r="AB217" s="127"/>
      <c r="AC217" s="12">
        <f t="shared" ca="1" si="105"/>
        <v>0</v>
      </c>
      <c r="AD217" s="140"/>
      <c r="AE217" s="140"/>
      <c r="AF217" s="140"/>
      <c r="AG217" s="140"/>
      <c r="AH217" s="113"/>
      <c r="AI217" s="136"/>
      <c r="AJ217" s="136"/>
    </row>
    <row r="218" spans="1:36" x14ac:dyDescent="0.25">
      <c r="A218" s="138"/>
      <c r="B218" s="2">
        <f t="shared" si="85"/>
        <v>0</v>
      </c>
      <c r="C218" s="126">
        <f t="shared" ca="1" si="86"/>
        <v>0</v>
      </c>
      <c r="D218" s="127"/>
      <c r="E218" s="13">
        <f t="shared" ca="1" si="87"/>
        <v>0</v>
      </c>
      <c r="F218" s="2">
        <f t="shared" si="88"/>
        <v>0</v>
      </c>
      <c r="G218" s="126">
        <f t="shared" ca="1" si="89"/>
        <v>0</v>
      </c>
      <c r="H218" s="127"/>
      <c r="I218" s="12">
        <f t="shared" ca="1" si="90"/>
        <v>0</v>
      </c>
      <c r="J218" s="2">
        <f t="shared" si="91"/>
        <v>0</v>
      </c>
      <c r="K218" s="126">
        <f t="shared" ca="1" si="92"/>
        <v>0</v>
      </c>
      <c r="L218" s="127"/>
      <c r="M218" s="12">
        <f t="shared" ca="1" si="93"/>
        <v>0</v>
      </c>
      <c r="N218" s="2">
        <f t="shared" si="94"/>
        <v>0</v>
      </c>
      <c r="O218" s="126">
        <f t="shared" ca="1" si="95"/>
        <v>0</v>
      </c>
      <c r="P218" s="127"/>
      <c r="Q218" s="12">
        <f t="shared" ca="1" si="96"/>
        <v>0</v>
      </c>
      <c r="R218" s="2">
        <f t="shared" si="97"/>
        <v>0</v>
      </c>
      <c r="S218" s="126">
        <f t="shared" ca="1" si="98"/>
        <v>0</v>
      </c>
      <c r="T218" s="127"/>
      <c r="U218" s="13">
        <f t="shared" ca="1" si="99"/>
        <v>0</v>
      </c>
      <c r="V218" s="2">
        <f t="shared" si="100"/>
        <v>0</v>
      </c>
      <c r="W218" s="126">
        <f t="shared" ca="1" si="101"/>
        <v>0</v>
      </c>
      <c r="X218" s="127"/>
      <c r="Y218" s="12">
        <f t="shared" ca="1" si="102"/>
        <v>0</v>
      </c>
      <c r="Z218" s="2">
        <f t="shared" si="103"/>
        <v>0</v>
      </c>
      <c r="AA218" s="126">
        <f t="shared" ca="1" si="104"/>
        <v>0</v>
      </c>
      <c r="AB218" s="127"/>
      <c r="AC218" s="12">
        <f t="shared" ca="1" si="105"/>
        <v>0</v>
      </c>
      <c r="AD218" s="140"/>
      <c r="AE218" s="140"/>
      <c r="AF218" s="140"/>
      <c r="AG218" s="140"/>
      <c r="AH218" s="113"/>
      <c r="AI218" s="136"/>
      <c r="AJ218" s="136"/>
    </row>
    <row r="219" spans="1:36" x14ac:dyDescent="0.25">
      <c r="A219" s="137">
        <v>45284</v>
      </c>
      <c r="B219" s="2">
        <f>B5</f>
        <v>0</v>
      </c>
      <c r="C219" s="126">
        <f ca="1">IF(TODAY()=$A$219,C5*D5*E5,C219)</f>
        <v>0</v>
      </c>
      <c r="D219" s="127"/>
      <c r="E219" s="13">
        <f ca="1">IF(TODAY()=$A$219,E5,E219)</f>
        <v>0</v>
      </c>
      <c r="F219" s="2">
        <f>F5</f>
        <v>0</v>
      </c>
      <c r="G219" s="126">
        <f ca="1">IF(TODAY()=$A$219,G5*H5*I5,G219)</f>
        <v>0</v>
      </c>
      <c r="H219" s="127"/>
      <c r="I219" s="12">
        <f ca="1">IF(TODAY()=$A$219,I5,I219)</f>
        <v>0</v>
      </c>
      <c r="J219" s="2">
        <f>J5</f>
        <v>0</v>
      </c>
      <c r="K219" s="126">
        <f ca="1">IF(TODAY()=$A$219,K5*L5*M5,K219)</f>
        <v>0</v>
      </c>
      <c r="L219" s="127"/>
      <c r="M219" s="12">
        <f ca="1">IF(TODAY()=$A$219,M5,M219)</f>
        <v>0</v>
      </c>
      <c r="N219" s="2">
        <f>N5</f>
        <v>0</v>
      </c>
      <c r="O219" s="126">
        <f ca="1">IF(TODAY()=$A$219,O5*P5*Q5,O219)</f>
        <v>0</v>
      </c>
      <c r="P219" s="127"/>
      <c r="Q219" s="12">
        <f ca="1">IF(TODAY()=$A$219,Q5,Q219)</f>
        <v>0</v>
      </c>
      <c r="R219" s="2">
        <f>R5</f>
        <v>0</v>
      </c>
      <c r="S219" s="126">
        <f ca="1">IF(TODAY()=$A$219,S5*T5*U5,S219)</f>
        <v>0</v>
      </c>
      <c r="T219" s="127"/>
      <c r="U219" s="13">
        <f ca="1">IF(TODAY()=$A$219,U5,U219)</f>
        <v>0</v>
      </c>
      <c r="V219" s="2">
        <f>V5</f>
        <v>0</v>
      </c>
      <c r="W219" s="126">
        <f ca="1">IF(TODAY()=$A$219,W5*X5*Y5,W219)</f>
        <v>0</v>
      </c>
      <c r="X219" s="127"/>
      <c r="Y219" s="12">
        <f ca="1">IF(TODAY()=$A$219,Y5,Y219)</f>
        <v>0</v>
      </c>
      <c r="Z219" s="2">
        <f>Z5</f>
        <v>0</v>
      </c>
      <c r="AA219" s="126">
        <f ca="1">IF(TODAY()=$A$219,AA5*AB5*AC5,AA219)</f>
        <v>0</v>
      </c>
      <c r="AB219" s="127"/>
      <c r="AC219" s="12">
        <f ca="1">IF(TODAY()=$A$219,AC5,AC219)</f>
        <v>0</v>
      </c>
      <c r="AD219" s="139">
        <f ca="1">SUM(C219:E253,G219:I253,K219:M253,O219:Q253,S219:U253,W219:Y253,AA219:AC253)</f>
        <v>0</v>
      </c>
      <c r="AE219" s="139"/>
      <c r="AF219" s="139"/>
      <c r="AG219" s="139"/>
      <c r="AH219" s="161" t="e">
        <f t="shared" ref="AH219" ca="1" si="106">(AD219-AD184)/AD184</f>
        <v>#DIV/0!</v>
      </c>
      <c r="AI219" s="135"/>
      <c r="AJ219" s="135"/>
    </row>
    <row r="220" spans="1:36" x14ac:dyDescent="0.25">
      <c r="A220" s="137"/>
      <c r="B220" s="2">
        <f t="shared" ref="B220:B253" si="107">B6</f>
        <v>0</v>
      </c>
      <c r="C220" s="126">
        <f t="shared" ref="C220:C253" ca="1" si="108">IF(TODAY()=$A$219,C6*D6*E6,C220)</f>
        <v>0</v>
      </c>
      <c r="D220" s="127"/>
      <c r="E220" s="13">
        <f t="shared" ref="E220:E253" ca="1" si="109">IF(TODAY()=$A$219,E6,E220)</f>
        <v>0</v>
      </c>
      <c r="F220" s="2">
        <f t="shared" ref="F220:F253" si="110">F6</f>
        <v>0</v>
      </c>
      <c r="G220" s="126">
        <f t="shared" ref="G220:G253" ca="1" si="111">IF(TODAY()=$A$219,G6*H6*I6,G220)</f>
        <v>0</v>
      </c>
      <c r="H220" s="127"/>
      <c r="I220" s="12">
        <f t="shared" ref="I220:I253" ca="1" si="112">IF(TODAY()=$A$219,I6,I220)</f>
        <v>0</v>
      </c>
      <c r="J220" s="2">
        <f t="shared" ref="J220:J253" si="113">J6</f>
        <v>0</v>
      </c>
      <c r="K220" s="126">
        <f t="shared" ref="K220:K253" ca="1" si="114">IF(TODAY()=$A$219,K6*L6*M6,K220)</f>
        <v>0</v>
      </c>
      <c r="L220" s="127"/>
      <c r="M220" s="12">
        <f t="shared" ref="M220:M253" ca="1" si="115">IF(TODAY()=$A$219,M6,M220)</f>
        <v>0</v>
      </c>
      <c r="N220" s="2">
        <f t="shared" ref="N220:N253" si="116">N6</f>
        <v>0</v>
      </c>
      <c r="O220" s="126">
        <f t="shared" ref="O220:O253" ca="1" si="117">IF(TODAY()=$A$219,O6*P6*Q6,O220)</f>
        <v>0</v>
      </c>
      <c r="P220" s="127"/>
      <c r="Q220" s="12">
        <f t="shared" ref="Q220:Q253" ca="1" si="118">IF(TODAY()=$A$219,Q6,Q220)</f>
        <v>0</v>
      </c>
      <c r="R220" s="2">
        <f t="shared" ref="R220:R253" si="119">R6</f>
        <v>0</v>
      </c>
      <c r="S220" s="126">
        <f t="shared" ref="S220:S253" ca="1" si="120">IF(TODAY()=$A$219,S6*T6*U6,S220)</f>
        <v>0</v>
      </c>
      <c r="T220" s="127"/>
      <c r="U220" s="13">
        <f t="shared" ref="U220:U253" ca="1" si="121">IF(TODAY()=$A$219,U6,U220)</f>
        <v>0</v>
      </c>
      <c r="V220" s="2">
        <f t="shared" ref="V220:V253" si="122">V6</f>
        <v>0</v>
      </c>
      <c r="W220" s="126">
        <f t="shared" ref="W220:W253" ca="1" si="123">IF(TODAY()=$A$219,W6*X6*Y6,W220)</f>
        <v>0</v>
      </c>
      <c r="X220" s="127"/>
      <c r="Y220" s="12">
        <f t="shared" ref="Y220:Y253" ca="1" si="124">IF(TODAY()=$A$219,Y6,Y220)</f>
        <v>0</v>
      </c>
      <c r="Z220" s="2">
        <f t="shared" ref="Z220:Z253" si="125">Z6</f>
        <v>0</v>
      </c>
      <c r="AA220" s="126">
        <f t="shared" ref="AA220:AA252" ca="1" si="126">IF(TODAY()=$A$219,AA6*AB6*AC6,AA220)</f>
        <v>0</v>
      </c>
      <c r="AB220" s="127"/>
      <c r="AC220" s="12">
        <f t="shared" ref="AC220:AC253" ca="1" si="127">IF(TODAY()=$A$219,AC6,AC220)</f>
        <v>0</v>
      </c>
      <c r="AD220" s="140"/>
      <c r="AE220" s="140"/>
      <c r="AF220" s="140"/>
      <c r="AG220" s="140"/>
      <c r="AH220" s="161"/>
      <c r="AI220" s="136"/>
      <c r="AJ220" s="136"/>
    </row>
    <row r="221" spans="1:36" x14ac:dyDescent="0.25">
      <c r="A221" s="137"/>
      <c r="B221" s="2">
        <f t="shared" si="107"/>
        <v>0</v>
      </c>
      <c r="C221" s="126">
        <f t="shared" ca="1" si="108"/>
        <v>0</v>
      </c>
      <c r="D221" s="127"/>
      <c r="E221" s="13">
        <f t="shared" ca="1" si="109"/>
        <v>0</v>
      </c>
      <c r="F221" s="2">
        <f t="shared" si="110"/>
        <v>0</v>
      </c>
      <c r="G221" s="126">
        <f t="shared" ca="1" si="111"/>
        <v>0</v>
      </c>
      <c r="H221" s="127"/>
      <c r="I221" s="12">
        <f t="shared" ca="1" si="112"/>
        <v>0</v>
      </c>
      <c r="J221" s="2">
        <f t="shared" si="113"/>
        <v>0</v>
      </c>
      <c r="K221" s="126">
        <f t="shared" ca="1" si="114"/>
        <v>0</v>
      </c>
      <c r="L221" s="127"/>
      <c r="M221" s="12">
        <f t="shared" ca="1" si="115"/>
        <v>0</v>
      </c>
      <c r="N221" s="2">
        <f t="shared" si="116"/>
        <v>0</v>
      </c>
      <c r="O221" s="126">
        <f t="shared" ca="1" si="117"/>
        <v>0</v>
      </c>
      <c r="P221" s="127"/>
      <c r="Q221" s="12">
        <f t="shared" ca="1" si="118"/>
        <v>0</v>
      </c>
      <c r="R221" s="2">
        <f t="shared" si="119"/>
        <v>0</v>
      </c>
      <c r="S221" s="126">
        <f t="shared" ca="1" si="120"/>
        <v>0</v>
      </c>
      <c r="T221" s="127"/>
      <c r="U221" s="13">
        <f t="shared" ca="1" si="121"/>
        <v>0</v>
      </c>
      <c r="V221" s="2">
        <f t="shared" si="122"/>
        <v>0</v>
      </c>
      <c r="W221" s="126">
        <f t="shared" ca="1" si="123"/>
        <v>0</v>
      </c>
      <c r="X221" s="127"/>
      <c r="Y221" s="12">
        <f t="shared" ca="1" si="124"/>
        <v>0</v>
      </c>
      <c r="Z221" s="2">
        <f t="shared" si="125"/>
        <v>0</v>
      </c>
      <c r="AA221" s="126">
        <f t="shared" ca="1" si="126"/>
        <v>0</v>
      </c>
      <c r="AB221" s="127"/>
      <c r="AC221" s="12">
        <f t="shared" ca="1" si="127"/>
        <v>0</v>
      </c>
      <c r="AD221" s="140"/>
      <c r="AE221" s="140"/>
      <c r="AF221" s="140"/>
      <c r="AG221" s="140"/>
      <c r="AH221" s="161"/>
      <c r="AI221" s="136"/>
      <c r="AJ221" s="136"/>
    </row>
    <row r="222" spans="1:36" x14ac:dyDescent="0.25">
      <c r="A222" s="137"/>
      <c r="B222" s="2">
        <f t="shared" si="107"/>
        <v>0</v>
      </c>
      <c r="C222" s="126">
        <f t="shared" ca="1" si="108"/>
        <v>0</v>
      </c>
      <c r="D222" s="127"/>
      <c r="E222" s="13">
        <f t="shared" ca="1" si="109"/>
        <v>0</v>
      </c>
      <c r="F222" s="2">
        <f t="shared" si="110"/>
        <v>0</v>
      </c>
      <c r="G222" s="126">
        <f t="shared" ca="1" si="111"/>
        <v>0</v>
      </c>
      <c r="H222" s="127"/>
      <c r="I222" s="12">
        <f t="shared" ca="1" si="112"/>
        <v>0</v>
      </c>
      <c r="J222" s="2">
        <f t="shared" si="113"/>
        <v>0</v>
      </c>
      <c r="K222" s="126">
        <f t="shared" ca="1" si="114"/>
        <v>0</v>
      </c>
      <c r="L222" s="127"/>
      <c r="M222" s="12">
        <f t="shared" ca="1" si="115"/>
        <v>0</v>
      </c>
      <c r="N222" s="2">
        <f t="shared" si="116"/>
        <v>0</v>
      </c>
      <c r="O222" s="126">
        <f t="shared" ca="1" si="117"/>
        <v>0</v>
      </c>
      <c r="P222" s="127"/>
      <c r="Q222" s="12">
        <f t="shared" ca="1" si="118"/>
        <v>0</v>
      </c>
      <c r="R222" s="2">
        <f t="shared" si="119"/>
        <v>0</v>
      </c>
      <c r="S222" s="126">
        <f t="shared" ca="1" si="120"/>
        <v>0</v>
      </c>
      <c r="T222" s="127"/>
      <c r="U222" s="13">
        <f t="shared" ca="1" si="121"/>
        <v>0</v>
      </c>
      <c r="V222" s="2">
        <f t="shared" si="122"/>
        <v>0</v>
      </c>
      <c r="W222" s="126">
        <f t="shared" ca="1" si="123"/>
        <v>0</v>
      </c>
      <c r="X222" s="127"/>
      <c r="Y222" s="12">
        <f t="shared" ca="1" si="124"/>
        <v>0</v>
      </c>
      <c r="Z222" s="2">
        <f t="shared" si="125"/>
        <v>0</v>
      </c>
      <c r="AA222" s="126">
        <f t="shared" ca="1" si="126"/>
        <v>0</v>
      </c>
      <c r="AB222" s="127"/>
      <c r="AC222" s="12">
        <f t="shared" ca="1" si="127"/>
        <v>0</v>
      </c>
      <c r="AD222" s="140"/>
      <c r="AE222" s="140"/>
      <c r="AF222" s="140"/>
      <c r="AG222" s="140"/>
      <c r="AH222" s="161"/>
      <c r="AI222" s="136"/>
      <c r="AJ222" s="136"/>
    </row>
    <row r="223" spans="1:36" x14ac:dyDescent="0.25">
      <c r="A223" s="137"/>
      <c r="B223" s="2">
        <f t="shared" si="107"/>
        <v>0</v>
      </c>
      <c r="C223" s="126">
        <f t="shared" ca="1" si="108"/>
        <v>0</v>
      </c>
      <c r="D223" s="127"/>
      <c r="E223" s="13">
        <f t="shared" ca="1" si="109"/>
        <v>0</v>
      </c>
      <c r="F223" s="2">
        <f t="shared" si="110"/>
        <v>0</v>
      </c>
      <c r="G223" s="126">
        <f t="shared" ca="1" si="111"/>
        <v>0</v>
      </c>
      <c r="H223" s="127"/>
      <c r="I223" s="12">
        <f t="shared" ca="1" si="112"/>
        <v>0</v>
      </c>
      <c r="J223" s="2">
        <f t="shared" si="113"/>
        <v>0</v>
      </c>
      <c r="K223" s="126">
        <f t="shared" ca="1" si="114"/>
        <v>0</v>
      </c>
      <c r="L223" s="127"/>
      <c r="M223" s="12">
        <f t="shared" ca="1" si="115"/>
        <v>0</v>
      </c>
      <c r="N223" s="2">
        <f t="shared" si="116"/>
        <v>0</v>
      </c>
      <c r="O223" s="126">
        <f t="shared" ca="1" si="117"/>
        <v>0</v>
      </c>
      <c r="P223" s="127"/>
      <c r="Q223" s="12">
        <f t="shared" ca="1" si="118"/>
        <v>0</v>
      </c>
      <c r="R223" s="2">
        <f t="shared" si="119"/>
        <v>0</v>
      </c>
      <c r="S223" s="126">
        <f t="shared" ca="1" si="120"/>
        <v>0</v>
      </c>
      <c r="T223" s="127"/>
      <c r="U223" s="13">
        <f t="shared" ca="1" si="121"/>
        <v>0</v>
      </c>
      <c r="V223" s="2">
        <f t="shared" si="122"/>
        <v>0</v>
      </c>
      <c r="W223" s="126">
        <f t="shared" ca="1" si="123"/>
        <v>0</v>
      </c>
      <c r="X223" s="127"/>
      <c r="Y223" s="12">
        <f t="shared" ca="1" si="124"/>
        <v>0</v>
      </c>
      <c r="Z223" s="2">
        <f t="shared" si="125"/>
        <v>0</v>
      </c>
      <c r="AA223" s="126">
        <f t="shared" ca="1" si="126"/>
        <v>0</v>
      </c>
      <c r="AB223" s="127"/>
      <c r="AC223" s="12">
        <f t="shared" ca="1" si="127"/>
        <v>0</v>
      </c>
      <c r="AD223" s="140"/>
      <c r="AE223" s="140"/>
      <c r="AF223" s="140"/>
      <c r="AG223" s="140"/>
      <c r="AH223" s="161"/>
      <c r="AI223" s="136"/>
      <c r="AJ223" s="136"/>
    </row>
    <row r="224" spans="1:36" x14ac:dyDescent="0.25">
      <c r="A224" s="137"/>
      <c r="B224" s="2">
        <f t="shared" si="107"/>
        <v>0</v>
      </c>
      <c r="C224" s="126">
        <f t="shared" ca="1" si="108"/>
        <v>0</v>
      </c>
      <c r="D224" s="127"/>
      <c r="E224" s="13">
        <f t="shared" ca="1" si="109"/>
        <v>0</v>
      </c>
      <c r="F224" s="2">
        <f t="shared" si="110"/>
        <v>0</v>
      </c>
      <c r="G224" s="126">
        <f t="shared" ca="1" si="111"/>
        <v>0</v>
      </c>
      <c r="H224" s="127"/>
      <c r="I224" s="12">
        <f t="shared" ca="1" si="112"/>
        <v>0</v>
      </c>
      <c r="J224" s="2">
        <f t="shared" si="113"/>
        <v>0</v>
      </c>
      <c r="K224" s="126">
        <f t="shared" ca="1" si="114"/>
        <v>0</v>
      </c>
      <c r="L224" s="127"/>
      <c r="M224" s="12">
        <f t="shared" ca="1" si="115"/>
        <v>0</v>
      </c>
      <c r="N224" s="2">
        <f t="shared" si="116"/>
        <v>0</v>
      </c>
      <c r="O224" s="126">
        <f t="shared" ca="1" si="117"/>
        <v>0</v>
      </c>
      <c r="P224" s="127"/>
      <c r="Q224" s="12">
        <f t="shared" ca="1" si="118"/>
        <v>0</v>
      </c>
      <c r="R224" s="2">
        <f t="shared" si="119"/>
        <v>0</v>
      </c>
      <c r="S224" s="126">
        <f t="shared" ca="1" si="120"/>
        <v>0</v>
      </c>
      <c r="T224" s="127"/>
      <c r="U224" s="13">
        <f t="shared" ca="1" si="121"/>
        <v>0</v>
      </c>
      <c r="V224" s="2">
        <f t="shared" si="122"/>
        <v>0</v>
      </c>
      <c r="W224" s="126">
        <f t="shared" ca="1" si="123"/>
        <v>0</v>
      </c>
      <c r="X224" s="127"/>
      <c r="Y224" s="12">
        <f t="shared" ca="1" si="124"/>
        <v>0</v>
      </c>
      <c r="Z224" s="2">
        <f t="shared" si="125"/>
        <v>0</v>
      </c>
      <c r="AA224" s="126">
        <f t="shared" ca="1" si="126"/>
        <v>0</v>
      </c>
      <c r="AB224" s="127"/>
      <c r="AC224" s="12">
        <f t="shared" ca="1" si="127"/>
        <v>0</v>
      </c>
      <c r="AD224" s="140"/>
      <c r="AE224" s="140"/>
      <c r="AF224" s="140"/>
      <c r="AG224" s="140"/>
      <c r="AH224" s="161"/>
      <c r="AI224" s="136"/>
      <c r="AJ224" s="136"/>
    </row>
    <row r="225" spans="1:36" x14ac:dyDescent="0.25">
      <c r="A225" s="137"/>
      <c r="B225" s="2">
        <f t="shared" si="107"/>
        <v>0</v>
      </c>
      <c r="C225" s="126">
        <f t="shared" ca="1" si="108"/>
        <v>0</v>
      </c>
      <c r="D225" s="127"/>
      <c r="E225" s="13">
        <f t="shared" ca="1" si="109"/>
        <v>0</v>
      </c>
      <c r="F225" s="2">
        <f t="shared" si="110"/>
        <v>0</v>
      </c>
      <c r="G225" s="126">
        <f t="shared" ca="1" si="111"/>
        <v>0</v>
      </c>
      <c r="H225" s="127"/>
      <c r="I225" s="12">
        <f t="shared" ca="1" si="112"/>
        <v>0</v>
      </c>
      <c r="J225" s="2">
        <f t="shared" si="113"/>
        <v>0</v>
      </c>
      <c r="K225" s="126">
        <f t="shared" ca="1" si="114"/>
        <v>0</v>
      </c>
      <c r="L225" s="127"/>
      <c r="M225" s="12">
        <f t="shared" ca="1" si="115"/>
        <v>0</v>
      </c>
      <c r="N225" s="2">
        <f t="shared" si="116"/>
        <v>0</v>
      </c>
      <c r="O225" s="126">
        <f t="shared" ca="1" si="117"/>
        <v>0</v>
      </c>
      <c r="P225" s="127"/>
      <c r="Q225" s="12">
        <f t="shared" ca="1" si="118"/>
        <v>0</v>
      </c>
      <c r="R225" s="2">
        <f t="shared" si="119"/>
        <v>0</v>
      </c>
      <c r="S225" s="126">
        <f t="shared" ca="1" si="120"/>
        <v>0</v>
      </c>
      <c r="T225" s="127"/>
      <c r="U225" s="13">
        <f t="shared" ca="1" si="121"/>
        <v>0</v>
      </c>
      <c r="V225" s="2">
        <f t="shared" si="122"/>
        <v>0</v>
      </c>
      <c r="W225" s="126">
        <f t="shared" ca="1" si="123"/>
        <v>0</v>
      </c>
      <c r="X225" s="127"/>
      <c r="Y225" s="12">
        <f t="shared" ca="1" si="124"/>
        <v>0</v>
      </c>
      <c r="Z225" s="2">
        <f t="shared" si="125"/>
        <v>0</v>
      </c>
      <c r="AA225" s="126">
        <f t="shared" ca="1" si="126"/>
        <v>0</v>
      </c>
      <c r="AB225" s="127"/>
      <c r="AC225" s="12">
        <f t="shared" ca="1" si="127"/>
        <v>0</v>
      </c>
      <c r="AD225" s="140"/>
      <c r="AE225" s="140"/>
      <c r="AF225" s="140"/>
      <c r="AG225" s="140"/>
      <c r="AH225" s="161"/>
      <c r="AI225" s="136"/>
      <c r="AJ225" s="136"/>
    </row>
    <row r="226" spans="1:36" x14ac:dyDescent="0.25">
      <c r="A226" s="137"/>
      <c r="B226" s="2">
        <f t="shared" si="107"/>
        <v>0</v>
      </c>
      <c r="C226" s="126">
        <f t="shared" ca="1" si="108"/>
        <v>0</v>
      </c>
      <c r="D226" s="127"/>
      <c r="E226" s="13">
        <f t="shared" ca="1" si="109"/>
        <v>0</v>
      </c>
      <c r="F226" s="2">
        <f t="shared" si="110"/>
        <v>0</v>
      </c>
      <c r="G226" s="126">
        <f t="shared" ca="1" si="111"/>
        <v>0</v>
      </c>
      <c r="H226" s="127"/>
      <c r="I226" s="12">
        <f t="shared" ca="1" si="112"/>
        <v>0</v>
      </c>
      <c r="J226" s="2">
        <f t="shared" si="113"/>
        <v>0</v>
      </c>
      <c r="K226" s="126">
        <f t="shared" ca="1" si="114"/>
        <v>0</v>
      </c>
      <c r="L226" s="127"/>
      <c r="M226" s="12">
        <f t="shared" ca="1" si="115"/>
        <v>0</v>
      </c>
      <c r="N226" s="2">
        <f t="shared" si="116"/>
        <v>0</v>
      </c>
      <c r="O226" s="126">
        <f t="shared" ca="1" si="117"/>
        <v>0</v>
      </c>
      <c r="P226" s="127"/>
      <c r="Q226" s="12">
        <f t="shared" ca="1" si="118"/>
        <v>0</v>
      </c>
      <c r="R226" s="2">
        <f t="shared" si="119"/>
        <v>0</v>
      </c>
      <c r="S226" s="126">
        <f t="shared" ca="1" si="120"/>
        <v>0</v>
      </c>
      <c r="T226" s="127"/>
      <c r="U226" s="13">
        <f t="shared" ca="1" si="121"/>
        <v>0</v>
      </c>
      <c r="V226" s="2">
        <f t="shared" si="122"/>
        <v>0</v>
      </c>
      <c r="W226" s="126">
        <f t="shared" ca="1" si="123"/>
        <v>0</v>
      </c>
      <c r="X226" s="127"/>
      <c r="Y226" s="12">
        <f t="shared" ca="1" si="124"/>
        <v>0</v>
      </c>
      <c r="Z226" s="2">
        <f t="shared" si="125"/>
        <v>0</v>
      </c>
      <c r="AA226" s="126">
        <f t="shared" ca="1" si="126"/>
        <v>0</v>
      </c>
      <c r="AB226" s="127"/>
      <c r="AC226" s="12">
        <f t="shared" ca="1" si="127"/>
        <v>0</v>
      </c>
      <c r="AD226" s="140"/>
      <c r="AE226" s="140"/>
      <c r="AF226" s="140"/>
      <c r="AG226" s="140"/>
      <c r="AH226" s="161"/>
      <c r="AI226" s="136"/>
      <c r="AJ226" s="136"/>
    </row>
    <row r="227" spans="1:36" x14ac:dyDescent="0.25">
      <c r="A227" s="137"/>
      <c r="B227" s="2">
        <f t="shared" si="107"/>
        <v>0</v>
      </c>
      <c r="C227" s="126">
        <f t="shared" ca="1" si="108"/>
        <v>0</v>
      </c>
      <c r="D227" s="127"/>
      <c r="E227" s="13">
        <f t="shared" ca="1" si="109"/>
        <v>0</v>
      </c>
      <c r="F227" s="2">
        <f t="shared" si="110"/>
        <v>0</v>
      </c>
      <c r="G227" s="126">
        <f t="shared" ca="1" si="111"/>
        <v>0</v>
      </c>
      <c r="H227" s="127"/>
      <c r="I227" s="12">
        <f t="shared" ca="1" si="112"/>
        <v>0</v>
      </c>
      <c r="J227" s="2">
        <f t="shared" si="113"/>
        <v>0</v>
      </c>
      <c r="K227" s="126">
        <f t="shared" ca="1" si="114"/>
        <v>0</v>
      </c>
      <c r="L227" s="127"/>
      <c r="M227" s="12">
        <f t="shared" ca="1" si="115"/>
        <v>0</v>
      </c>
      <c r="N227" s="2">
        <f t="shared" si="116"/>
        <v>0</v>
      </c>
      <c r="O227" s="126">
        <f t="shared" ca="1" si="117"/>
        <v>0</v>
      </c>
      <c r="P227" s="127"/>
      <c r="Q227" s="12">
        <f t="shared" ca="1" si="118"/>
        <v>0</v>
      </c>
      <c r="R227" s="2">
        <f t="shared" si="119"/>
        <v>0</v>
      </c>
      <c r="S227" s="126">
        <f t="shared" ca="1" si="120"/>
        <v>0</v>
      </c>
      <c r="T227" s="127"/>
      <c r="U227" s="13">
        <f t="shared" ca="1" si="121"/>
        <v>0</v>
      </c>
      <c r="V227" s="2">
        <f t="shared" si="122"/>
        <v>0</v>
      </c>
      <c r="W227" s="126">
        <f t="shared" ca="1" si="123"/>
        <v>0</v>
      </c>
      <c r="X227" s="127"/>
      <c r="Y227" s="12">
        <f t="shared" ca="1" si="124"/>
        <v>0</v>
      </c>
      <c r="Z227" s="2">
        <f t="shared" si="125"/>
        <v>0</v>
      </c>
      <c r="AA227" s="126">
        <f t="shared" ca="1" si="126"/>
        <v>0</v>
      </c>
      <c r="AB227" s="127"/>
      <c r="AC227" s="12">
        <f t="shared" ca="1" si="127"/>
        <v>0</v>
      </c>
      <c r="AD227" s="140"/>
      <c r="AE227" s="140"/>
      <c r="AF227" s="140"/>
      <c r="AG227" s="140"/>
      <c r="AH227" s="161"/>
      <c r="AI227" s="136"/>
      <c r="AJ227" s="136"/>
    </row>
    <row r="228" spans="1:36" x14ac:dyDescent="0.25">
      <c r="A228" s="137"/>
      <c r="B228" s="2">
        <f t="shared" si="107"/>
        <v>0</v>
      </c>
      <c r="C228" s="126">
        <f t="shared" ca="1" si="108"/>
        <v>0</v>
      </c>
      <c r="D228" s="127"/>
      <c r="E228" s="13">
        <f t="shared" ca="1" si="109"/>
        <v>0</v>
      </c>
      <c r="F228" s="2">
        <f t="shared" si="110"/>
        <v>0</v>
      </c>
      <c r="G228" s="126">
        <f t="shared" ca="1" si="111"/>
        <v>0</v>
      </c>
      <c r="H228" s="127"/>
      <c r="I228" s="12">
        <f t="shared" ca="1" si="112"/>
        <v>0</v>
      </c>
      <c r="J228" s="2">
        <f t="shared" si="113"/>
        <v>0</v>
      </c>
      <c r="K228" s="126">
        <f t="shared" ca="1" si="114"/>
        <v>0</v>
      </c>
      <c r="L228" s="127"/>
      <c r="M228" s="12">
        <f t="shared" ca="1" si="115"/>
        <v>0</v>
      </c>
      <c r="N228" s="2">
        <f t="shared" si="116"/>
        <v>0</v>
      </c>
      <c r="O228" s="126">
        <f t="shared" ca="1" si="117"/>
        <v>0</v>
      </c>
      <c r="P228" s="127"/>
      <c r="Q228" s="12">
        <f t="shared" ca="1" si="118"/>
        <v>0</v>
      </c>
      <c r="R228" s="2">
        <f t="shared" si="119"/>
        <v>0</v>
      </c>
      <c r="S228" s="126">
        <f t="shared" ca="1" si="120"/>
        <v>0</v>
      </c>
      <c r="T228" s="127"/>
      <c r="U228" s="13">
        <f t="shared" ca="1" si="121"/>
        <v>0</v>
      </c>
      <c r="V228" s="2">
        <f t="shared" si="122"/>
        <v>0</v>
      </c>
      <c r="W228" s="126">
        <f t="shared" ca="1" si="123"/>
        <v>0</v>
      </c>
      <c r="X228" s="127"/>
      <c r="Y228" s="12">
        <f t="shared" ca="1" si="124"/>
        <v>0</v>
      </c>
      <c r="Z228" s="2">
        <f t="shared" si="125"/>
        <v>0</v>
      </c>
      <c r="AA228" s="126">
        <f t="shared" ca="1" si="126"/>
        <v>0</v>
      </c>
      <c r="AB228" s="127"/>
      <c r="AC228" s="12">
        <f t="shared" ca="1" si="127"/>
        <v>0</v>
      </c>
      <c r="AD228" s="140"/>
      <c r="AE228" s="140"/>
      <c r="AF228" s="140"/>
      <c r="AG228" s="140"/>
      <c r="AH228" s="161"/>
      <c r="AI228" s="136"/>
      <c r="AJ228" s="136"/>
    </row>
    <row r="229" spans="1:36" x14ac:dyDescent="0.25">
      <c r="A229" s="137"/>
      <c r="B229" s="2">
        <f t="shared" si="107"/>
        <v>0</v>
      </c>
      <c r="C229" s="126">
        <f t="shared" ca="1" si="108"/>
        <v>0</v>
      </c>
      <c r="D229" s="127"/>
      <c r="E229" s="13">
        <f t="shared" ca="1" si="109"/>
        <v>0</v>
      </c>
      <c r="F229" s="2">
        <f t="shared" si="110"/>
        <v>0</v>
      </c>
      <c r="G229" s="126">
        <f t="shared" ca="1" si="111"/>
        <v>0</v>
      </c>
      <c r="H229" s="127"/>
      <c r="I229" s="12">
        <f t="shared" ca="1" si="112"/>
        <v>0</v>
      </c>
      <c r="J229" s="2">
        <f t="shared" si="113"/>
        <v>0</v>
      </c>
      <c r="K229" s="126">
        <f t="shared" ca="1" si="114"/>
        <v>0</v>
      </c>
      <c r="L229" s="127"/>
      <c r="M229" s="12">
        <f t="shared" ca="1" si="115"/>
        <v>0</v>
      </c>
      <c r="N229" s="2">
        <f t="shared" si="116"/>
        <v>0</v>
      </c>
      <c r="O229" s="126">
        <f t="shared" ca="1" si="117"/>
        <v>0</v>
      </c>
      <c r="P229" s="127"/>
      <c r="Q229" s="12">
        <f t="shared" ca="1" si="118"/>
        <v>0</v>
      </c>
      <c r="R229" s="2">
        <f t="shared" si="119"/>
        <v>0</v>
      </c>
      <c r="S229" s="126">
        <f t="shared" ca="1" si="120"/>
        <v>0</v>
      </c>
      <c r="T229" s="127"/>
      <c r="U229" s="13">
        <f t="shared" ca="1" si="121"/>
        <v>0</v>
      </c>
      <c r="V229" s="2">
        <f t="shared" si="122"/>
        <v>0</v>
      </c>
      <c r="W229" s="126">
        <f t="shared" ca="1" si="123"/>
        <v>0</v>
      </c>
      <c r="X229" s="127"/>
      <c r="Y229" s="12">
        <f t="shared" ca="1" si="124"/>
        <v>0</v>
      </c>
      <c r="Z229" s="2">
        <f t="shared" si="125"/>
        <v>0</v>
      </c>
      <c r="AA229" s="126">
        <f t="shared" ca="1" si="126"/>
        <v>0</v>
      </c>
      <c r="AB229" s="127"/>
      <c r="AC229" s="12">
        <f t="shared" ca="1" si="127"/>
        <v>0</v>
      </c>
      <c r="AD229" s="140"/>
      <c r="AE229" s="140"/>
      <c r="AF229" s="140"/>
      <c r="AG229" s="140"/>
      <c r="AH229" s="161"/>
      <c r="AI229" s="136"/>
      <c r="AJ229" s="136"/>
    </row>
    <row r="230" spans="1:36" x14ac:dyDescent="0.25">
      <c r="A230" s="137"/>
      <c r="B230" s="2">
        <f t="shared" si="107"/>
        <v>0</v>
      </c>
      <c r="C230" s="126">
        <f t="shared" ca="1" si="108"/>
        <v>0</v>
      </c>
      <c r="D230" s="127"/>
      <c r="E230" s="13">
        <f t="shared" ca="1" si="109"/>
        <v>0</v>
      </c>
      <c r="F230" s="2">
        <f t="shared" si="110"/>
        <v>0</v>
      </c>
      <c r="G230" s="126">
        <f t="shared" ca="1" si="111"/>
        <v>0</v>
      </c>
      <c r="H230" s="127"/>
      <c r="I230" s="12">
        <f t="shared" ca="1" si="112"/>
        <v>0</v>
      </c>
      <c r="J230" s="2">
        <f t="shared" si="113"/>
        <v>0</v>
      </c>
      <c r="K230" s="126">
        <f t="shared" ca="1" si="114"/>
        <v>0</v>
      </c>
      <c r="L230" s="127"/>
      <c r="M230" s="12">
        <f t="shared" ca="1" si="115"/>
        <v>0</v>
      </c>
      <c r="N230" s="2">
        <f t="shared" si="116"/>
        <v>0</v>
      </c>
      <c r="O230" s="126">
        <f t="shared" ca="1" si="117"/>
        <v>0</v>
      </c>
      <c r="P230" s="127"/>
      <c r="Q230" s="12">
        <f t="shared" ca="1" si="118"/>
        <v>0</v>
      </c>
      <c r="R230" s="2">
        <f t="shared" si="119"/>
        <v>0</v>
      </c>
      <c r="S230" s="126">
        <f t="shared" ca="1" si="120"/>
        <v>0</v>
      </c>
      <c r="T230" s="127"/>
      <c r="U230" s="13">
        <f t="shared" ca="1" si="121"/>
        <v>0</v>
      </c>
      <c r="V230" s="2">
        <f t="shared" si="122"/>
        <v>0</v>
      </c>
      <c r="W230" s="126">
        <f t="shared" ca="1" si="123"/>
        <v>0</v>
      </c>
      <c r="X230" s="127"/>
      <c r="Y230" s="12">
        <f t="shared" ca="1" si="124"/>
        <v>0</v>
      </c>
      <c r="Z230" s="2">
        <f t="shared" si="125"/>
        <v>0</v>
      </c>
      <c r="AA230" s="126">
        <f t="shared" ca="1" si="126"/>
        <v>0</v>
      </c>
      <c r="AB230" s="127"/>
      <c r="AC230" s="12">
        <f t="shared" ca="1" si="127"/>
        <v>0</v>
      </c>
      <c r="AD230" s="140"/>
      <c r="AE230" s="140"/>
      <c r="AF230" s="140"/>
      <c r="AG230" s="140"/>
      <c r="AH230" s="161"/>
      <c r="AI230" s="136"/>
      <c r="AJ230" s="136"/>
    </row>
    <row r="231" spans="1:36" x14ac:dyDescent="0.25">
      <c r="A231" s="137"/>
      <c r="B231" s="2">
        <f t="shared" si="107"/>
        <v>0</v>
      </c>
      <c r="C231" s="126">
        <f t="shared" ca="1" si="108"/>
        <v>0</v>
      </c>
      <c r="D231" s="127"/>
      <c r="E231" s="13">
        <f t="shared" ca="1" si="109"/>
        <v>0</v>
      </c>
      <c r="F231" s="2">
        <f t="shared" si="110"/>
        <v>0</v>
      </c>
      <c r="G231" s="126">
        <f t="shared" ca="1" si="111"/>
        <v>0</v>
      </c>
      <c r="H231" s="127"/>
      <c r="I231" s="12">
        <f t="shared" ca="1" si="112"/>
        <v>0</v>
      </c>
      <c r="J231" s="2">
        <f t="shared" si="113"/>
        <v>0</v>
      </c>
      <c r="K231" s="126">
        <f t="shared" ca="1" si="114"/>
        <v>0</v>
      </c>
      <c r="L231" s="127"/>
      <c r="M231" s="12">
        <f t="shared" ca="1" si="115"/>
        <v>0</v>
      </c>
      <c r="N231" s="2">
        <f t="shared" si="116"/>
        <v>0</v>
      </c>
      <c r="O231" s="126">
        <f t="shared" ca="1" si="117"/>
        <v>0</v>
      </c>
      <c r="P231" s="127"/>
      <c r="Q231" s="12">
        <f t="shared" ca="1" si="118"/>
        <v>0</v>
      </c>
      <c r="R231" s="2">
        <f t="shared" si="119"/>
        <v>0</v>
      </c>
      <c r="S231" s="126">
        <f t="shared" ca="1" si="120"/>
        <v>0</v>
      </c>
      <c r="T231" s="127"/>
      <c r="U231" s="13">
        <f t="shared" ca="1" si="121"/>
        <v>0</v>
      </c>
      <c r="V231" s="2">
        <f t="shared" si="122"/>
        <v>0</v>
      </c>
      <c r="W231" s="126">
        <f t="shared" ca="1" si="123"/>
        <v>0</v>
      </c>
      <c r="X231" s="127"/>
      <c r="Y231" s="12">
        <f t="shared" ca="1" si="124"/>
        <v>0</v>
      </c>
      <c r="Z231" s="2">
        <f t="shared" si="125"/>
        <v>0</v>
      </c>
      <c r="AA231" s="126">
        <f t="shared" ca="1" si="126"/>
        <v>0</v>
      </c>
      <c r="AB231" s="127"/>
      <c r="AC231" s="12">
        <f t="shared" ca="1" si="127"/>
        <v>0</v>
      </c>
      <c r="AD231" s="140"/>
      <c r="AE231" s="140"/>
      <c r="AF231" s="140"/>
      <c r="AG231" s="140"/>
      <c r="AH231" s="161"/>
      <c r="AI231" s="136"/>
      <c r="AJ231" s="136"/>
    </row>
    <row r="232" spans="1:36" x14ac:dyDescent="0.25">
      <c r="A232" s="137"/>
      <c r="B232" s="2">
        <f t="shared" si="107"/>
        <v>0</v>
      </c>
      <c r="C232" s="126">
        <f t="shared" ca="1" si="108"/>
        <v>0</v>
      </c>
      <c r="D232" s="127"/>
      <c r="E232" s="13">
        <f t="shared" ca="1" si="109"/>
        <v>0</v>
      </c>
      <c r="F232" s="2">
        <f t="shared" si="110"/>
        <v>0</v>
      </c>
      <c r="G232" s="126">
        <f t="shared" ca="1" si="111"/>
        <v>0</v>
      </c>
      <c r="H232" s="127"/>
      <c r="I232" s="12">
        <f t="shared" ca="1" si="112"/>
        <v>0</v>
      </c>
      <c r="J232" s="2">
        <f t="shared" si="113"/>
        <v>0</v>
      </c>
      <c r="K232" s="126">
        <f t="shared" ca="1" si="114"/>
        <v>0</v>
      </c>
      <c r="L232" s="127"/>
      <c r="M232" s="12">
        <f t="shared" ca="1" si="115"/>
        <v>0</v>
      </c>
      <c r="N232" s="2">
        <f t="shared" si="116"/>
        <v>0</v>
      </c>
      <c r="O232" s="126">
        <f t="shared" ca="1" si="117"/>
        <v>0</v>
      </c>
      <c r="P232" s="127"/>
      <c r="Q232" s="12">
        <f t="shared" ca="1" si="118"/>
        <v>0</v>
      </c>
      <c r="R232" s="2">
        <f t="shared" si="119"/>
        <v>0</v>
      </c>
      <c r="S232" s="126">
        <f t="shared" ca="1" si="120"/>
        <v>0</v>
      </c>
      <c r="T232" s="127"/>
      <c r="U232" s="13">
        <f t="shared" ca="1" si="121"/>
        <v>0</v>
      </c>
      <c r="V232" s="2">
        <f t="shared" si="122"/>
        <v>0</v>
      </c>
      <c r="W232" s="126">
        <f t="shared" ca="1" si="123"/>
        <v>0</v>
      </c>
      <c r="X232" s="127"/>
      <c r="Y232" s="12">
        <f t="shared" ca="1" si="124"/>
        <v>0</v>
      </c>
      <c r="Z232" s="2">
        <f t="shared" si="125"/>
        <v>0</v>
      </c>
      <c r="AA232" s="126">
        <f t="shared" ca="1" si="126"/>
        <v>0</v>
      </c>
      <c r="AB232" s="127"/>
      <c r="AC232" s="12">
        <f t="shared" ca="1" si="127"/>
        <v>0</v>
      </c>
      <c r="AD232" s="140"/>
      <c r="AE232" s="140"/>
      <c r="AF232" s="140"/>
      <c r="AG232" s="140"/>
      <c r="AH232" s="161"/>
      <c r="AI232" s="136"/>
      <c r="AJ232" s="136"/>
    </row>
    <row r="233" spans="1:36" x14ac:dyDescent="0.25">
      <c r="A233" s="137"/>
      <c r="B233" s="2">
        <f t="shared" si="107"/>
        <v>0</v>
      </c>
      <c r="C233" s="126">
        <f t="shared" ca="1" si="108"/>
        <v>0</v>
      </c>
      <c r="D233" s="127"/>
      <c r="E233" s="13">
        <f t="shared" ca="1" si="109"/>
        <v>0</v>
      </c>
      <c r="F233" s="2">
        <f t="shared" si="110"/>
        <v>0</v>
      </c>
      <c r="G233" s="126">
        <f t="shared" ca="1" si="111"/>
        <v>0</v>
      </c>
      <c r="H233" s="127"/>
      <c r="I233" s="12">
        <f t="shared" ca="1" si="112"/>
        <v>0</v>
      </c>
      <c r="J233" s="2">
        <f t="shared" si="113"/>
        <v>0</v>
      </c>
      <c r="K233" s="126">
        <f t="shared" ca="1" si="114"/>
        <v>0</v>
      </c>
      <c r="L233" s="127"/>
      <c r="M233" s="12">
        <f t="shared" ca="1" si="115"/>
        <v>0</v>
      </c>
      <c r="N233" s="2">
        <f t="shared" si="116"/>
        <v>0</v>
      </c>
      <c r="O233" s="126">
        <f t="shared" ca="1" si="117"/>
        <v>0</v>
      </c>
      <c r="P233" s="127"/>
      <c r="Q233" s="12">
        <f t="shared" ca="1" si="118"/>
        <v>0</v>
      </c>
      <c r="R233" s="2">
        <f t="shared" si="119"/>
        <v>0</v>
      </c>
      <c r="S233" s="126">
        <f t="shared" ca="1" si="120"/>
        <v>0</v>
      </c>
      <c r="T233" s="127"/>
      <c r="U233" s="13">
        <f t="shared" ca="1" si="121"/>
        <v>0</v>
      </c>
      <c r="V233" s="2">
        <f t="shared" si="122"/>
        <v>0</v>
      </c>
      <c r="W233" s="126">
        <f t="shared" ca="1" si="123"/>
        <v>0</v>
      </c>
      <c r="X233" s="127"/>
      <c r="Y233" s="12">
        <f t="shared" ca="1" si="124"/>
        <v>0</v>
      </c>
      <c r="Z233" s="2">
        <f t="shared" si="125"/>
        <v>0</v>
      </c>
      <c r="AA233" s="126">
        <f t="shared" ca="1" si="126"/>
        <v>0</v>
      </c>
      <c r="AB233" s="127"/>
      <c r="AC233" s="12">
        <f t="shared" ca="1" si="127"/>
        <v>0</v>
      </c>
      <c r="AD233" s="140"/>
      <c r="AE233" s="140"/>
      <c r="AF233" s="140"/>
      <c r="AG233" s="140"/>
      <c r="AH233" s="161"/>
      <c r="AI233" s="136"/>
      <c r="AJ233" s="136"/>
    </row>
    <row r="234" spans="1:36" x14ac:dyDescent="0.25">
      <c r="A234" s="137"/>
      <c r="B234" s="2">
        <f t="shared" si="107"/>
        <v>0</v>
      </c>
      <c r="C234" s="126">
        <f t="shared" ca="1" si="108"/>
        <v>0</v>
      </c>
      <c r="D234" s="127"/>
      <c r="E234" s="13">
        <f t="shared" ca="1" si="109"/>
        <v>0</v>
      </c>
      <c r="F234" s="2">
        <f t="shared" si="110"/>
        <v>0</v>
      </c>
      <c r="G234" s="126">
        <f t="shared" ca="1" si="111"/>
        <v>0</v>
      </c>
      <c r="H234" s="127"/>
      <c r="I234" s="12">
        <f t="shared" ca="1" si="112"/>
        <v>0</v>
      </c>
      <c r="J234" s="2">
        <f t="shared" si="113"/>
        <v>0</v>
      </c>
      <c r="K234" s="126">
        <f t="shared" ca="1" si="114"/>
        <v>0</v>
      </c>
      <c r="L234" s="127"/>
      <c r="M234" s="12">
        <f t="shared" ca="1" si="115"/>
        <v>0</v>
      </c>
      <c r="N234" s="2">
        <f t="shared" si="116"/>
        <v>0</v>
      </c>
      <c r="O234" s="126">
        <f t="shared" ca="1" si="117"/>
        <v>0</v>
      </c>
      <c r="P234" s="127"/>
      <c r="Q234" s="12">
        <f t="shared" ca="1" si="118"/>
        <v>0</v>
      </c>
      <c r="R234" s="2">
        <f t="shared" si="119"/>
        <v>0</v>
      </c>
      <c r="S234" s="126">
        <f t="shared" ca="1" si="120"/>
        <v>0</v>
      </c>
      <c r="T234" s="127"/>
      <c r="U234" s="13">
        <f t="shared" ca="1" si="121"/>
        <v>0</v>
      </c>
      <c r="V234" s="2">
        <f t="shared" si="122"/>
        <v>0</v>
      </c>
      <c r="W234" s="126">
        <f t="shared" ca="1" si="123"/>
        <v>0</v>
      </c>
      <c r="X234" s="127"/>
      <c r="Y234" s="12">
        <f t="shared" ca="1" si="124"/>
        <v>0</v>
      </c>
      <c r="Z234" s="2">
        <f t="shared" si="125"/>
        <v>0</v>
      </c>
      <c r="AA234" s="126">
        <f t="shared" ca="1" si="126"/>
        <v>0</v>
      </c>
      <c r="AB234" s="127"/>
      <c r="AC234" s="12">
        <f ca="1">IF(TODAY()=$A$219,AC20,AC234)</f>
        <v>0</v>
      </c>
      <c r="AD234" s="140"/>
      <c r="AE234" s="140"/>
      <c r="AF234" s="140"/>
      <c r="AG234" s="140"/>
      <c r="AH234" s="161"/>
      <c r="AI234" s="136"/>
      <c r="AJ234" s="136"/>
    </row>
    <row r="235" spans="1:36" x14ac:dyDescent="0.25">
      <c r="A235" s="137"/>
      <c r="B235" s="2">
        <f t="shared" si="107"/>
        <v>0</v>
      </c>
      <c r="C235" s="126">
        <f t="shared" ca="1" si="108"/>
        <v>0</v>
      </c>
      <c r="D235" s="127"/>
      <c r="E235" s="13">
        <f t="shared" ca="1" si="109"/>
        <v>0</v>
      </c>
      <c r="F235" s="2">
        <f t="shared" si="110"/>
        <v>0</v>
      </c>
      <c r="G235" s="126">
        <f t="shared" ca="1" si="111"/>
        <v>0</v>
      </c>
      <c r="H235" s="127"/>
      <c r="I235" s="12">
        <f t="shared" ca="1" si="112"/>
        <v>0</v>
      </c>
      <c r="J235" s="2">
        <f t="shared" si="113"/>
        <v>0</v>
      </c>
      <c r="K235" s="126">
        <f t="shared" ca="1" si="114"/>
        <v>0</v>
      </c>
      <c r="L235" s="127"/>
      <c r="M235" s="12">
        <f t="shared" ca="1" si="115"/>
        <v>0</v>
      </c>
      <c r="N235" s="2">
        <f t="shared" si="116"/>
        <v>0</v>
      </c>
      <c r="O235" s="126">
        <f t="shared" ca="1" si="117"/>
        <v>0</v>
      </c>
      <c r="P235" s="127"/>
      <c r="Q235" s="12">
        <f t="shared" ca="1" si="118"/>
        <v>0</v>
      </c>
      <c r="R235" s="2">
        <f t="shared" si="119"/>
        <v>0</v>
      </c>
      <c r="S235" s="126">
        <f t="shared" ca="1" si="120"/>
        <v>0</v>
      </c>
      <c r="T235" s="127"/>
      <c r="U235" s="13">
        <f t="shared" ca="1" si="121"/>
        <v>0</v>
      </c>
      <c r="V235" s="2">
        <f t="shared" si="122"/>
        <v>0</v>
      </c>
      <c r="W235" s="126">
        <f t="shared" ca="1" si="123"/>
        <v>0</v>
      </c>
      <c r="X235" s="127"/>
      <c r="Y235" s="12">
        <f t="shared" ca="1" si="124"/>
        <v>0</v>
      </c>
      <c r="Z235" s="2">
        <f t="shared" si="125"/>
        <v>0</v>
      </c>
      <c r="AA235" s="126">
        <f t="shared" ca="1" si="126"/>
        <v>0</v>
      </c>
      <c r="AB235" s="127"/>
      <c r="AC235" s="12">
        <f t="shared" ca="1" si="127"/>
        <v>0</v>
      </c>
      <c r="AD235" s="140"/>
      <c r="AE235" s="140"/>
      <c r="AF235" s="140"/>
      <c r="AG235" s="140"/>
      <c r="AH235" s="161"/>
      <c r="AI235" s="136"/>
      <c r="AJ235" s="136"/>
    </row>
    <row r="236" spans="1:36" x14ac:dyDescent="0.25">
      <c r="A236" s="137"/>
      <c r="B236" s="2">
        <f t="shared" si="107"/>
        <v>0</v>
      </c>
      <c r="C236" s="126">
        <f t="shared" ca="1" si="108"/>
        <v>0</v>
      </c>
      <c r="D236" s="127"/>
      <c r="E236" s="13">
        <f t="shared" ca="1" si="109"/>
        <v>0</v>
      </c>
      <c r="F236" s="2">
        <f t="shared" si="110"/>
        <v>0</v>
      </c>
      <c r="G236" s="126">
        <f t="shared" ca="1" si="111"/>
        <v>0</v>
      </c>
      <c r="H236" s="127"/>
      <c r="I236" s="12">
        <f t="shared" ca="1" si="112"/>
        <v>0</v>
      </c>
      <c r="J236" s="2">
        <f t="shared" si="113"/>
        <v>0</v>
      </c>
      <c r="K236" s="126">
        <f t="shared" ca="1" si="114"/>
        <v>0</v>
      </c>
      <c r="L236" s="127"/>
      <c r="M236" s="12">
        <f t="shared" ca="1" si="115"/>
        <v>0</v>
      </c>
      <c r="N236" s="2">
        <f t="shared" si="116"/>
        <v>0</v>
      </c>
      <c r="O236" s="126">
        <f t="shared" ca="1" si="117"/>
        <v>0</v>
      </c>
      <c r="P236" s="127"/>
      <c r="Q236" s="12">
        <f t="shared" ca="1" si="118"/>
        <v>0</v>
      </c>
      <c r="R236" s="2">
        <f t="shared" si="119"/>
        <v>0</v>
      </c>
      <c r="S236" s="126">
        <f t="shared" ca="1" si="120"/>
        <v>0</v>
      </c>
      <c r="T236" s="127"/>
      <c r="U236" s="13">
        <f t="shared" ca="1" si="121"/>
        <v>0</v>
      </c>
      <c r="V236" s="2">
        <f t="shared" si="122"/>
        <v>0</v>
      </c>
      <c r="W236" s="126">
        <f t="shared" ca="1" si="123"/>
        <v>0</v>
      </c>
      <c r="X236" s="127"/>
      <c r="Y236" s="12">
        <f t="shared" ca="1" si="124"/>
        <v>0</v>
      </c>
      <c r="Z236" s="2">
        <f t="shared" si="125"/>
        <v>0</v>
      </c>
      <c r="AA236" s="126">
        <f t="shared" ca="1" si="126"/>
        <v>0</v>
      </c>
      <c r="AB236" s="127"/>
      <c r="AC236" s="12">
        <f t="shared" ca="1" si="127"/>
        <v>0</v>
      </c>
      <c r="AD236" s="140"/>
      <c r="AE236" s="140"/>
      <c r="AF236" s="140"/>
      <c r="AG236" s="140"/>
      <c r="AH236" s="161"/>
      <c r="AI236" s="136"/>
      <c r="AJ236" s="136"/>
    </row>
    <row r="237" spans="1:36" x14ac:dyDescent="0.25">
      <c r="A237" s="137"/>
      <c r="B237" s="2">
        <f t="shared" si="107"/>
        <v>0</v>
      </c>
      <c r="C237" s="126">
        <f t="shared" ca="1" si="108"/>
        <v>0</v>
      </c>
      <c r="D237" s="127"/>
      <c r="E237" s="13">
        <f t="shared" ca="1" si="109"/>
        <v>0</v>
      </c>
      <c r="F237" s="2">
        <f t="shared" si="110"/>
        <v>0</v>
      </c>
      <c r="G237" s="126">
        <f t="shared" ca="1" si="111"/>
        <v>0</v>
      </c>
      <c r="H237" s="127"/>
      <c r="I237" s="12">
        <f t="shared" ca="1" si="112"/>
        <v>0</v>
      </c>
      <c r="J237" s="2">
        <f t="shared" si="113"/>
        <v>0</v>
      </c>
      <c r="K237" s="126">
        <f t="shared" ca="1" si="114"/>
        <v>0</v>
      </c>
      <c r="L237" s="127"/>
      <c r="M237" s="12">
        <f t="shared" ca="1" si="115"/>
        <v>0</v>
      </c>
      <c r="N237" s="2">
        <f t="shared" si="116"/>
        <v>0</v>
      </c>
      <c r="O237" s="126">
        <f t="shared" ca="1" si="117"/>
        <v>0</v>
      </c>
      <c r="P237" s="127"/>
      <c r="Q237" s="12">
        <f t="shared" ca="1" si="118"/>
        <v>0</v>
      </c>
      <c r="R237" s="2">
        <f t="shared" si="119"/>
        <v>0</v>
      </c>
      <c r="S237" s="126">
        <f t="shared" ca="1" si="120"/>
        <v>0</v>
      </c>
      <c r="T237" s="127"/>
      <c r="U237" s="13">
        <f t="shared" ca="1" si="121"/>
        <v>0</v>
      </c>
      <c r="V237" s="2">
        <f t="shared" si="122"/>
        <v>0</v>
      </c>
      <c r="W237" s="126">
        <f t="shared" ca="1" si="123"/>
        <v>0</v>
      </c>
      <c r="X237" s="127"/>
      <c r="Y237" s="12">
        <f t="shared" ca="1" si="124"/>
        <v>0</v>
      </c>
      <c r="Z237" s="2">
        <f t="shared" si="125"/>
        <v>0</v>
      </c>
      <c r="AA237" s="126">
        <f t="shared" ca="1" si="126"/>
        <v>0</v>
      </c>
      <c r="AB237" s="127"/>
      <c r="AC237" s="12">
        <f t="shared" ca="1" si="127"/>
        <v>0</v>
      </c>
      <c r="AD237" s="140"/>
      <c r="AE237" s="140"/>
      <c r="AF237" s="140"/>
      <c r="AG237" s="140"/>
      <c r="AH237" s="161"/>
      <c r="AI237" s="136"/>
      <c r="AJ237" s="136"/>
    </row>
    <row r="238" spans="1:36" x14ac:dyDescent="0.25">
      <c r="A238" s="137"/>
      <c r="B238" s="2">
        <f t="shared" si="107"/>
        <v>0</v>
      </c>
      <c r="C238" s="126">
        <f t="shared" ca="1" si="108"/>
        <v>0</v>
      </c>
      <c r="D238" s="127"/>
      <c r="E238" s="13">
        <f t="shared" ca="1" si="109"/>
        <v>0</v>
      </c>
      <c r="F238" s="2">
        <f t="shared" si="110"/>
        <v>0</v>
      </c>
      <c r="G238" s="126">
        <f t="shared" ca="1" si="111"/>
        <v>0</v>
      </c>
      <c r="H238" s="127"/>
      <c r="I238" s="12">
        <f t="shared" ca="1" si="112"/>
        <v>0</v>
      </c>
      <c r="J238" s="2">
        <f t="shared" si="113"/>
        <v>0</v>
      </c>
      <c r="K238" s="126">
        <f t="shared" ca="1" si="114"/>
        <v>0</v>
      </c>
      <c r="L238" s="127"/>
      <c r="M238" s="12">
        <f t="shared" ca="1" si="115"/>
        <v>0</v>
      </c>
      <c r="N238" s="2">
        <f t="shared" si="116"/>
        <v>0</v>
      </c>
      <c r="O238" s="126">
        <f t="shared" ca="1" si="117"/>
        <v>0</v>
      </c>
      <c r="P238" s="127"/>
      <c r="Q238" s="12">
        <f t="shared" ca="1" si="118"/>
        <v>0</v>
      </c>
      <c r="R238" s="2">
        <f t="shared" si="119"/>
        <v>0</v>
      </c>
      <c r="S238" s="126">
        <f t="shared" ca="1" si="120"/>
        <v>0</v>
      </c>
      <c r="T238" s="127"/>
      <c r="U238" s="13">
        <f t="shared" ca="1" si="121"/>
        <v>0</v>
      </c>
      <c r="V238" s="2">
        <f t="shared" si="122"/>
        <v>0</v>
      </c>
      <c r="W238" s="126">
        <f t="shared" ca="1" si="123"/>
        <v>0</v>
      </c>
      <c r="X238" s="127"/>
      <c r="Y238" s="12">
        <f t="shared" ca="1" si="124"/>
        <v>0</v>
      </c>
      <c r="Z238" s="2">
        <f t="shared" si="125"/>
        <v>0</v>
      </c>
      <c r="AA238" s="126">
        <f t="shared" ca="1" si="126"/>
        <v>0</v>
      </c>
      <c r="AB238" s="127"/>
      <c r="AC238" s="12">
        <f t="shared" ca="1" si="127"/>
        <v>0</v>
      </c>
      <c r="AD238" s="140"/>
      <c r="AE238" s="140"/>
      <c r="AF238" s="140"/>
      <c r="AG238" s="140"/>
      <c r="AH238" s="161"/>
      <c r="AI238" s="136"/>
      <c r="AJ238" s="136"/>
    </row>
    <row r="239" spans="1:36" x14ac:dyDescent="0.25">
      <c r="A239" s="137"/>
      <c r="B239" s="2">
        <f t="shared" si="107"/>
        <v>0</v>
      </c>
      <c r="C239" s="126">
        <f t="shared" ca="1" si="108"/>
        <v>0</v>
      </c>
      <c r="D239" s="127"/>
      <c r="E239" s="13">
        <f t="shared" ca="1" si="109"/>
        <v>0</v>
      </c>
      <c r="F239" s="2">
        <f t="shared" si="110"/>
        <v>0</v>
      </c>
      <c r="G239" s="126">
        <f t="shared" ca="1" si="111"/>
        <v>0</v>
      </c>
      <c r="H239" s="127"/>
      <c r="I239" s="12">
        <f t="shared" ca="1" si="112"/>
        <v>0</v>
      </c>
      <c r="J239" s="2">
        <f t="shared" si="113"/>
        <v>0</v>
      </c>
      <c r="K239" s="126">
        <f t="shared" ca="1" si="114"/>
        <v>0</v>
      </c>
      <c r="L239" s="127"/>
      <c r="M239" s="12">
        <f t="shared" ca="1" si="115"/>
        <v>0</v>
      </c>
      <c r="N239" s="2">
        <f t="shared" si="116"/>
        <v>0</v>
      </c>
      <c r="O239" s="126">
        <f t="shared" ca="1" si="117"/>
        <v>0</v>
      </c>
      <c r="P239" s="127"/>
      <c r="Q239" s="12">
        <f t="shared" ca="1" si="118"/>
        <v>0</v>
      </c>
      <c r="R239" s="2">
        <f t="shared" si="119"/>
        <v>0</v>
      </c>
      <c r="S239" s="126">
        <f t="shared" ca="1" si="120"/>
        <v>0</v>
      </c>
      <c r="T239" s="127"/>
      <c r="U239" s="13">
        <f t="shared" ca="1" si="121"/>
        <v>0</v>
      </c>
      <c r="V239" s="2">
        <f t="shared" si="122"/>
        <v>0</v>
      </c>
      <c r="W239" s="126">
        <f t="shared" ca="1" si="123"/>
        <v>0</v>
      </c>
      <c r="X239" s="127"/>
      <c r="Y239" s="12">
        <f t="shared" ca="1" si="124"/>
        <v>0</v>
      </c>
      <c r="Z239" s="2">
        <f t="shared" si="125"/>
        <v>0</v>
      </c>
      <c r="AA239" s="126">
        <f t="shared" ca="1" si="126"/>
        <v>0</v>
      </c>
      <c r="AB239" s="127"/>
      <c r="AC239" s="12">
        <f t="shared" ca="1" si="127"/>
        <v>0</v>
      </c>
      <c r="AD239" s="140"/>
      <c r="AE239" s="140"/>
      <c r="AF239" s="140"/>
      <c r="AG239" s="140"/>
      <c r="AH239" s="161"/>
      <c r="AI239" s="136"/>
      <c r="AJ239" s="136"/>
    </row>
    <row r="240" spans="1:36" x14ac:dyDescent="0.25">
      <c r="A240" s="137"/>
      <c r="B240" s="2">
        <f t="shared" si="107"/>
        <v>0</v>
      </c>
      <c r="C240" s="126">
        <f t="shared" ca="1" si="108"/>
        <v>0</v>
      </c>
      <c r="D240" s="127"/>
      <c r="E240" s="13">
        <f t="shared" ca="1" si="109"/>
        <v>0</v>
      </c>
      <c r="F240" s="2">
        <f t="shared" si="110"/>
        <v>0</v>
      </c>
      <c r="G240" s="126">
        <f t="shared" ca="1" si="111"/>
        <v>0</v>
      </c>
      <c r="H240" s="127"/>
      <c r="I240" s="12">
        <f t="shared" ca="1" si="112"/>
        <v>0</v>
      </c>
      <c r="J240" s="2">
        <f t="shared" si="113"/>
        <v>0</v>
      </c>
      <c r="K240" s="126">
        <f t="shared" ca="1" si="114"/>
        <v>0</v>
      </c>
      <c r="L240" s="127"/>
      <c r="M240" s="12">
        <f t="shared" ca="1" si="115"/>
        <v>0</v>
      </c>
      <c r="N240" s="2">
        <f t="shared" si="116"/>
        <v>0</v>
      </c>
      <c r="O240" s="126">
        <f t="shared" ca="1" si="117"/>
        <v>0</v>
      </c>
      <c r="P240" s="127"/>
      <c r="Q240" s="12">
        <f t="shared" ca="1" si="118"/>
        <v>0</v>
      </c>
      <c r="R240" s="2">
        <f t="shared" si="119"/>
        <v>0</v>
      </c>
      <c r="S240" s="126">
        <f t="shared" ca="1" si="120"/>
        <v>0</v>
      </c>
      <c r="T240" s="127"/>
      <c r="U240" s="13">
        <f t="shared" ca="1" si="121"/>
        <v>0</v>
      </c>
      <c r="V240" s="2">
        <f t="shared" si="122"/>
        <v>0</v>
      </c>
      <c r="W240" s="126">
        <f t="shared" ca="1" si="123"/>
        <v>0</v>
      </c>
      <c r="X240" s="127"/>
      <c r="Y240" s="12">
        <f t="shared" ca="1" si="124"/>
        <v>0</v>
      </c>
      <c r="Z240" s="2">
        <f t="shared" si="125"/>
        <v>0</v>
      </c>
      <c r="AA240" s="126">
        <f t="shared" ca="1" si="126"/>
        <v>0</v>
      </c>
      <c r="AB240" s="127"/>
      <c r="AC240" s="12">
        <f t="shared" ca="1" si="127"/>
        <v>0</v>
      </c>
      <c r="AD240" s="140"/>
      <c r="AE240" s="140"/>
      <c r="AF240" s="140"/>
      <c r="AG240" s="140"/>
      <c r="AH240" s="161"/>
      <c r="AI240" s="136"/>
      <c r="AJ240" s="136"/>
    </row>
    <row r="241" spans="1:36" x14ac:dyDescent="0.25">
      <c r="A241" s="137"/>
      <c r="B241" s="2">
        <f t="shared" si="107"/>
        <v>0</v>
      </c>
      <c r="C241" s="126">
        <f t="shared" ca="1" si="108"/>
        <v>0</v>
      </c>
      <c r="D241" s="127"/>
      <c r="E241" s="13">
        <f t="shared" ca="1" si="109"/>
        <v>0</v>
      </c>
      <c r="F241" s="2">
        <f t="shared" si="110"/>
        <v>0</v>
      </c>
      <c r="G241" s="126">
        <f t="shared" ca="1" si="111"/>
        <v>0</v>
      </c>
      <c r="H241" s="127"/>
      <c r="I241" s="12">
        <f t="shared" ca="1" si="112"/>
        <v>0</v>
      </c>
      <c r="J241" s="2">
        <f t="shared" si="113"/>
        <v>0</v>
      </c>
      <c r="K241" s="126">
        <f t="shared" ca="1" si="114"/>
        <v>0</v>
      </c>
      <c r="L241" s="127"/>
      <c r="M241" s="12">
        <f t="shared" ca="1" si="115"/>
        <v>0</v>
      </c>
      <c r="N241" s="2">
        <f t="shared" si="116"/>
        <v>0</v>
      </c>
      <c r="O241" s="126">
        <f t="shared" ca="1" si="117"/>
        <v>0</v>
      </c>
      <c r="P241" s="127"/>
      <c r="Q241" s="12">
        <f t="shared" ca="1" si="118"/>
        <v>0</v>
      </c>
      <c r="R241" s="2">
        <f t="shared" si="119"/>
        <v>0</v>
      </c>
      <c r="S241" s="126">
        <f t="shared" ca="1" si="120"/>
        <v>0</v>
      </c>
      <c r="T241" s="127"/>
      <c r="U241" s="13">
        <f t="shared" ca="1" si="121"/>
        <v>0</v>
      </c>
      <c r="V241" s="2">
        <f t="shared" si="122"/>
        <v>0</v>
      </c>
      <c r="W241" s="126">
        <f t="shared" ca="1" si="123"/>
        <v>0</v>
      </c>
      <c r="X241" s="127"/>
      <c r="Y241" s="12">
        <f t="shared" ca="1" si="124"/>
        <v>0</v>
      </c>
      <c r="Z241" s="2">
        <f t="shared" si="125"/>
        <v>0</v>
      </c>
      <c r="AA241" s="126">
        <f t="shared" ca="1" si="126"/>
        <v>0</v>
      </c>
      <c r="AB241" s="127"/>
      <c r="AC241" s="12">
        <f t="shared" ca="1" si="127"/>
        <v>0</v>
      </c>
      <c r="AD241" s="140"/>
      <c r="AE241" s="140"/>
      <c r="AF241" s="140"/>
      <c r="AG241" s="140"/>
      <c r="AH241" s="161"/>
      <c r="AI241" s="136"/>
      <c r="AJ241" s="136"/>
    </row>
    <row r="242" spans="1:36" x14ac:dyDescent="0.25">
      <c r="A242" s="137"/>
      <c r="B242" s="2">
        <f t="shared" si="107"/>
        <v>0</v>
      </c>
      <c r="C242" s="126">
        <f t="shared" ca="1" si="108"/>
        <v>0</v>
      </c>
      <c r="D242" s="127"/>
      <c r="E242" s="13">
        <f t="shared" ca="1" si="109"/>
        <v>0</v>
      </c>
      <c r="F242" s="2">
        <f t="shared" si="110"/>
        <v>0</v>
      </c>
      <c r="G242" s="126">
        <f t="shared" ca="1" si="111"/>
        <v>0</v>
      </c>
      <c r="H242" s="127"/>
      <c r="I242" s="12">
        <f t="shared" ca="1" si="112"/>
        <v>0</v>
      </c>
      <c r="J242" s="2">
        <f t="shared" si="113"/>
        <v>0</v>
      </c>
      <c r="K242" s="126">
        <f t="shared" ca="1" si="114"/>
        <v>0</v>
      </c>
      <c r="L242" s="127"/>
      <c r="M242" s="12">
        <f t="shared" ca="1" si="115"/>
        <v>0</v>
      </c>
      <c r="N242" s="2">
        <f t="shared" si="116"/>
        <v>0</v>
      </c>
      <c r="O242" s="126">
        <f t="shared" ca="1" si="117"/>
        <v>0</v>
      </c>
      <c r="P242" s="127"/>
      <c r="Q242" s="12">
        <f t="shared" ca="1" si="118"/>
        <v>0</v>
      </c>
      <c r="R242" s="2">
        <f t="shared" si="119"/>
        <v>0</v>
      </c>
      <c r="S242" s="126">
        <f t="shared" ca="1" si="120"/>
        <v>0</v>
      </c>
      <c r="T242" s="127"/>
      <c r="U242" s="13">
        <f t="shared" ca="1" si="121"/>
        <v>0</v>
      </c>
      <c r="V242" s="2">
        <f t="shared" si="122"/>
        <v>0</v>
      </c>
      <c r="W242" s="126">
        <f t="shared" ca="1" si="123"/>
        <v>0</v>
      </c>
      <c r="X242" s="127"/>
      <c r="Y242" s="12">
        <f t="shared" ca="1" si="124"/>
        <v>0</v>
      </c>
      <c r="Z242" s="2">
        <f t="shared" si="125"/>
        <v>0</v>
      </c>
      <c r="AA242" s="126">
        <f t="shared" ca="1" si="126"/>
        <v>0</v>
      </c>
      <c r="AB242" s="127"/>
      <c r="AC242" s="12">
        <f t="shared" ca="1" si="127"/>
        <v>0</v>
      </c>
      <c r="AD242" s="140"/>
      <c r="AE242" s="140"/>
      <c r="AF242" s="140"/>
      <c r="AG242" s="140"/>
      <c r="AH242" s="161"/>
      <c r="AI242" s="136"/>
      <c r="AJ242" s="136"/>
    </row>
    <row r="243" spans="1:36" x14ac:dyDescent="0.25">
      <c r="A243" s="137"/>
      <c r="B243" s="2">
        <f t="shared" si="107"/>
        <v>0</v>
      </c>
      <c r="C243" s="126">
        <f t="shared" ca="1" si="108"/>
        <v>0</v>
      </c>
      <c r="D243" s="127"/>
      <c r="E243" s="13">
        <f t="shared" ca="1" si="109"/>
        <v>0</v>
      </c>
      <c r="F243" s="2">
        <f t="shared" si="110"/>
        <v>0</v>
      </c>
      <c r="G243" s="126">
        <f t="shared" ca="1" si="111"/>
        <v>0</v>
      </c>
      <c r="H243" s="127"/>
      <c r="I243" s="12">
        <f t="shared" ca="1" si="112"/>
        <v>0</v>
      </c>
      <c r="J243" s="2">
        <f t="shared" si="113"/>
        <v>0</v>
      </c>
      <c r="K243" s="126">
        <f t="shared" ca="1" si="114"/>
        <v>0</v>
      </c>
      <c r="L243" s="127"/>
      <c r="M243" s="12">
        <f t="shared" ca="1" si="115"/>
        <v>0</v>
      </c>
      <c r="N243" s="2">
        <f t="shared" si="116"/>
        <v>0</v>
      </c>
      <c r="O243" s="126">
        <f t="shared" ca="1" si="117"/>
        <v>0</v>
      </c>
      <c r="P243" s="127"/>
      <c r="Q243" s="12">
        <f t="shared" ca="1" si="118"/>
        <v>0</v>
      </c>
      <c r="R243" s="2">
        <f t="shared" si="119"/>
        <v>0</v>
      </c>
      <c r="S243" s="126">
        <f t="shared" ca="1" si="120"/>
        <v>0</v>
      </c>
      <c r="T243" s="127"/>
      <c r="U243" s="13">
        <f t="shared" ca="1" si="121"/>
        <v>0</v>
      </c>
      <c r="V243" s="2">
        <f t="shared" si="122"/>
        <v>0</v>
      </c>
      <c r="W243" s="126">
        <f t="shared" ca="1" si="123"/>
        <v>0</v>
      </c>
      <c r="X243" s="127"/>
      <c r="Y243" s="12">
        <f t="shared" ca="1" si="124"/>
        <v>0</v>
      </c>
      <c r="Z243" s="2">
        <f t="shared" si="125"/>
        <v>0</v>
      </c>
      <c r="AA243" s="126">
        <f t="shared" ca="1" si="126"/>
        <v>0</v>
      </c>
      <c r="AB243" s="127"/>
      <c r="AC243" s="12">
        <f t="shared" ca="1" si="127"/>
        <v>0</v>
      </c>
      <c r="AD243" s="140"/>
      <c r="AE243" s="140"/>
      <c r="AF243" s="140"/>
      <c r="AG243" s="140"/>
      <c r="AH243" s="161"/>
      <c r="AI243" s="136"/>
      <c r="AJ243" s="136"/>
    </row>
    <row r="244" spans="1:36" x14ac:dyDescent="0.25">
      <c r="A244" s="137"/>
      <c r="B244" s="2">
        <f t="shared" si="107"/>
        <v>0</v>
      </c>
      <c r="C244" s="126">
        <f t="shared" ca="1" si="108"/>
        <v>0</v>
      </c>
      <c r="D244" s="127"/>
      <c r="E244" s="13">
        <f t="shared" ca="1" si="109"/>
        <v>0</v>
      </c>
      <c r="F244" s="2">
        <f t="shared" si="110"/>
        <v>0</v>
      </c>
      <c r="G244" s="126">
        <f t="shared" ca="1" si="111"/>
        <v>0</v>
      </c>
      <c r="H244" s="127"/>
      <c r="I244" s="12">
        <f t="shared" ca="1" si="112"/>
        <v>0</v>
      </c>
      <c r="J244" s="2">
        <f t="shared" si="113"/>
        <v>0</v>
      </c>
      <c r="K244" s="126">
        <f t="shared" ca="1" si="114"/>
        <v>0</v>
      </c>
      <c r="L244" s="127"/>
      <c r="M244" s="12">
        <f t="shared" ca="1" si="115"/>
        <v>0</v>
      </c>
      <c r="N244" s="2">
        <f t="shared" si="116"/>
        <v>0</v>
      </c>
      <c r="O244" s="126">
        <f t="shared" ca="1" si="117"/>
        <v>0</v>
      </c>
      <c r="P244" s="127"/>
      <c r="Q244" s="12">
        <f t="shared" ca="1" si="118"/>
        <v>0</v>
      </c>
      <c r="R244" s="2">
        <f t="shared" si="119"/>
        <v>0</v>
      </c>
      <c r="S244" s="126">
        <f t="shared" ca="1" si="120"/>
        <v>0</v>
      </c>
      <c r="T244" s="127"/>
      <c r="U244" s="13">
        <f t="shared" ca="1" si="121"/>
        <v>0</v>
      </c>
      <c r="V244" s="2">
        <f t="shared" si="122"/>
        <v>0</v>
      </c>
      <c r="W244" s="126">
        <f t="shared" ca="1" si="123"/>
        <v>0</v>
      </c>
      <c r="X244" s="127"/>
      <c r="Y244" s="12">
        <f t="shared" ca="1" si="124"/>
        <v>0</v>
      </c>
      <c r="Z244" s="2">
        <f t="shared" si="125"/>
        <v>0</v>
      </c>
      <c r="AA244" s="126">
        <f t="shared" ca="1" si="126"/>
        <v>0</v>
      </c>
      <c r="AB244" s="127"/>
      <c r="AC244" s="12">
        <f t="shared" ca="1" si="127"/>
        <v>0</v>
      </c>
      <c r="AD244" s="140"/>
      <c r="AE244" s="140"/>
      <c r="AF244" s="140"/>
      <c r="AG244" s="140"/>
      <c r="AH244" s="161"/>
      <c r="AI244" s="136"/>
      <c r="AJ244" s="136"/>
    </row>
    <row r="245" spans="1:36" x14ac:dyDescent="0.25">
      <c r="A245" s="137"/>
      <c r="B245" s="2">
        <f t="shared" si="107"/>
        <v>0</v>
      </c>
      <c r="C245" s="126">
        <f t="shared" ca="1" si="108"/>
        <v>0</v>
      </c>
      <c r="D245" s="127"/>
      <c r="E245" s="13">
        <f t="shared" ca="1" si="109"/>
        <v>0</v>
      </c>
      <c r="F245" s="2">
        <f t="shared" si="110"/>
        <v>0</v>
      </c>
      <c r="G245" s="126">
        <f t="shared" ca="1" si="111"/>
        <v>0</v>
      </c>
      <c r="H245" s="127"/>
      <c r="I245" s="12">
        <f t="shared" ca="1" si="112"/>
        <v>0</v>
      </c>
      <c r="J245" s="2">
        <f t="shared" si="113"/>
        <v>0</v>
      </c>
      <c r="K245" s="126">
        <f t="shared" ca="1" si="114"/>
        <v>0</v>
      </c>
      <c r="L245" s="127"/>
      <c r="M245" s="12">
        <f t="shared" ca="1" si="115"/>
        <v>0</v>
      </c>
      <c r="N245" s="2">
        <f t="shared" si="116"/>
        <v>0</v>
      </c>
      <c r="O245" s="126">
        <f t="shared" ca="1" si="117"/>
        <v>0</v>
      </c>
      <c r="P245" s="127"/>
      <c r="Q245" s="12">
        <f t="shared" ca="1" si="118"/>
        <v>0</v>
      </c>
      <c r="R245" s="2">
        <f t="shared" si="119"/>
        <v>0</v>
      </c>
      <c r="S245" s="126">
        <f t="shared" ca="1" si="120"/>
        <v>0</v>
      </c>
      <c r="T245" s="127"/>
      <c r="U245" s="13">
        <f t="shared" ca="1" si="121"/>
        <v>0</v>
      </c>
      <c r="V245" s="2">
        <f t="shared" si="122"/>
        <v>0</v>
      </c>
      <c r="W245" s="126">
        <f t="shared" ca="1" si="123"/>
        <v>0</v>
      </c>
      <c r="X245" s="127"/>
      <c r="Y245" s="12">
        <f t="shared" ca="1" si="124"/>
        <v>0</v>
      </c>
      <c r="Z245" s="2">
        <f t="shared" si="125"/>
        <v>0</v>
      </c>
      <c r="AA245" s="126">
        <f t="shared" ca="1" si="126"/>
        <v>0</v>
      </c>
      <c r="AB245" s="127"/>
      <c r="AC245" s="12">
        <f t="shared" ca="1" si="127"/>
        <v>0</v>
      </c>
      <c r="AD245" s="140"/>
      <c r="AE245" s="140"/>
      <c r="AF245" s="140"/>
      <c r="AG245" s="140"/>
      <c r="AH245" s="161"/>
      <c r="AI245" s="136"/>
      <c r="AJ245" s="136"/>
    </row>
    <row r="246" spans="1:36" x14ac:dyDescent="0.25">
      <c r="A246" s="137"/>
      <c r="B246" s="2">
        <f t="shared" si="107"/>
        <v>0</v>
      </c>
      <c r="C246" s="126">
        <f t="shared" ca="1" si="108"/>
        <v>0</v>
      </c>
      <c r="D246" s="127"/>
      <c r="E246" s="13">
        <f t="shared" ca="1" si="109"/>
        <v>0</v>
      </c>
      <c r="F246" s="2">
        <f t="shared" si="110"/>
        <v>0</v>
      </c>
      <c r="G246" s="126">
        <f t="shared" ca="1" si="111"/>
        <v>0</v>
      </c>
      <c r="H246" s="127"/>
      <c r="I246" s="12">
        <f t="shared" ca="1" si="112"/>
        <v>0</v>
      </c>
      <c r="J246" s="2">
        <f t="shared" si="113"/>
        <v>0</v>
      </c>
      <c r="K246" s="126">
        <f t="shared" ca="1" si="114"/>
        <v>0</v>
      </c>
      <c r="L246" s="127"/>
      <c r="M246" s="12">
        <f t="shared" ca="1" si="115"/>
        <v>0</v>
      </c>
      <c r="N246" s="2">
        <f t="shared" si="116"/>
        <v>0</v>
      </c>
      <c r="O246" s="126">
        <f t="shared" ca="1" si="117"/>
        <v>0</v>
      </c>
      <c r="P246" s="127"/>
      <c r="Q246" s="12">
        <f t="shared" ca="1" si="118"/>
        <v>0</v>
      </c>
      <c r="R246" s="2">
        <f t="shared" si="119"/>
        <v>0</v>
      </c>
      <c r="S246" s="126">
        <f t="shared" ca="1" si="120"/>
        <v>0</v>
      </c>
      <c r="T246" s="127"/>
      <c r="U246" s="13">
        <f t="shared" ca="1" si="121"/>
        <v>0</v>
      </c>
      <c r="V246" s="2">
        <f t="shared" si="122"/>
        <v>0</v>
      </c>
      <c r="W246" s="126">
        <f t="shared" ca="1" si="123"/>
        <v>0</v>
      </c>
      <c r="X246" s="127"/>
      <c r="Y246" s="12">
        <f t="shared" ca="1" si="124"/>
        <v>0</v>
      </c>
      <c r="Z246" s="2">
        <f t="shared" si="125"/>
        <v>0</v>
      </c>
      <c r="AA246" s="126">
        <f t="shared" ca="1" si="126"/>
        <v>0</v>
      </c>
      <c r="AB246" s="127"/>
      <c r="AC246" s="12">
        <f t="shared" ca="1" si="127"/>
        <v>0</v>
      </c>
      <c r="AD246" s="140"/>
      <c r="AE246" s="140"/>
      <c r="AF246" s="140"/>
      <c r="AG246" s="140"/>
      <c r="AH246" s="161"/>
      <c r="AI246" s="136"/>
      <c r="AJ246" s="136"/>
    </row>
    <row r="247" spans="1:36" x14ac:dyDescent="0.25">
      <c r="A247" s="137"/>
      <c r="B247" s="2">
        <f t="shared" si="107"/>
        <v>0</v>
      </c>
      <c r="C247" s="126">
        <f t="shared" ca="1" si="108"/>
        <v>0</v>
      </c>
      <c r="D247" s="127"/>
      <c r="E247" s="13">
        <f t="shared" ca="1" si="109"/>
        <v>0</v>
      </c>
      <c r="F247" s="2">
        <f t="shared" si="110"/>
        <v>0</v>
      </c>
      <c r="G247" s="126">
        <f t="shared" ca="1" si="111"/>
        <v>0</v>
      </c>
      <c r="H247" s="127"/>
      <c r="I247" s="12">
        <f t="shared" ca="1" si="112"/>
        <v>0</v>
      </c>
      <c r="J247" s="2">
        <f t="shared" si="113"/>
        <v>0</v>
      </c>
      <c r="K247" s="126">
        <f t="shared" ca="1" si="114"/>
        <v>0</v>
      </c>
      <c r="L247" s="127"/>
      <c r="M247" s="12">
        <f t="shared" ca="1" si="115"/>
        <v>0</v>
      </c>
      <c r="N247" s="2">
        <f t="shared" si="116"/>
        <v>0</v>
      </c>
      <c r="O247" s="126">
        <f t="shared" ca="1" si="117"/>
        <v>0</v>
      </c>
      <c r="P247" s="127"/>
      <c r="Q247" s="12">
        <f t="shared" ca="1" si="118"/>
        <v>0</v>
      </c>
      <c r="R247" s="2">
        <f t="shared" si="119"/>
        <v>0</v>
      </c>
      <c r="S247" s="126">
        <f t="shared" ca="1" si="120"/>
        <v>0</v>
      </c>
      <c r="T247" s="127"/>
      <c r="U247" s="13">
        <f t="shared" ca="1" si="121"/>
        <v>0</v>
      </c>
      <c r="V247" s="2">
        <f t="shared" si="122"/>
        <v>0</v>
      </c>
      <c r="W247" s="126">
        <f t="shared" ca="1" si="123"/>
        <v>0</v>
      </c>
      <c r="X247" s="127"/>
      <c r="Y247" s="12">
        <f t="shared" ca="1" si="124"/>
        <v>0</v>
      </c>
      <c r="Z247" s="2">
        <f t="shared" si="125"/>
        <v>0</v>
      </c>
      <c r="AA247" s="126">
        <f t="shared" ca="1" si="126"/>
        <v>0</v>
      </c>
      <c r="AB247" s="127"/>
      <c r="AC247" s="12">
        <f t="shared" ca="1" si="127"/>
        <v>0</v>
      </c>
      <c r="AD247" s="140"/>
      <c r="AE247" s="140"/>
      <c r="AF247" s="140"/>
      <c r="AG247" s="140"/>
      <c r="AH247" s="161"/>
      <c r="AI247" s="136"/>
      <c r="AJ247" s="136"/>
    </row>
    <row r="248" spans="1:36" x14ac:dyDescent="0.25">
      <c r="A248" s="137"/>
      <c r="B248" s="2">
        <f t="shared" si="107"/>
        <v>0</v>
      </c>
      <c r="C248" s="126">
        <f t="shared" ca="1" si="108"/>
        <v>0</v>
      </c>
      <c r="D248" s="127"/>
      <c r="E248" s="13">
        <f t="shared" ca="1" si="109"/>
        <v>0</v>
      </c>
      <c r="F248" s="2">
        <f t="shared" si="110"/>
        <v>0</v>
      </c>
      <c r="G248" s="126">
        <f t="shared" ca="1" si="111"/>
        <v>0</v>
      </c>
      <c r="H248" s="127"/>
      <c r="I248" s="12">
        <f t="shared" ca="1" si="112"/>
        <v>0</v>
      </c>
      <c r="J248" s="2">
        <f t="shared" si="113"/>
        <v>0</v>
      </c>
      <c r="K248" s="126">
        <f t="shared" ca="1" si="114"/>
        <v>0</v>
      </c>
      <c r="L248" s="127"/>
      <c r="M248" s="12">
        <f t="shared" ca="1" si="115"/>
        <v>0</v>
      </c>
      <c r="N248" s="2">
        <f t="shared" si="116"/>
        <v>0</v>
      </c>
      <c r="O248" s="126">
        <f t="shared" ca="1" si="117"/>
        <v>0</v>
      </c>
      <c r="P248" s="127"/>
      <c r="Q248" s="12">
        <f t="shared" ca="1" si="118"/>
        <v>0</v>
      </c>
      <c r="R248" s="2">
        <f t="shared" si="119"/>
        <v>0</v>
      </c>
      <c r="S248" s="126">
        <f t="shared" ca="1" si="120"/>
        <v>0</v>
      </c>
      <c r="T248" s="127"/>
      <c r="U248" s="13">
        <f t="shared" ca="1" si="121"/>
        <v>0</v>
      </c>
      <c r="V248" s="2">
        <f t="shared" si="122"/>
        <v>0</v>
      </c>
      <c r="W248" s="126">
        <f t="shared" ca="1" si="123"/>
        <v>0</v>
      </c>
      <c r="X248" s="127"/>
      <c r="Y248" s="12">
        <f t="shared" ca="1" si="124"/>
        <v>0</v>
      </c>
      <c r="Z248" s="2">
        <f t="shared" si="125"/>
        <v>0</v>
      </c>
      <c r="AA248" s="126">
        <f t="shared" ca="1" si="126"/>
        <v>0</v>
      </c>
      <c r="AB248" s="127"/>
      <c r="AC248" s="12">
        <f t="shared" ca="1" si="127"/>
        <v>0</v>
      </c>
      <c r="AD248" s="140"/>
      <c r="AE248" s="140"/>
      <c r="AF248" s="140"/>
      <c r="AG248" s="140"/>
      <c r="AH248" s="161"/>
      <c r="AI248" s="136"/>
      <c r="AJ248" s="136"/>
    </row>
    <row r="249" spans="1:36" x14ac:dyDescent="0.25">
      <c r="A249" s="137"/>
      <c r="B249" s="2">
        <f t="shared" si="107"/>
        <v>0</v>
      </c>
      <c r="C249" s="126">
        <f t="shared" ca="1" si="108"/>
        <v>0</v>
      </c>
      <c r="D249" s="127"/>
      <c r="E249" s="13">
        <f t="shared" ca="1" si="109"/>
        <v>0</v>
      </c>
      <c r="F249" s="2">
        <f t="shared" si="110"/>
        <v>0</v>
      </c>
      <c r="G249" s="126">
        <f t="shared" ca="1" si="111"/>
        <v>0</v>
      </c>
      <c r="H249" s="127"/>
      <c r="I249" s="12">
        <f t="shared" ca="1" si="112"/>
        <v>0</v>
      </c>
      <c r="J249" s="2">
        <f t="shared" si="113"/>
        <v>0</v>
      </c>
      <c r="K249" s="126">
        <f t="shared" ca="1" si="114"/>
        <v>0</v>
      </c>
      <c r="L249" s="127"/>
      <c r="M249" s="12">
        <f t="shared" ca="1" si="115"/>
        <v>0</v>
      </c>
      <c r="N249" s="2">
        <f t="shared" si="116"/>
        <v>0</v>
      </c>
      <c r="O249" s="126">
        <f t="shared" ca="1" si="117"/>
        <v>0</v>
      </c>
      <c r="P249" s="127"/>
      <c r="Q249" s="12">
        <f t="shared" ca="1" si="118"/>
        <v>0</v>
      </c>
      <c r="R249" s="2">
        <f t="shared" si="119"/>
        <v>0</v>
      </c>
      <c r="S249" s="126">
        <f t="shared" ca="1" si="120"/>
        <v>0</v>
      </c>
      <c r="T249" s="127"/>
      <c r="U249" s="13">
        <f t="shared" ca="1" si="121"/>
        <v>0</v>
      </c>
      <c r="V249" s="2">
        <f t="shared" si="122"/>
        <v>0</v>
      </c>
      <c r="W249" s="126">
        <f t="shared" ca="1" si="123"/>
        <v>0</v>
      </c>
      <c r="X249" s="127"/>
      <c r="Y249" s="12">
        <f t="shared" ca="1" si="124"/>
        <v>0</v>
      </c>
      <c r="Z249" s="2">
        <f t="shared" si="125"/>
        <v>0</v>
      </c>
      <c r="AA249" s="126">
        <f t="shared" ca="1" si="126"/>
        <v>0</v>
      </c>
      <c r="AB249" s="127"/>
      <c r="AC249" s="12">
        <f t="shared" ca="1" si="127"/>
        <v>0</v>
      </c>
      <c r="AD249" s="140"/>
      <c r="AE249" s="140"/>
      <c r="AF249" s="140"/>
      <c r="AG249" s="140"/>
      <c r="AH249" s="161"/>
      <c r="AI249" s="136"/>
      <c r="AJ249" s="136"/>
    </row>
    <row r="250" spans="1:36" x14ac:dyDescent="0.25">
      <c r="A250" s="137"/>
      <c r="B250" s="2">
        <f t="shared" si="107"/>
        <v>0</v>
      </c>
      <c r="C250" s="126">
        <f t="shared" ca="1" si="108"/>
        <v>0</v>
      </c>
      <c r="D250" s="127"/>
      <c r="E250" s="13">
        <f t="shared" ca="1" si="109"/>
        <v>0</v>
      </c>
      <c r="F250" s="2">
        <f t="shared" si="110"/>
        <v>0</v>
      </c>
      <c r="G250" s="126">
        <f t="shared" ca="1" si="111"/>
        <v>0</v>
      </c>
      <c r="H250" s="127"/>
      <c r="I250" s="12">
        <f t="shared" ca="1" si="112"/>
        <v>0</v>
      </c>
      <c r="J250" s="2">
        <f t="shared" si="113"/>
        <v>0</v>
      </c>
      <c r="K250" s="126">
        <f t="shared" ca="1" si="114"/>
        <v>0</v>
      </c>
      <c r="L250" s="127"/>
      <c r="M250" s="12">
        <f t="shared" ca="1" si="115"/>
        <v>0</v>
      </c>
      <c r="N250" s="2">
        <f t="shared" si="116"/>
        <v>0</v>
      </c>
      <c r="O250" s="126">
        <f t="shared" ca="1" si="117"/>
        <v>0</v>
      </c>
      <c r="P250" s="127"/>
      <c r="Q250" s="12">
        <f t="shared" ca="1" si="118"/>
        <v>0</v>
      </c>
      <c r="R250" s="2">
        <f t="shared" si="119"/>
        <v>0</v>
      </c>
      <c r="S250" s="126">
        <f t="shared" ca="1" si="120"/>
        <v>0</v>
      </c>
      <c r="T250" s="127"/>
      <c r="U250" s="13">
        <f t="shared" ca="1" si="121"/>
        <v>0</v>
      </c>
      <c r="V250" s="2">
        <f t="shared" si="122"/>
        <v>0</v>
      </c>
      <c r="W250" s="126">
        <f t="shared" ca="1" si="123"/>
        <v>0</v>
      </c>
      <c r="X250" s="127"/>
      <c r="Y250" s="12">
        <f t="shared" ca="1" si="124"/>
        <v>0</v>
      </c>
      <c r="Z250" s="2">
        <f t="shared" si="125"/>
        <v>0</v>
      </c>
      <c r="AA250" s="126">
        <f t="shared" ca="1" si="126"/>
        <v>0</v>
      </c>
      <c r="AB250" s="127"/>
      <c r="AC250" s="12">
        <f t="shared" ca="1" si="127"/>
        <v>0</v>
      </c>
      <c r="AD250" s="140"/>
      <c r="AE250" s="140"/>
      <c r="AF250" s="140"/>
      <c r="AG250" s="140"/>
      <c r="AH250" s="161"/>
      <c r="AI250" s="136"/>
      <c r="AJ250" s="136"/>
    </row>
    <row r="251" spans="1:36" x14ac:dyDescent="0.25">
      <c r="A251" s="137"/>
      <c r="B251" s="2">
        <f t="shared" si="107"/>
        <v>0</v>
      </c>
      <c r="C251" s="126">
        <f t="shared" ca="1" si="108"/>
        <v>0</v>
      </c>
      <c r="D251" s="127"/>
      <c r="E251" s="13">
        <f t="shared" ca="1" si="109"/>
        <v>0</v>
      </c>
      <c r="F251" s="2">
        <f t="shared" si="110"/>
        <v>0</v>
      </c>
      <c r="G251" s="126">
        <f t="shared" ca="1" si="111"/>
        <v>0</v>
      </c>
      <c r="H251" s="127"/>
      <c r="I251" s="12">
        <f t="shared" ca="1" si="112"/>
        <v>0</v>
      </c>
      <c r="J251" s="2">
        <f t="shared" si="113"/>
        <v>0</v>
      </c>
      <c r="K251" s="126">
        <f t="shared" ca="1" si="114"/>
        <v>0</v>
      </c>
      <c r="L251" s="127"/>
      <c r="M251" s="12">
        <f t="shared" ca="1" si="115"/>
        <v>0</v>
      </c>
      <c r="N251" s="2">
        <f t="shared" si="116"/>
        <v>0</v>
      </c>
      <c r="O251" s="126">
        <f t="shared" ca="1" si="117"/>
        <v>0</v>
      </c>
      <c r="P251" s="127"/>
      <c r="Q251" s="12">
        <f t="shared" ca="1" si="118"/>
        <v>0</v>
      </c>
      <c r="R251" s="2">
        <f t="shared" si="119"/>
        <v>0</v>
      </c>
      <c r="S251" s="126">
        <f t="shared" ca="1" si="120"/>
        <v>0</v>
      </c>
      <c r="T251" s="127"/>
      <c r="U251" s="13">
        <f t="shared" ca="1" si="121"/>
        <v>0</v>
      </c>
      <c r="V251" s="2">
        <f t="shared" si="122"/>
        <v>0</v>
      </c>
      <c r="W251" s="126">
        <f t="shared" ca="1" si="123"/>
        <v>0</v>
      </c>
      <c r="X251" s="127"/>
      <c r="Y251" s="12">
        <f t="shared" ca="1" si="124"/>
        <v>0</v>
      </c>
      <c r="Z251" s="2">
        <f t="shared" si="125"/>
        <v>0</v>
      </c>
      <c r="AA251" s="126">
        <f t="shared" ca="1" si="126"/>
        <v>0</v>
      </c>
      <c r="AB251" s="127"/>
      <c r="AC251" s="12">
        <f t="shared" ca="1" si="127"/>
        <v>0</v>
      </c>
      <c r="AD251" s="140"/>
      <c r="AE251" s="140"/>
      <c r="AF251" s="140"/>
      <c r="AG251" s="140"/>
      <c r="AH251" s="161"/>
      <c r="AI251" s="136"/>
      <c r="AJ251" s="136"/>
    </row>
    <row r="252" spans="1:36" x14ac:dyDescent="0.25">
      <c r="A252" s="137"/>
      <c r="B252" s="2">
        <f t="shared" si="107"/>
        <v>0</v>
      </c>
      <c r="C252" s="126">
        <f t="shared" ca="1" si="108"/>
        <v>0</v>
      </c>
      <c r="D252" s="127"/>
      <c r="E252" s="13">
        <f t="shared" ca="1" si="109"/>
        <v>0</v>
      </c>
      <c r="F252" s="2">
        <f t="shared" si="110"/>
        <v>0</v>
      </c>
      <c r="G252" s="126">
        <f t="shared" ca="1" si="111"/>
        <v>0</v>
      </c>
      <c r="H252" s="127"/>
      <c r="I252" s="12">
        <f t="shared" ca="1" si="112"/>
        <v>0</v>
      </c>
      <c r="J252" s="2">
        <f t="shared" si="113"/>
        <v>0</v>
      </c>
      <c r="K252" s="126">
        <f t="shared" ca="1" si="114"/>
        <v>0</v>
      </c>
      <c r="L252" s="127"/>
      <c r="M252" s="12">
        <f t="shared" ca="1" si="115"/>
        <v>0</v>
      </c>
      <c r="N252" s="2">
        <f t="shared" si="116"/>
        <v>0</v>
      </c>
      <c r="O252" s="126">
        <f t="shared" ca="1" si="117"/>
        <v>0</v>
      </c>
      <c r="P252" s="127"/>
      <c r="Q252" s="12">
        <f t="shared" ca="1" si="118"/>
        <v>0</v>
      </c>
      <c r="R252" s="2">
        <f t="shared" si="119"/>
        <v>0</v>
      </c>
      <c r="S252" s="126">
        <f t="shared" ca="1" si="120"/>
        <v>0</v>
      </c>
      <c r="T252" s="127"/>
      <c r="U252" s="13">
        <f t="shared" ca="1" si="121"/>
        <v>0</v>
      </c>
      <c r="V252" s="2">
        <f t="shared" si="122"/>
        <v>0</v>
      </c>
      <c r="W252" s="126">
        <f t="shared" ca="1" si="123"/>
        <v>0</v>
      </c>
      <c r="X252" s="127"/>
      <c r="Y252" s="12">
        <f t="shared" ca="1" si="124"/>
        <v>0</v>
      </c>
      <c r="Z252" s="2">
        <f t="shared" si="125"/>
        <v>0</v>
      </c>
      <c r="AA252" s="126">
        <f t="shared" ca="1" si="126"/>
        <v>0</v>
      </c>
      <c r="AB252" s="127"/>
      <c r="AC252" s="12">
        <f t="shared" ca="1" si="127"/>
        <v>0</v>
      </c>
      <c r="AD252" s="140"/>
      <c r="AE252" s="140"/>
      <c r="AF252" s="140"/>
      <c r="AG252" s="140"/>
      <c r="AH252" s="161"/>
      <c r="AI252" s="136"/>
      <c r="AJ252" s="136"/>
    </row>
    <row r="253" spans="1:36" x14ac:dyDescent="0.25">
      <c r="A253" s="138"/>
      <c r="B253" s="2">
        <f t="shared" si="107"/>
        <v>0</v>
      </c>
      <c r="C253" s="126">
        <f t="shared" ca="1" si="108"/>
        <v>0</v>
      </c>
      <c r="D253" s="127"/>
      <c r="E253" s="13">
        <f t="shared" ca="1" si="109"/>
        <v>0</v>
      </c>
      <c r="F253" s="2">
        <f t="shared" si="110"/>
        <v>0</v>
      </c>
      <c r="G253" s="126">
        <f t="shared" ca="1" si="111"/>
        <v>0</v>
      </c>
      <c r="H253" s="127"/>
      <c r="I253" s="12">
        <f t="shared" ca="1" si="112"/>
        <v>0</v>
      </c>
      <c r="J253" s="2">
        <f t="shared" si="113"/>
        <v>0</v>
      </c>
      <c r="K253" s="126">
        <f t="shared" ca="1" si="114"/>
        <v>0</v>
      </c>
      <c r="L253" s="127"/>
      <c r="M253" s="12">
        <f t="shared" ca="1" si="115"/>
        <v>0</v>
      </c>
      <c r="N253" s="2">
        <f t="shared" si="116"/>
        <v>0</v>
      </c>
      <c r="O253" s="126">
        <f t="shared" ca="1" si="117"/>
        <v>0</v>
      </c>
      <c r="P253" s="127"/>
      <c r="Q253" s="12">
        <f t="shared" ca="1" si="118"/>
        <v>0</v>
      </c>
      <c r="R253" s="2">
        <f t="shared" si="119"/>
        <v>0</v>
      </c>
      <c r="S253" s="126">
        <f t="shared" ca="1" si="120"/>
        <v>0</v>
      </c>
      <c r="T253" s="127"/>
      <c r="U253" s="13">
        <f t="shared" ca="1" si="121"/>
        <v>0</v>
      </c>
      <c r="V253" s="2">
        <f t="shared" si="122"/>
        <v>0</v>
      </c>
      <c r="W253" s="126">
        <f t="shared" ca="1" si="123"/>
        <v>0</v>
      </c>
      <c r="X253" s="127"/>
      <c r="Y253" s="12">
        <f t="shared" ca="1" si="124"/>
        <v>0</v>
      </c>
      <c r="Z253" s="2">
        <f t="shared" si="125"/>
        <v>0</v>
      </c>
      <c r="AA253" s="126">
        <f t="shared" ref="AA253" ca="1" si="128">IF(TODAY()=$A$184,AA74*AB74*AC74,AA253)</f>
        <v>0</v>
      </c>
      <c r="AB253" s="127"/>
      <c r="AC253" s="12">
        <f t="shared" ca="1" si="127"/>
        <v>0</v>
      </c>
      <c r="AD253" s="140"/>
      <c r="AE253" s="140"/>
      <c r="AF253" s="140"/>
      <c r="AG253" s="140"/>
      <c r="AH253" s="161"/>
      <c r="AI253" s="136"/>
      <c r="AJ253" s="136"/>
    </row>
  </sheetData>
  <mergeCells count="1563">
    <mergeCell ref="A1:A2"/>
    <mergeCell ref="B1:E2"/>
    <mergeCell ref="F1:I2"/>
    <mergeCell ref="J1:M2"/>
    <mergeCell ref="N1:Q2"/>
    <mergeCell ref="R1:U2"/>
    <mergeCell ref="T3:T4"/>
    <mergeCell ref="U3:U4"/>
    <mergeCell ref="J3:J4"/>
    <mergeCell ref="K3:K4"/>
    <mergeCell ref="L3:L4"/>
    <mergeCell ref="M3:M4"/>
    <mergeCell ref="N3:N4"/>
    <mergeCell ref="O3:O4"/>
    <mergeCell ref="V1:Y2"/>
    <mergeCell ref="Z1:AC2"/>
    <mergeCell ref="B3:B4"/>
    <mergeCell ref="C3:C4"/>
    <mergeCell ref="D3:D4"/>
    <mergeCell ref="E3:E4"/>
    <mergeCell ref="F3:F4"/>
    <mergeCell ref="G3:G4"/>
    <mergeCell ref="H3:H4"/>
    <mergeCell ref="I3:I4"/>
    <mergeCell ref="I42:I43"/>
    <mergeCell ref="J42:J43"/>
    <mergeCell ref="K42:L43"/>
    <mergeCell ref="M42:M43"/>
    <mergeCell ref="N42:N43"/>
    <mergeCell ref="O42:P43"/>
    <mergeCell ref="A25:A29"/>
    <mergeCell ref="A30:A34"/>
    <mergeCell ref="A35:A39"/>
    <mergeCell ref="A40:AJ41"/>
    <mergeCell ref="A42:A43"/>
    <mergeCell ref="B42:B43"/>
    <mergeCell ref="C42:D43"/>
    <mergeCell ref="E42:E43"/>
    <mergeCell ref="F42:F43"/>
    <mergeCell ref="G42:H43"/>
    <mergeCell ref="AB3:AB4"/>
    <mergeCell ref="AC3:AC4"/>
    <mergeCell ref="A5:A9"/>
    <mergeCell ref="A10:A14"/>
    <mergeCell ref="A15:A19"/>
    <mergeCell ref="A20:A24"/>
    <mergeCell ref="V3:V4"/>
    <mergeCell ref="W3:W4"/>
    <mergeCell ref="X3:X4"/>
    <mergeCell ref="Y3:Y4"/>
    <mergeCell ref="Z3:Z4"/>
    <mergeCell ref="AA3:AA4"/>
    <mergeCell ref="P3:P4"/>
    <mergeCell ref="Q3:Q4"/>
    <mergeCell ref="R3:R4"/>
    <mergeCell ref="S3:S4"/>
    <mergeCell ref="AH44:AH78"/>
    <mergeCell ref="AI44:AJ78"/>
    <mergeCell ref="C45:D45"/>
    <mergeCell ref="G45:H45"/>
    <mergeCell ref="K45:L45"/>
    <mergeCell ref="O45:P45"/>
    <mergeCell ref="S45:T45"/>
    <mergeCell ref="W45:X45"/>
    <mergeCell ref="AA45:AB45"/>
    <mergeCell ref="C46:D46"/>
    <mergeCell ref="AI42:AJ43"/>
    <mergeCell ref="A44:A78"/>
    <mergeCell ref="C44:D44"/>
    <mergeCell ref="G44:H44"/>
    <mergeCell ref="K44:L44"/>
    <mergeCell ref="O44:P44"/>
    <mergeCell ref="S44:T44"/>
    <mergeCell ref="W44:X44"/>
    <mergeCell ref="AA44:AB44"/>
    <mergeCell ref="AD44:AG78"/>
    <mergeCell ref="Y42:Y43"/>
    <mergeCell ref="Z42:Z43"/>
    <mergeCell ref="AA42:AB43"/>
    <mergeCell ref="AC42:AC43"/>
    <mergeCell ref="AD42:AG43"/>
    <mergeCell ref="AH42:AH43"/>
    <mergeCell ref="Q42:Q43"/>
    <mergeCell ref="R42:R43"/>
    <mergeCell ref="S42:T43"/>
    <mergeCell ref="U42:U43"/>
    <mergeCell ref="V42:V43"/>
    <mergeCell ref="W42:X43"/>
    <mergeCell ref="AA47:AB47"/>
    <mergeCell ref="C48:D48"/>
    <mergeCell ref="G48:H48"/>
    <mergeCell ref="K48:L48"/>
    <mergeCell ref="O48:P48"/>
    <mergeCell ref="S48:T48"/>
    <mergeCell ref="W48:X48"/>
    <mergeCell ref="AA48:AB48"/>
    <mergeCell ref="C47:D47"/>
    <mergeCell ref="G47:H47"/>
    <mergeCell ref="K47:L47"/>
    <mergeCell ref="O47:P47"/>
    <mergeCell ref="S47:T47"/>
    <mergeCell ref="W47:X47"/>
    <mergeCell ref="G46:H46"/>
    <mergeCell ref="K46:L46"/>
    <mergeCell ref="O46:P46"/>
    <mergeCell ref="S46:T46"/>
    <mergeCell ref="W46:X46"/>
    <mergeCell ref="AA46:AB46"/>
    <mergeCell ref="AA51:AB51"/>
    <mergeCell ref="C52:D52"/>
    <mergeCell ref="G52:H52"/>
    <mergeCell ref="K52:L52"/>
    <mergeCell ref="O52:P52"/>
    <mergeCell ref="S52:T52"/>
    <mergeCell ref="W52:X52"/>
    <mergeCell ref="AA52:AB52"/>
    <mergeCell ref="C51:D51"/>
    <mergeCell ref="G51:H51"/>
    <mergeCell ref="K51:L51"/>
    <mergeCell ref="O51:P51"/>
    <mergeCell ref="S51:T51"/>
    <mergeCell ref="W51:X51"/>
    <mergeCell ref="AA49:AB49"/>
    <mergeCell ref="C50:D50"/>
    <mergeCell ref="G50:H50"/>
    <mergeCell ref="K50:L50"/>
    <mergeCell ref="O50:P50"/>
    <mergeCell ref="S50:T50"/>
    <mergeCell ref="W50:X50"/>
    <mergeCell ref="AA50:AB50"/>
    <mergeCell ref="C49:D49"/>
    <mergeCell ref="G49:H49"/>
    <mergeCell ref="K49:L49"/>
    <mergeCell ref="O49:P49"/>
    <mergeCell ref="S49:T49"/>
    <mergeCell ref="W49:X49"/>
    <mergeCell ref="AA55:AB55"/>
    <mergeCell ref="C56:D56"/>
    <mergeCell ref="G56:H56"/>
    <mergeCell ref="K56:L56"/>
    <mergeCell ref="O56:P56"/>
    <mergeCell ref="S56:T56"/>
    <mergeCell ref="W56:X56"/>
    <mergeCell ref="AA56:AB56"/>
    <mergeCell ref="C55:D55"/>
    <mergeCell ref="G55:H55"/>
    <mergeCell ref="K55:L55"/>
    <mergeCell ref="O55:P55"/>
    <mergeCell ref="S55:T55"/>
    <mergeCell ref="W55:X55"/>
    <mergeCell ref="AA53:AB53"/>
    <mergeCell ref="C54:D54"/>
    <mergeCell ref="G54:H54"/>
    <mergeCell ref="K54:L54"/>
    <mergeCell ref="O54:P54"/>
    <mergeCell ref="S54:T54"/>
    <mergeCell ref="W54:X54"/>
    <mergeCell ref="AA54:AB54"/>
    <mergeCell ref="C53:D53"/>
    <mergeCell ref="G53:H53"/>
    <mergeCell ref="K53:L53"/>
    <mergeCell ref="O53:P53"/>
    <mergeCell ref="S53:T53"/>
    <mergeCell ref="W53:X53"/>
    <mergeCell ref="AA59:AB59"/>
    <mergeCell ref="C60:D60"/>
    <mergeCell ref="G60:H60"/>
    <mergeCell ref="K60:L60"/>
    <mergeCell ref="O60:P60"/>
    <mergeCell ref="S60:T60"/>
    <mergeCell ref="W60:X60"/>
    <mergeCell ref="AA60:AB60"/>
    <mergeCell ref="C59:D59"/>
    <mergeCell ref="G59:H59"/>
    <mergeCell ref="K59:L59"/>
    <mergeCell ref="O59:P59"/>
    <mergeCell ref="S59:T59"/>
    <mergeCell ref="W59:X59"/>
    <mergeCell ref="AA57:AB57"/>
    <mergeCell ref="C58:D58"/>
    <mergeCell ref="G58:H58"/>
    <mergeCell ref="K58:L58"/>
    <mergeCell ref="O58:P58"/>
    <mergeCell ref="S58:T58"/>
    <mergeCell ref="W58:X58"/>
    <mergeCell ref="AA58:AB58"/>
    <mergeCell ref="C57:D57"/>
    <mergeCell ref="G57:H57"/>
    <mergeCell ref="K57:L57"/>
    <mergeCell ref="O57:P57"/>
    <mergeCell ref="S57:T57"/>
    <mergeCell ref="W57:X57"/>
    <mergeCell ref="AA63:AB63"/>
    <mergeCell ref="C64:D64"/>
    <mergeCell ref="G64:H64"/>
    <mergeCell ref="K64:L64"/>
    <mergeCell ref="O64:P64"/>
    <mergeCell ref="S64:T64"/>
    <mergeCell ref="W64:X64"/>
    <mergeCell ref="AA64:AB64"/>
    <mergeCell ref="C63:D63"/>
    <mergeCell ref="G63:H63"/>
    <mergeCell ref="K63:L63"/>
    <mergeCell ref="O63:P63"/>
    <mergeCell ref="S63:T63"/>
    <mergeCell ref="W63:X63"/>
    <mergeCell ref="AA61:AB61"/>
    <mergeCell ref="C62:D62"/>
    <mergeCell ref="G62:H62"/>
    <mergeCell ref="K62:L62"/>
    <mergeCell ref="O62:P62"/>
    <mergeCell ref="S62:T62"/>
    <mergeCell ref="W62:X62"/>
    <mergeCell ref="AA62:AB62"/>
    <mergeCell ref="C61:D61"/>
    <mergeCell ref="G61:H61"/>
    <mergeCell ref="K61:L61"/>
    <mergeCell ref="O61:P61"/>
    <mergeCell ref="S61:T61"/>
    <mergeCell ref="W61:X61"/>
    <mergeCell ref="AA67:AB67"/>
    <mergeCell ref="C68:D68"/>
    <mergeCell ref="G68:H68"/>
    <mergeCell ref="K68:L68"/>
    <mergeCell ref="O68:P68"/>
    <mergeCell ref="S68:T68"/>
    <mergeCell ref="W68:X68"/>
    <mergeCell ref="AA68:AB68"/>
    <mergeCell ref="C67:D67"/>
    <mergeCell ref="G67:H67"/>
    <mergeCell ref="K67:L67"/>
    <mergeCell ref="O67:P67"/>
    <mergeCell ref="S67:T67"/>
    <mergeCell ref="W67:X67"/>
    <mergeCell ref="AA65:AB65"/>
    <mergeCell ref="C66:D66"/>
    <mergeCell ref="G66:H66"/>
    <mergeCell ref="K66:L66"/>
    <mergeCell ref="O66:P66"/>
    <mergeCell ref="S66:T66"/>
    <mergeCell ref="W66:X66"/>
    <mergeCell ref="AA66:AB66"/>
    <mergeCell ref="C65:D65"/>
    <mergeCell ref="G65:H65"/>
    <mergeCell ref="K65:L65"/>
    <mergeCell ref="O65:P65"/>
    <mergeCell ref="S65:T65"/>
    <mergeCell ref="W65:X65"/>
    <mergeCell ref="AA71:AB71"/>
    <mergeCell ref="C72:D72"/>
    <mergeCell ref="G72:H72"/>
    <mergeCell ref="K72:L72"/>
    <mergeCell ref="O72:P72"/>
    <mergeCell ref="S72:T72"/>
    <mergeCell ref="W72:X72"/>
    <mergeCell ref="AA72:AB72"/>
    <mergeCell ref="C71:D71"/>
    <mergeCell ref="G71:H71"/>
    <mergeCell ref="K71:L71"/>
    <mergeCell ref="O71:P71"/>
    <mergeCell ref="S71:T71"/>
    <mergeCell ref="W71:X71"/>
    <mergeCell ref="AA69:AB69"/>
    <mergeCell ref="C70:D70"/>
    <mergeCell ref="G70:H70"/>
    <mergeCell ref="K70:L70"/>
    <mergeCell ref="O70:P70"/>
    <mergeCell ref="S70:T70"/>
    <mergeCell ref="W70:X70"/>
    <mergeCell ref="AA70:AB70"/>
    <mergeCell ref="C69:D69"/>
    <mergeCell ref="G69:H69"/>
    <mergeCell ref="K69:L69"/>
    <mergeCell ref="O69:P69"/>
    <mergeCell ref="S69:T69"/>
    <mergeCell ref="W69:X69"/>
    <mergeCell ref="AA75:AB75"/>
    <mergeCell ref="C76:D76"/>
    <mergeCell ref="G76:H76"/>
    <mergeCell ref="K76:L76"/>
    <mergeCell ref="O76:P76"/>
    <mergeCell ref="S76:T76"/>
    <mergeCell ref="W76:X76"/>
    <mergeCell ref="AA76:AB76"/>
    <mergeCell ref="C75:D75"/>
    <mergeCell ref="G75:H75"/>
    <mergeCell ref="K75:L75"/>
    <mergeCell ref="O75:P75"/>
    <mergeCell ref="S75:T75"/>
    <mergeCell ref="W75:X75"/>
    <mergeCell ref="AA73:AB73"/>
    <mergeCell ref="C74:D74"/>
    <mergeCell ref="G74:H74"/>
    <mergeCell ref="K74:L74"/>
    <mergeCell ref="O74:P74"/>
    <mergeCell ref="S74:T74"/>
    <mergeCell ref="W74:X74"/>
    <mergeCell ref="AA74:AB74"/>
    <mergeCell ref="C73:D73"/>
    <mergeCell ref="G73:H73"/>
    <mergeCell ref="K73:L73"/>
    <mergeCell ref="O73:P73"/>
    <mergeCell ref="S73:T73"/>
    <mergeCell ref="W73:X73"/>
    <mergeCell ref="A79:A113"/>
    <mergeCell ref="C79:D79"/>
    <mergeCell ref="G79:H79"/>
    <mergeCell ref="K79:L79"/>
    <mergeCell ref="O79:P79"/>
    <mergeCell ref="S79:T79"/>
    <mergeCell ref="C82:D82"/>
    <mergeCell ref="G82:H82"/>
    <mergeCell ref="K82:L82"/>
    <mergeCell ref="O82:P82"/>
    <mergeCell ref="AA77:AB77"/>
    <mergeCell ref="C78:D78"/>
    <mergeCell ref="G78:H78"/>
    <mergeCell ref="K78:L78"/>
    <mergeCell ref="O78:P78"/>
    <mergeCell ref="S78:T78"/>
    <mergeCell ref="W78:X78"/>
    <mergeCell ref="AA78:AB78"/>
    <mergeCell ref="C77:D77"/>
    <mergeCell ref="G77:H77"/>
    <mergeCell ref="K77:L77"/>
    <mergeCell ref="O77:P77"/>
    <mergeCell ref="S77:T77"/>
    <mergeCell ref="W77:X77"/>
    <mergeCell ref="W80:X80"/>
    <mergeCell ref="AA80:AB80"/>
    <mergeCell ref="C81:D81"/>
    <mergeCell ref="G81:H81"/>
    <mergeCell ref="K81:L81"/>
    <mergeCell ref="O81:P81"/>
    <mergeCell ref="S81:T81"/>
    <mergeCell ref="W81:X81"/>
    <mergeCell ref="AA81:AB81"/>
    <mergeCell ref="W79:X79"/>
    <mergeCell ref="AA79:AB79"/>
    <mergeCell ref="AD79:AG113"/>
    <mergeCell ref="AH79:AH113"/>
    <mergeCell ref="AI79:AJ113"/>
    <mergeCell ref="C80:D80"/>
    <mergeCell ref="G80:H80"/>
    <mergeCell ref="K80:L80"/>
    <mergeCell ref="O80:P80"/>
    <mergeCell ref="S80:T80"/>
    <mergeCell ref="AA84:AB84"/>
    <mergeCell ref="C85:D85"/>
    <mergeCell ref="G85:H85"/>
    <mergeCell ref="K85:L85"/>
    <mergeCell ref="O85:P85"/>
    <mergeCell ref="S85:T85"/>
    <mergeCell ref="W85:X85"/>
    <mergeCell ref="AA85:AB85"/>
    <mergeCell ref="C84:D84"/>
    <mergeCell ref="G84:H84"/>
    <mergeCell ref="K84:L84"/>
    <mergeCell ref="O84:P84"/>
    <mergeCell ref="S84:T84"/>
    <mergeCell ref="W84:X84"/>
    <mergeCell ref="S82:T82"/>
    <mergeCell ref="W82:X82"/>
    <mergeCell ref="AA82:AB82"/>
    <mergeCell ref="C83:D83"/>
    <mergeCell ref="G83:H83"/>
    <mergeCell ref="K83:L83"/>
    <mergeCell ref="O83:P83"/>
    <mergeCell ref="S83:T83"/>
    <mergeCell ref="W83:X83"/>
    <mergeCell ref="AA83:AB83"/>
    <mergeCell ref="AA88:AB88"/>
    <mergeCell ref="C89:D89"/>
    <mergeCell ref="G89:H89"/>
    <mergeCell ref="K89:L89"/>
    <mergeCell ref="O89:P89"/>
    <mergeCell ref="S89:T89"/>
    <mergeCell ref="W89:X89"/>
    <mergeCell ref="AA89:AB89"/>
    <mergeCell ref="C88:D88"/>
    <mergeCell ref="G88:H88"/>
    <mergeCell ref="K88:L88"/>
    <mergeCell ref="O88:P88"/>
    <mergeCell ref="S88:T88"/>
    <mergeCell ref="W88:X88"/>
    <mergeCell ref="AA86:AB86"/>
    <mergeCell ref="C87:D87"/>
    <mergeCell ref="G87:H87"/>
    <mergeCell ref="K87:L87"/>
    <mergeCell ref="O87:P87"/>
    <mergeCell ref="S87:T87"/>
    <mergeCell ref="W87:X87"/>
    <mergeCell ref="AA87:AB87"/>
    <mergeCell ref="C86:D86"/>
    <mergeCell ref="G86:H86"/>
    <mergeCell ref="K86:L86"/>
    <mergeCell ref="O86:P86"/>
    <mergeCell ref="S86:T86"/>
    <mergeCell ref="W86:X86"/>
    <mergeCell ref="AA92:AB92"/>
    <mergeCell ref="C93:D93"/>
    <mergeCell ref="G93:H93"/>
    <mergeCell ref="K93:L93"/>
    <mergeCell ref="O93:P93"/>
    <mergeCell ref="S93:T93"/>
    <mergeCell ref="W93:X93"/>
    <mergeCell ref="AA93:AB93"/>
    <mergeCell ref="C92:D92"/>
    <mergeCell ref="G92:H92"/>
    <mergeCell ref="K92:L92"/>
    <mergeCell ref="O92:P92"/>
    <mergeCell ref="S92:T92"/>
    <mergeCell ref="W92:X92"/>
    <mergeCell ref="AA90:AB90"/>
    <mergeCell ref="C91:D91"/>
    <mergeCell ref="G91:H91"/>
    <mergeCell ref="K91:L91"/>
    <mergeCell ref="O91:P91"/>
    <mergeCell ref="S91:T91"/>
    <mergeCell ref="W91:X91"/>
    <mergeCell ref="AA91:AB91"/>
    <mergeCell ref="C90:D90"/>
    <mergeCell ref="G90:H90"/>
    <mergeCell ref="K90:L90"/>
    <mergeCell ref="O90:P90"/>
    <mergeCell ref="S90:T90"/>
    <mergeCell ref="W90:X90"/>
    <mergeCell ref="AA96:AB96"/>
    <mergeCell ref="C97:D97"/>
    <mergeCell ref="G97:H97"/>
    <mergeCell ref="K97:L97"/>
    <mergeCell ref="O97:P97"/>
    <mergeCell ref="S97:T97"/>
    <mergeCell ref="W97:X97"/>
    <mergeCell ref="AA97:AB97"/>
    <mergeCell ref="C96:D96"/>
    <mergeCell ref="G96:H96"/>
    <mergeCell ref="K96:L96"/>
    <mergeCell ref="O96:P96"/>
    <mergeCell ref="S96:T96"/>
    <mergeCell ref="W96:X96"/>
    <mergeCell ref="AA94:AB94"/>
    <mergeCell ref="C95:D95"/>
    <mergeCell ref="G95:H95"/>
    <mergeCell ref="K95:L95"/>
    <mergeCell ref="O95:P95"/>
    <mergeCell ref="S95:T95"/>
    <mergeCell ref="W95:X95"/>
    <mergeCell ref="AA95:AB95"/>
    <mergeCell ref="C94:D94"/>
    <mergeCell ref="G94:H94"/>
    <mergeCell ref="K94:L94"/>
    <mergeCell ref="O94:P94"/>
    <mergeCell ref="S94:T94"/>
    <mergeCell ref="W94:X94"/>
    <mergeCell ref="AA100:AB100"/>
    <mergeCell ref="C101:D101"/>
    <mergeCell ref="G101:H101"/>
    <mergeCell ref="K101:L101"/>
    <mergeCell ref="O101:P101"/>
    <mergeCell ref="S101:T101"/>
    <mergeCell ref="W101:X101"/>
    <mergeCell ref="AA101:AB101"/>
    <mergeCell ref="C100:D100"/>
    <mergeCell ref="G100:H100"/>
    <mergeCell ref="K100:L100"/>
    <mergeCell ref="O100:P100"/>
    <mergeCell ref="S100:T100"/>
    <mergeCell ref="W100:X100"/>
    <mergeCell ref="AA98:AB98"/>
    <mergeCell ref="C99:D99"/>
    <mergeCell ref="G99:H99"/>
    <mergeCell ref="K99:L99"/>
    <mergeCell ref="O99:P99"/>
    <mergeCell ref="S99:T99"/>
    <mergeCell ref="W99:X99"/>
    <mergeCell ref="AA99:AB99"/>
    <mergeCell ref="C98:D98"/>
    <mergeCell ref="G98:H98"/>
    <mergeCell ref="K98:L98"/>
    <mergeCell ref="O98:P98"/>
    <mergeCell ref="S98:T98"/>
    <mergeCell ref="W98:X98"/>
    <mergeCell ref="AA104:AB104"/>
    <mergeCell ref="C105:D105"/>
    <mergeCell ref="G105:H105"/>
    <mergeCell ref="K105:L105"/>
    <mergeCell ref="O105:P105"/>
    <mergeCell ref="S105:T105"/>
    <mergeCell ref="W105:X105"/>
    <mergeCell ref="AA105:AB105"/>
    <mergeCell ref="C104:D104"/>
    <mergeCell ref="G104:H104"/>
    <mergeCell ref="K104:L104"/>
    <mergeCell ref="O104:P104"/>
    <mergeCell ref="S104:T104"/>
    <mergeCell ref="W104:X104"/>
    <mergeCell ref="AA102:AB102"/>
    <mergeCell ref="C103:D103"/>
    <mergeCell ref="G103:H103"/>
    <mergeCell ref="K103:L103"/>
    <mergeCell ref="O103:P103"/>
    <mergeCell ref="S103:T103"/>
    <mergeCell ref="W103:X103"/>
    <mergeCell ref="AA103:AB103"/>
    <mergeCell ref="C102:D102"/>
    <mergeCell ref="G102:H102"/>
    <mergeCell ref="K102:L102"/>
    <mergeCell ref="O102:P102"/>
    <mergeCell ref="S102:T102"/>
    <mergeCell ref="W102:X102"/>
    <mergeCell ref="AA108:AB108"/>
    <mergeCell ref="C109:D109"/>
    <mergeCell ref="G109:H109"/>
    <mergeCell ref="K109:L109"/>
    <mergeCell ref="O109:P109"/>
    <mergeCell ref="S109:T109"/>
    <mergeCell ref="W109:X109"/>
    <mergeCell ref="AA109:AB109"/>
    <mergeCell ref="C108:D108"/>
    <mergeCell ref="G108:H108"/>
    <mergeCell ref="K108:L108"/>
    <mergeCell ref="O108:P108"/>
    <mergeCell ref="S108:T108"/>
    <mergeCell ref="W108:X108"/>
    <mergeCell ref="AA106:AB106"/>
    <mergeCell ref="C107:D107"/>
    <mergeCell ref="G107:H107"/>
    <mergeCell ref="K107:L107"/>
    <mergeCell ref="O107:P107"/>
    <mergeCell ref="S107:T107"/>
    <mergeCell ref="W107:X107"/>
    <mergeCell ref="AA107:AB107"/>
    <mergeCell ref="C106:D106"/>
    <mergeCell ref="G106:H106"/>
    <mergeCell ref="K106:L106"/>
    <mergeCell ref="O106:P106"/>
    <mergeCell ref="S106:T106"/>
    <mergeCell ref="W106:X106"/>
    <mergeCell ref="AA112:AB112"/>
    <mergeCell ref="C113:D113"/>
    <mergeCell ref="G113:H113"/>
    <mergeCell ref="K113:L113"/>
    <mergeCell ref="O113:P113"/>
    <mergeCell ref="S113:T113"/>
    <mergeCell ref="W113:X113"/>
    <mergeCell ref="AA113:AB113"/>
    <mergeCell ref="C112:D112"/>
    <mergeCell ref="G112:H112"/>
    <mergeCell ref="K112:L112"/>
    <mergeCell ref="O112:P112"/>
    <mergeCell ref="S112:T112"/>
    <mergeCell ref="W112:X112"/>
    <mergeCell ref="AA110:AB110"/>
    <mergeCell ref="C111:D111"/>
    <mergeCell ref="G111:H111"/>
    <mergeCell ref="K111:L111"/>
    <mergeCell ref="O111:P111"/>
    <mergeCell ref="S111:T111"/>
    <mergeCell ref="W111:X111"/>
    <mergeCell ref="AA111:AB111"/>
    <mergeCell ref="C110:D110"/>
    <mergeCell ref="G110:H110"/>
    <mergeCell ref="K110:L110"/>
    <mergeCell ref="O110:P110"/>
    <mergeCell ref="S110:T110"/>
    <mergeCell ref="W110:X110"/>
    <mergeCell ref="W114:X114"/>
    <mergeCell ref="AA114:AB114"/>
    <mergeCell ref="AD114:AG148"/>
    <mergeCell ref="AH114:AH148"/>
    <mergeCell ref="AI114:AJ148"/>
    <mergeCell ref="C115:D115"/>
    <mergeCell ref="G115:H115"/>
    <mergeCell ref="K115:L115"/>
    <mergeCell ref="O115:P115"/>
    <mergeCell ref="S115:T115"/>
    <mergeCell ref="A114:A148"/>
    <mergeCell ref="C114:D114"/>
    <mergeCell ref="G114:H114"/>
    <mergeCell ref="K114:L114"/>
    <mergeCell ref="O114:P114"/>
    <mergeCell ref="S114:T114"/>
    <mergeCell ref="C117:D117"/>
    <mergeCell ref="G117:H117"/>
    <mergeCell ref="K117:L117"/>
    <mergeCell ref="O117:P117"/>
    <mergeCell ref="S117:T117"/>
    <mergeCell ref="W117:X117"/>
    <mergeCell ref="AA117:AB117"/>
    <mergeCell ref="C118:D118"/>
    <mergeCell ref="G118:H118"/>
    <mergeCell ref="K118:L118"/>
    <mergeCell ref="O118:P118"/>
    <mergeCell ref="S118:T118"/>
    <mergeCell ref="W118:X118"/>
    <mergeCell ref="AA118:AB118"/>
    <mergeCell ref="W115:X115"/>
    <mergeCell ref="AA115:AB115"/>
    <mergeCell ref="C116:D116"/>
    <mergeCell ref="G116:H116"/>
    <mergeCell ref="K116:L116"/>
    <mergeCell ref="O116:P116"/>
    <mergeCell ref="S116:T116"/>
    <mergeCell ref="W116:X116"/>
    <mergeCell ref="AA116:AB116"/>
    <mergeCell ref="AA121:AB121"/>
    <mergeCell ref="C122:D122"/>
    <mergeCell ref="G122:H122"/>
    <mergeCell ref="K122:L122"/>
    <mergeCell ref="O122:P122"/>
    <mergeCell ref="S122:T122"/>
    <mergeCell ref="W122:X122"/>
    <mergeCell ref="AA122:AB122"/>
    <mergeCell ref="C121:D121"/>
    <mergeCell ref="G121:H121"/>
    <mergeCell ref="K121:L121"/>
    <mergeCell ref="O121:P121"/>
    <mergeCell ref="S121:T121"/>
    <mergeCell ref="W121:X121"/>
    <mergeCell ref="AA119:AB119"/>
    <mergeCell ref="C120:D120"/>
    <mergeCell ref="G120:H120"/>
    <mergeCell ref="K120:L120"/>
    <mergeCell ref="O120:P120"/>
    <mergeCell ref="S120:T120"/>
    <mergeCell ref="W120:X120"/>
    <mergeCell ref="AA120:AB120"/>
    <mergeCell ref="C119:D119"/>
    <mergeCell ref="G119:H119"/>
    <mergeCell ref="K119:L119"/>
    <mergeCell ref="O119:P119"/>
    <mergeCell ref="S119:T119"/>
    <mergeCell ref="W119:X119"/>
    <mergeCell ref="AA125:AB125"/>
    <mergeCell ref="C126:D126"/>
    <mergeCell ref="G126:H126"/>
    <mergeCell ref="K126:L126"/>
    <mergeCell ref="O126:P126"/>
    <mergeCell ref="S126:T126"/>
    <mergeCell ref="W126:X126"/>
    <mergeCell ref="AA126:AB126"/>
    <mergeCell ref="C125:D125"/>
    <mergeCell ref="G125:H125"/>
    <mergeCell ref="K125:L125"/>
    <mergeCell ref="O125:P125"/>
    <mergeCell ref="S125:T125"/>
    <mergeCell ref="W125:X125"/>
    <mergeCell ref="AA123:AB123"/>
    <mergeCell ref="C124:D124"/>
    <mergeCell ref="G124:H124"/>
    <mergeCell ref="K124:L124"/>
    <mergeCell ref="O124:P124"/>
    <mergeCell ref="S124:T124"/>
    <mergeCell ref="W124:X124"/>
    <mergeCell ref="AA124:AB124"/>
    <mergeCell ref="C123:D123"/>
    <mergeCell ref="G123:H123"/>
    <mergeCell ref="K123:L123"/>
    <mergeCell ref="O123:P123"/>
    <mergeCell ref="S123:T123"/>
    <mergeCell ref="W123:X123"/>
    <mergeCell ref="AA129:AB129"/>
    <mergeCell ref="C130:D130"/>
    <mergeCell ref="G130:H130"/>
    <mergeCell ref="K130:L130"/>
    <mergeCell ref="O130:P130"/>
    <mergeCell ref="S130:T130"/>
    <mergeCell ref="W130:X130"/>
    <mergeCell ref="AA130:AB130"/>
    <mergeCell ref="C129:D129"/>
    <mergeCell ref="G129:H129"/>
    <mergeCell ref="K129:L129"/>
    <mergeCell ref="O129:P129"/>
    <mergeCell ref="S129:T129"/>
    <mergeCell ref="W129:X129"/>
    <mergeCell ref="AA127:AB127"/>
    <mergeCell ref="C128:D128"/>
    <mergeCell ref="G128:H128"/>
    <mergeCell ref="K128:L128"/>
    <mergeCell ref="O128:P128"/>
    <mergeCell ref="S128:T128"/>
    <mergeCell ref="W128:X128"/>
    <mergeCell ref="AA128:AB128"/>
    <mergeCell ref="C127:D127"/>
    <mergeCell ref="G127:H127"/>
    <mergeCell ref="K127:L127"/>
    <mergeCell ref="O127:P127"/>
    <mergeCell ref="S127:T127"/>
    <mergeCell ref="W127:X127"/>
    <mergeCell ref="AA133:AB133"/>
    <mergeCell ref="C134:D134"/>
    <mergeCell ref="G134:H134"/>
    <mergeCell ref="K134:L134"/>
    <mergeCell ref="O134:P134"/>
    <mergeCell ref="S134:T134"/>
    <mergeCell ref="W134:X134"/>
    <mergeCell ref="AA134:AB134"/>
    <mergeCell ref="C133:D133"/>
    <mergeCell ref="G133:H133"/>
    <mergeCell ref="K133:L133"/>
    <mergeCell ref="O133:P133"/>
    <mergeCell ref="S133:T133"/>
    <mergeCell ref="W133:X133"/>
    <mergeCell ref="AA131:AB131"/>
    <mergeCell ref="C132:D132"/>
    <mergeCell ref="G132:H132"/>
    <mergeCell ref="K132:L132"/>
    <mergeCell ref="O132:P132"/>
    <mergeCell ref="S132:T132"/>
    <mergeCell ref="W132:X132"/>
    <mergeCell ref="AA132:AB132"/>
    <mergeCell ref="C131:D131"/>
    <mergeCell ref="G131:H131"/>
    <mergeCell ref="K131:L131"/>
    <mergeCell ref="O131:P131"/>
    <mergeCell ref="S131:T131"/>
    <mergeCell ref="W131:X131"/>
    <mergeCell ref="AA137:AB137"/>
    <mergeCell ref="C138:D138"/>
    <mergeCell ref="G138:H138"/>
    <mergeCell ref="K138:L138"/>
    <mergeCell ref="O138:P138"/>
    <mergeCell ref="S138:T138"/>
    <mergeCell ref="W138:X138"/>
    <mergeCell ref="AA138:AB138"/>
    <mergeCell ref="C137:D137"/>
    <mergeCell ref="G137:H137"/>
    <mergeCell ref="K137:L137"/>
    <mergeCell ref="O137:P137"/>
    <mergeCell ref="S137:T137"/>
    <mergeCell ref="W137:X137"/>
    <mergeCell ref="AA135:AB135"/>
    <mergeCell ref="C136:D136"/>
    <mergeCell ref="G136:H136"/>
    <mergeCell ref="K136:L136"/>
    <mergeCell ref="O136:P136"/>
    <mergeCell ref="S136:T136"/>
    <mergeCell ref="W136:X136"/>
    <mergeCell ref="AA136:AB136"/>
    <mergeCell ref="C135:D135"/>
    <mergeCell ref="G135:H135"/>
    <mergeCell ref="K135:L135"/>
    <mergeCell ref="O135:P135"/>
    <mergeCell ref="S135:T135"/>
    <mergeCell ref="W135:X135"/>
    <mergeCell ref="AA141:AB141"/>
    <mergeCell ref="C142:D142"/>
    <mergeCell ref="G142:H142"/>
    <mergeCell ref="K142:L142"/>
    <mergeCell ref="O142:P142"/>
    <mergeCell ref="S142:T142"/>
    <mergeCell ref="W142:X142"/>
    <mergeCell ref="AA142:AB142"/>
    <mergeCell ref="C141:D141"/>
    <mergeCell ref="G141:H141"/>
    <mergeCell ref="K141:L141"/>
    <mergeCell ref="O141:P141"/>
    <mergeCell ref="S141:T141"/>
    <mergeCell ref="W141:X141"/>
    <mergeCell ref="AA139:AB139"/>
    <mergeCell ref="C140:D140"/>
    <mergeCell ref="G140:H140"/>
    <mergeCell ref="K140:L140"/>
    <mergeCell ref="O140:P140"/>
    <mergeCell ref="S140:T140"/>
    <mergeCell ref="W140:X140"/>
    <mergeCell ref="AA140:AB140"/>
    <mergeCell ref="C139:D139"/>
    <mergeCell ref="G139:H139"/>
    <mergeCell ref="K139:L139"/>
    <mergeCell ref="O139:P139"/>
    <mergeCell ref="S139:T139"/>
    <mergeCell ref="W139:X139"/>
    <mergeCell ref="AA145:AB145"/>
    <mergeCell ref="C146:D146"/>
    <mergeCell ref="G146:H146"/>
    <mergeCell ref="K146:L146"/>
    <mergeCell ref="O146:P146"/>
    <mergeCell ref="S146:T146"/>
    <mergeCell ref="W146:X146"/>
    <mergeCell ref="AA146:AB146"/>
    <mergeCell ref="C145:D145"/>
    <mergeCell ref="G145:H145"/>
    <mergeCell ref="K145:L145"/>
    <mergeCell ref="O145:P145"/>
    <mergeCell ref="S145:T145"/>
    <mergeCell ref="W145:X145"/>
    <mergeCell ref="AA143:AB143"/>
    <mergeCell ref="C144:D144"/>
    <mergeCell ref="G144:H144"/>
    <mergeCell ref="K144:L144"/>
    <mergeCell ref="O144:P144"/>
    <mergeCell ref="S144:T144"/>
    <mergeCell ref="W144:X144"/>
    <mergeCell ref="AA144:AB144"/>
    <mergeCell ref="C143:D143"/>
    <mergeCell ref="G143:H143"/>
    <mergeCell ref="K143:L143"/>
    <mergeCell ref="O143:P143"/>
    <mergeCell ref="S143:T143"/>
    <mergeCell ref="W143:X143"/>
    <mergeCell ref="A149:A183"/>
    <mergeCell ref="C149:D149"/>
    <mergeCell ref="G149:H149"/>
    <mergeCell ref="K149:L149"/>
    <mergeCell ref="O149:P149"/>
    <mergeCell ref="S149:T149"/>
    <mergeCell ref="C152:D152"/>
    <mergeCell ref="G152:H152"/>
    <mergeCell ref="K152:L152"/>
    <mergeCell ref="O152:P152"/>
    <mergeCell ref="AA147:AB147"/>
    <mergeCell ref="C148:D148"/>
    <mergeCell ref="G148:H148"/>
    <mergeCell ref="K148:L148"/>
    <mergeCell ref="O148:P148"/>
    <mergeCell ref="S148:T148"/>
    <mergeCell ref="W148:X148"/>
    <mergeCell ref="AA148:AB148"/>
    <mergeCell ref="C147:D147"/>
    <mergeCell ref="G147:H147"/>
    <mergeCell ref="K147:L147"/>
    <mergeCell ref="O147:P147"/>
    <mergeCell ref="S147:T147"/>
    <mergeCell ref="W147:X147"/>
    <mergeCell ref="W150:X150"/>
    <mergeCell ref="AA150:AB150"/>
    <mergeCell ref="C151:D151"/>
    <mergeCell ref="G151:H151"/>
    <mergeCell ref="K151:L151"/>
    <mergeCell ref="O151:P151"/>
    <mergeCell ref="S151:T151"/>
    <mergeCell ref="W151:X151"/>
    <mergeCell ref="AA151:AB151"/>
    <mergeCell ref="W149:X149"/>
    <mergeCell ref="AA149:AB149"/>
    <mergeCell ref="AD149:AG183"/>
    <mergeCell ref="AH149:AH183"/>
    <mergeCell ref="AI149:AJ183"/>
    <mergeCell ref="C150:D150"/>
    <mergeCell ref="G150:H150"/>
    <mergeCell ref="K150:L150"/>
    <mergeCell ref="O150:P150"/>
    <mergeCell ref="S150:T150"/>
    <mergeCell ref="AA154:AB154"/>
    <mergeCell ref="C155:D155"/>
    <mergeCell ref="G155:H155"/>
    <mergeCell ref="K155:L155"/>
    <mergeCell ref="O155:P155"/>
    <mergeCell ref="S155:T155"/>
    <mergeCell ref="W155:X155"/>
    <mergeCell ref="AA155:AB155"/>
    <mergeCell ref="C154:D154"/>
    <mergeCell ref="G154:H154"/>
    <mergeCell ref="K154:L154"/>
    <mergeCell ref="O154:P154"/>
    <mergeCell ref="S154:T154"/>
    <mergeCell ref="W154:X154"/>
    <mergeCell ref="S152:T152"/>
    <mergeCell ref="W152:X152"/>
    <mergeCell ref="AA152:AB152"/>
    <mergeCell ref="C153:D153"/>
    <mergeCell ref="G153:H153"/>
    <mergeCell ref="K153:L153"/>
    <mergeCell ref="O153:P153"/>
    <mergeCell ref="S153:T153"/>
    <mergeCell ref="W153:X153"/>
    <mergeCell ref="AA153:AB153"/>
    <mergeCell ref="AA158:AB158"/>
    <mergeCell ref="C159:D159"/>
    <mergeCell ref="G159:H159"/>
    <mergeCell ref="K159:L159"/>
    <mergeCell ref="O159:P159"/>
    <mergeCell ref="S159:T159"/>
    <mergeCell ref="W159:X159"/>
    <mergeCell ref="AA159:AB159"/>
    <mergeCell ref="C158:D158"/>
    <mergeCell ref="G158:H158"/>
    <mergeCell ref="K158:L158"/>
    <mergeCell ref="O158:P158"/>
    <mergeCell ref="S158:T158"/>
    <mergeCell ref="W158:X158"/>
    <mergeCell ref="AA156:AB156"/>
    <mergeCell ref="C157:D157"/>
    <mergeCell ref="G157:H157"/>
    <mergeCell ref="K157:L157"/>
    <mergeCell ref="O157:P157"/>
    <mergeCell ref="S157:T157"/>
    <mergeCell ref="W157:X157"/>
    <mergeCell ref="AA157:AB157"/>
    <mergeCell ref="C156:D156"/>
    <mergeCell ref="G156:H156"/>
    <mergeCell ref="K156:L156"/>
    <mergeCell ref="O156:P156"/>
    <mergeCell ref="S156:T156"/>
    <mergeCell ref="W156:X156"/>
    <mergeCell ref="AA162:AB162"/>
    <mergeCell ref="C163:D163"/>
    <mergeCell ref="G163:H163"/>
    <mergeCell ref="K163:L163"/>
    <mergeCell ref="O163:P163"/>
    <mergeCell ref="S163:T163"/>
    <mergeCell ref="W163:X163"/>
    <mergeCell ref="AA163:AB163"/>
    <mergeCell ref="C162:D162"/>
    <mergeCell ref="G162:H162"/>
    <mergeCell ref="K162:L162"/>
    <mergeCell ref="O162:P162"/>
    <mergeCell ref="S162:T162"/>
    <mergeCell ref="W162:X162"/>
    <mergeCell ref="AA160:AB160"/>
    <mergeCell ref="C161:D161"/>
    <mergeCell ref="G161:H161"/>
    <mergeCell ref="K161:L161"/>
    <mergeCell ref="O161:P161"/>
    <mergeCell ref="S161:T161"/>
    <mergeCell ref="W161:X161"/>
    <mergeCell ref="AA161:AB161"/>
    <mergeCell ref="C160:D160"/>
    <mergeCell ref="G160:H160"/>
    <mergeCell ref="K160:L160"/>
    <mergeCell ref="O160:P160"/>
    <mergeCell ref="S160:T160"/>
    <mergeCell ref="W160:X160"/>
    <mergeCell ref="AA166:AB166"/>
    <mergeCell ref="C167:D167"/>
    <mergeCell ref="G167:H167"/>
    <mergeCell ref="K167:L167"/>
    <mergeCell ref="O167:P167"/>
    <mergeCell ref="S167:T167"/>
    <mergeCell ref="W167:X167"/>
    <mergeCell ref="AA167:AB167"/>
    <mergeCell ref="C166:D166"/>
    <mergeCell ref="G166:H166"/>
    <mergeCell ref="K166:L166"/>
    <mergeCell ref="O166:P166"/>
    <mergeCell ref="S166:T166"/>
    <mergeCell ref="W166:X166"/>
    <mergeCell ref="AA164:AB164"/>
    <mergeCell ref="C165:D165"/>
    <mergeCell ref="G165:H165"/>
    <mergeCell ref="K165:L165"/>
    <mergeCell ref="O165:P165"/>
    <mergeCell ref="S165:T165"/>
    <mergeCell ref="W165:X165"/>
    <mergeCell ref="AA165:AB165"/>
    <mergeCell ref="C164:D164"/>
    <mergeCell ref="G164:H164"/>
    <mergeCell ref="K164:L164"/>
    <mergeCell ref="O164:P164"/>
    <mergeCell ref="S164:T164"/>
    <mergeCell ref="W164:X164"/>
    <mergeCell ref="AA170:AB170"/>
    <mergeCell ref="C171:D171"/>
    <mergeCell ref="G171:H171"/>
    <mergeCell ref="K171:L171"/>
    <mergeCell ref="O171:P171"/>
    <mergeCell ref="S171:T171"/>
    <mergeCell ref="W171:X171"/>
    <mergeCell ref="AA171:AB171"/>
    <mergeCell ref="C170:D170"/>
    <mergeCell ref="G170:H170"/>
    <mergeCell ref="K170:L170"/>
    <mergeCell ref="O170:P170"/>
    <mergeCell ref="S170:T170"/>
    <mergeCell ref="W170:X170"/>
    <mergeCell ref="AA168:AB168"/>
    <mergeCell ref="C169:D169"/>
    <mergeCell ref="G169:H169"/>
    <mergeCell ref="K169:L169"/>
    <mergeCell ref="O169:P169"/>
    <mergeCell ref="S169:T169"/>
    <mergeCell ref="W169:X169"/>
    <mergeCell ref="AA169:AB169"/>
    <mergeCell ref="C168:D168"/>
    <mergeCell ref="G168:H168"/>
    <mergeCell ref="K168:L168"/>
    <mergeCell ref="O168:P168"/>
    <mergeCell ref="S168:T168"/>
    <mergeCell ref="W168:X168"/>
    <mergeCell ref="AA174:AB174"/>
    <mergeCell ref="C175:D175"/>
    <mergeCell ref="G175:H175"/>
    <mergeCell ref="K175:L175"/>
    <mergeCell ref="O175:P175"/>
    <mergeCell ref="S175:T175"/>
    <mergeCell ref="W175:X175"/>
    <mergeCell ref="AA175:AB175"/>
    <mergeCell ref="C174:D174"/>
    <mergeCell ref="G174:H174"/>
    <mergeCell ref="K174:L174"/>
    <mergeCell ref="O174:P174"/>
    <mergeCell ref="S174:T174"/>
    <mergeCell ref="W174:X174"/>
    <mergeCell ref="AA172:AB172"/>
    <mergeCell ref="C173:D173"/>
    <mergeCell ref="G173:H173"/>
    <mergeCell ref="K173:L173"/>
    <mergeCell ref="O173:P173"/>
    <mergeCell ref="S173:T173"/>
    <mergeCell ref="W173:X173"/>
    <mergeCell ref="AA173:AB173"/>
    <mergeCell ref="C172:D172"/>
    <mergeCell ref="G172:H172"/>
    <mergeCell ref="K172:L172"/>
    <mergeCell ref="O172:P172"/>
    <mergeCell ref="S172:T172"/>
    <mergeCell ref="W172:X172"/>
    <mergeCell ref="AA178:AB178"/>
    <mergeCell ref="C179:D179"/>
    <mergeCell ref="G179:H179"/>
    <mergeCell ref="K179:L179"/>
    <mergeCell ref="O179:P179"/>
    <mergeCell ref="S179:T179"/>
    <mergeCell ref="W179:X179"/>
    <mergeCell ref="AA179:AB179"/>
    <mergeCell ref="C178:D178"/>
    <mergeCell ref="G178:H178"/>
    <mergeCell ref="K178:L178"/>
    <mergeCell ref="O178:P178"/>
    <mergeCell ref="S178:T178"/>
    <mergeCell ref="W178:X178"/>
    <mergeCell ref="AA176:AB176"/>
    <mergeCell ref="C177:D177"/>
    <mergeCell ref="G177:H177"/>
    <mergeCell ref="K177:L177"/>
    <mergeCell ref="O177:P177"/>
    <mergeCell ref="S177:T177"/>
    <mergeCell ref="W177:X177"/>
    <mergeCell ref="AA177:AB177"/>
    <mergeCell ref="C176:D176"/>
    <mergeCell ref="G176:H176"/>
    <mergeCell ref="K176:L176"/>
    <mergeCell ref="O176:P176"/>
    <mergeCell ref="S176:T176"/>
    <mergeCell ref="W176:X176"/>
    <mergeCell ref="AA182:AB182"/>
    <mergeCell ref="C183:D183"/>
    <mergeCell ref="G183:H183"/>
    <mergeCell ref="K183:L183"/>
    <mergeCell ref="O183:P183"/>
    <mergeCell ref="S183:T183"/>
    <mergeCell ref="W183:X183"/>
    <mergeCell ref="AA183:AB183"/>
    <mergeCell ref="C182:D182"/>
    <mergeCell ref="G182:H182"/>
    <mergeCell ref="K182:L182"/>
    <mergeCell ref="O182:P182"/>
    <mergeCell ref="S182:T182"/>
    <mergeCell ref="W182:X182"/>
    <mergeCell ref="AA180:AB180"/>
    <mergeCell ref="C181:D181"/>
    <mergeCell ref="G181:H181"/>
    <mergeCell ref="K181:L181"/>
    <mergeCell ref="O181:P181"/>
    <mergeCell ref="S181:T181"/>
    <mergeCell ref="W181:X181"/>
    <mergeCell ref="AA181:AB181"/>
    <mergeCell ref="C180:D180"/>
    <mergeCell ref="G180:H180"/>
    <mergeCell ref="K180:L180"/>
    <mergeCell ref="O180:P180"/>
    <mergeCell ref="S180:T180"/>
    <mergeCell ref="W180:X180"/>
    <mergeCell ref="W184:X184"/>
    <mergeCell ref="AA184:AB184"/>
    <mergeCell ref="AD184:AG218"/>
    <mergeCell ref="AH184:AH218"/>
    <mergeCell ref="AI184:AJ218"/>
    <mergeCell ref="C185:D185"/>
    <mergeCell ref="G185:H185"/>
    <mergeCell ref="K185:L185"/>
    <mergeCell ref="O185:P185"/>
    <mergeCell ref="S185:T185"/>
    <mergeCell ref="A184:A218"/>
    <mergeCell ref="C184:D184"/>
    <mergeCell ref="G184:H184"/>
    <mergeCell ref="K184:L184"/>
    <mergeCell ref="O184:P184"/>
    <mergeCell ref="S184:T184"/>
    <mergeCell ref="C187:D187"/>
    <mergeCell ref="G187:H187"/>
    <mergeCell ref="K187:L187"/>
    <mergeCell ref="O187:P187"/>
    <mergeCell ref="S187:T187"/>
    <mergeCell ref="W187:X187"/>
    <mergeCell ref="AA187:AB187"/>
    <mergeCell ref="C188:D188"/>
    <mergeCell ref="G188:H188"/>
    <mergeCell ref="K188:L188"/>
    <mergeCell ref="O188:P188"/>
    <mergeCell ref="S188:T188"/>
    <mergeCell ref="W188:X188"/>
    <mergeCell ref="AA188:AB188"/>
    <mergeCell ref="W185:X185"/>
    <mergeCell ref="AA185:AB185"/>
    <mergeCell ref="C186:D186"/>
    <mergeCell ref="G186:H186"/>
    <mergeCell ref="K186:L186"/>
    <mergeCell ref="O186:P186"/>
    <mergeCell ref="S186:T186"/>
    <mergeCell ref="W186:X186"/>
    <mergeCell ref="AA186:AB186"/>
    <mergeCell ref="AA191:AB191"/>
    <mergeCell ref="C192:D192"/>
    <mergeCell ref="G192:H192"/>
    <mergeCell ref="K192:L192"/>
    <mergeCell ref="O192:P192"/>
    <mergeCell ref="S192:T192"/>
    <mergeCell ref="W192:X192"/>
    <mergeCell ref="AA192:AB192"/>
    <mergeCell ref="C191:D191"/>
    <mergeCell ref="G191:H191"/>
    <mergeCell ref="K191:L191"/>
    <mergeCell ref="O191:P191"/>
    <mergeCell ref="S191:T191"/>
    <mergeCell ref="W191:X191"/>
    <mergeCell ref="AA189:AB189"/>
    <mergeCell ref="C190:D190"/>
    <mergeCell ref="G190:H190"/>
    <mergeCell ref="K190:L190"/>
    <mergeCell ref="O190:P190"/>
    <mergeCell ref="S190:T190"/>
    <mergeCell ref="W190:X190"/>
    <mergeCell ref="AA190:AB190"/>
    <mergeCell ref="C189:D189"/>
    <mergeCell ref="G189:H189"/>
    <mergeCell ref="K189:L189"/>
    <mergeCell ref="O189:P189"/>
    <mergeCell ref="S189:T189"/>
    <mergeCell ref="W189:X189"/>
    <mergeCell ref="AA195:AB195"/>
    <mergeCell ref="C196:D196"/>
    <mergeCell ref="G196:H196"/>
    <mergeCell ref="K196:L196"/>
    <mergeCell ref="O196:P196"/>
    <mergeCell ref="S196:T196"/>
    <mergeCell ref="W196:X196"/>
    <mergeCell ref="AA196:AB196"/>
    <mergeCell ref="C195:D195"/>
    <mergeCell ref="G195:H195"/>
    <mergeCell ref="K195:L195"/>
    <mergeCell ref="O195:P195"/>
    <mergeCell ref="S195:T195"/>
    <mergeCell ref="W195:X195"/>
    <mergeCell ref="AA193:AB193"/>
    <mergeCell ref="C194:D194"/>
    <mergeCell ref="G194:H194"/>
    <mergeCell ref="K194:L194"/>
    <mergeCell ref="O194:P194"/>
    <mergeCell ref="S194:T194"/>
    <mergeCell ref="W194:X194"/>
    <mergeCell ref="AA194:AB194"/>
    <mergeCell ref="C193:D193"/>
    <mergeCell ref="G193:H193"/>
    <mergeCell ref="K193:L193"/>
    <mergeCell ref="O193:P193"/>
    <mergeCell ref="S193:T193"/>
    <mergeCell ref="W193:X193"/>
    <mergeCell ref="AA199:AB199"/>
    <mergeCell ref="C200:D200"/>
    <mergeCell ref="G200:H200"/>
    <mergeCell ref="K200:L200"/>
    <mergeCell ref="O200:P200"/>
    <mergeCell ref="S200:T200"/>
    <mergeCell ref="W200:X200"/>
    <mergeCell ref="AA200:AB200"/>
    <mergeCell ref="C199:D199"/>
    <mergeCell ref="G199:H199"/>
    <mergeCell ref="K199:L199"/>
    <mergeCell ref="O199:P199"/>
    <mergeCell ref="S199:T199"/>
    <mergeCell ref="W199:X199"/>
    <mergeCell ref="AA197:AB197"/>
    <mergeCell ref="C198:D198"/>
    <mergeCell ref="G198:H198"/>
    <mergeCell ref="K198:L198"/>
    <mergeCell ref="O198:P198"/>
    <mergeCell ref="S198:T198"/>
    <mergeCell ref="W198:X198"/>
    <mergeCell ref="AA198:AB198"/>
    <mergeCell ref="C197:D197"/>
    <mergeCell ref="G197:H197"/>
    <mergeCell ref="K197:L197"/>
    <mergeCell ref="O197:P197"/>
    <mergeCell ref="S197:T197"/>
    <mergeCell ref="W197:X197"/>
    <mergeCell ref="AA203:AB203"/>
    <mergeCell ref="C204:D204"/>
    <mergeCell ref="G204:H204"/>
    <mergeCell ref="K204:L204"/>
    <mergeCell ref="O204:P204"/>
    <mergeCell ref="S204:T204"/>
    <mergeCell ref="W204:X204"/>
    <mergeCell ref="AA204:AB204"/>
    <mergeCell ref="C203:D203"/>
    <mergeCell ref="G203:H203"/>
    <mergeCell ref="K203:L203"/>
    <mergeCell ref="O203:P203"/>
    <mergeCell ref="S203:T203"/>
    <mergeCell ref="W203:X203"/>
    <mergeCell ref="AA201:AB201"/>
    <mergeCell ref="C202:D202"/>
    <mergeCell ref="G202:H202"/>
    <mergeCell ref="K202:L202"/>
    <mergeCell ref="O202:P202"/>
    <mergeCell ref="S202:T202"/>
    <mergeCell ref="W202:X202"/>
    <mergeCell ref="AA202:AB202"/>
    <mergeCell ref="C201:D201"/>
    <mergeCell ref="G201:H201"/>
    <mergeCell ref="K201:L201"/>
    <mergeCell ref="O201:P201"/>
    <mergeCell ref="S201:T201"/>
    <mergeCell ref="W201:X201"/>
    <mergeCell ref="AA207:AB207"/>
    <mergeCell ref="C208:D208"/>
    <mergeCell ref="G208:H208"/>
    <mergeCell ref="K208:L208"/>
    <mergeCell ref="O208:P208"/>
    <mergeCell ref="S208:T208"/>
    <mergeCell ref="W208:X208"/>
    <mergeCell ref="AA208:AB208"/>
    <mergeCell ref="C207:D207"/>
    <mergeCell ref="G207:H207"/>
    <mergeCell ref="K207:L207"/>
    <mergeCell ref="O207:P207"/>
    <mergeCell ref="S207:T207"/>
    <mergeCell ref="W207:X207"/>
    <mergeCell ref="AA205:AB205"/>
    <mergeCell ref="C206:D206"/>
    <mergeCell ref="G206:H206"/>
    <mergeCell ref="K206:L206"/>
    <mergeCell ref="O206:P206"/>
    <mergeCell ref="S206:T206"/>
    <mergeCell ref="W206:X206"/>
    <mergeCell ref="AA206:AB206"/>
    <mergeCell ref="C205:D205"/>
    <mergeCell ref="G205:H205"/>
    <mergeCell ref="K205:L205"/>
    <mergeCell ref="O205:P205"/>
    <mergeCell ref="S205:T205"/>
    <mergeCell ref="W205:X205"/>
    <mergeCell ref="AA211:AB211"/>
    <mergeCell ref="C212:D212"/>
    <mergeCell ref="G212:H212"/>
    <mergeCell ref="K212:L212"/>
    <mergeCell ref="O212:P212"/>
    <mergeCell ref="S212:T212"/>
    <mergeCell ref="W212:X212"/>
    <mergeCell ref="AA212:AB212"/>
    <mergeCell ref="C211:D211"/>
    <mergeCell ref="G211:H211"/>
    <mergeCell ref="K211:L211"/>
    <mergeCell ref="O211:P211"/>
    <mergeCell ref="S211:T211"/>
    <mergeCell ref="W211:X211"/>
    <mergeCell ref="AA209:AB209"/>
    <mergeCell ref="C210:D210"/>
    <mergeCell ref="G210:H210"/>
    <mergeCell ref="K210:L210"/>
    <mergeCell ref="O210:P210"/>
    <mergeCell ref="S210:T210"/>
    <mergeCell ref="W210:X210"/>
    <mergeCell ref="AA210:AB210"/>
    <mergeCell ref="C209:D209"/>
    <mergeCell ref="G209:H209"/>
    <mergeCell ref="K209:L209"/>
    <mergeCell ref="O209:P209"/>
    <mergeCell ref="S209:T209"/>
    <mergeCell ref="W209:X209"/>
    <mergeCell ref="AA215:AB215"/>
    <mergeCell ref="C216:D216"/>
    <mergeCell ref="G216:H216"/>
    <mergeCell ref="K216:L216"/>
    <mergeCell ref="O216:P216"/>
    <mergeCell ref="S216:T216"/>
    <mergeCell ref="W216:X216"/>
    <mergeCell ref="AA216:AB216"/>
    <mergeCell ref="C215:D215"/>
    <mergeCell ref="G215:H215"/>
    <mergeCell ref="K215:L215"/>
    <mergeCell ref="O215:P215"/>
    <mergeCell ref="S215:T215"/>
    <mergeCell ref="W215:X215"/>
    <mergeCell ref="AA213:AB213"/>
    <mergeCell ref="C214:D214"/>
    <mergeCell ref="G214:H214"/>
    <mergeCell ref="K214:L214"/>
    <mergeCell ref="O214:P214"/>
    <mergeCell ref="S214:T214"/>
    <mergeCell ref="W214:X214"/>
    <mergeCell ref="AA214:AB214"/>
    <mergeCell ref="C213:D213"/>
    <mergeCell ref="G213:H213"/>
    <mergeCell ref="K213:L213"/>
    <mergeCell ref="O213:P213"/>
    <mergeCell ref="S213:T213"/>
    <mergeCell ref="W213:X213"/>
    <mergeCell ref="A219:A253"/>
    <mergeCell ref="C219:D219"/>
    <mergeCell ref="G219:H219"/>
    <mergeCell ref="K219:L219"/>
    <mergeCell ref="O219:P219"/>
    <mergeCell ref="S219:T219"/>
    <mergeCell ref="C222:D222"/>
    <mergeCell ref="G222:H222"/>
    <mergeCell ref="K222:L222"/>
    <mergeCell ref="O222:P222"/>
    <mergeCell ref="AA217:AB217"/>
    <mergeCell ref="C218:D218"/>
    <mergeCell ref="G218:H218"/>
    <mergeCell ref="K218:L218"/>
    <mergeCell ref="O218:P218"/>
    <mergeCell ref="S218:T218"/>
    <mergeCell ref="W218:X218"/>
    <mergeCell ref="AA218:AB218"/>
    <mergeCell ref="C217:D217"/>
    <mergeCell ref="G217:H217"/>
    <mergeCell ref="K217:L217"/>
    <mergeCell ref="O217:P217"/>
    <mergeCell ref="S217:T217"/>
    <mergeCell ref="W217:X217"/>
    <mergeCell ref="W220:X220"/>
    <mergeCell ref="AA220:AB220"/>
    <mergeCell ref="C221:D221"/>
    <mergeCell ref="G221:H221"/>
    <mergeCell ref="K221:L221"/>
    <mergeCell ref="O221:P221"/>
    <mergeCell ref="S221:T221"/>
    <mergeCell ref="W221:X221"/>
    <mergeCell ref="AA221:AB221"/>
    <mergeCell ref="W219:X219"/>
    <mergeCell ref="AA219:AB219"/>
    <mergeCell ref="AD219:AG253"/>
    <mergeCell ref="AH219:AH253"/>
    <mergeCell ref="AI219:AJ253"/>
    <mergeCell ref="C220:D220"/>
    <mergeCell ref="G220:H220"/>
    <mergeCell ref="K220:L220"/>
    <mergeCell ref="O220:P220"/>
    <mergeCell ref="S220:T220"/>
    <mergeCell ref="AA224:AB224"/>
    <mergeCell ref="C225:D225"/>
    <mergeCell ref="G225:H225"/>
    <mergeCell ref="K225:L225"/>
    <mergeCell ref="O225:P225"/>
    <mergeCell ref="S225:T225"/>
    <mergeCell ref="W225:X225"/>
    <mergeCell ref="AA225:AB225"/>
    <mergeCell ref="C224:D224"/>
    <mergeCell ref="G224:H224"/>
    <mergeCell ref="K224:L224"/>
    <mergeCell ref="O224:P224"/>
    <mergeCell ref="S224:T224"/>
    <mergeCell ref="W224:X224"/>
    <mergeCell ref="S222:T222"/>
    <mergeCell ref="W222:X222"/>
    <mergeCell ref="AA222:AB222"/>
    <mergeCell ref="C223:D223"/>
    <mergeCell ref="G223:H223"/>
    <mergeCell ref="K223:L223"/>
    <mergeCell ref="O223:P223"/>
    <mergeCell ref="S223:T223"/>
    <mergeCell ref="W223:X223"/>
    <mergeCell ref="AA223:AB223"/>
    <mergeCell ref="AA228:AB228"/>
    <mergeCell ref="C229:D229"/>
    <mergeCell ref="G229:H229"/>
    <mergeCell ref="K229:L229"/>
    <mergeCell ref="O229:P229"/>
    <mergeCell ref="S229:T229"/>
    <mergeCell ref="W229:X229"/>
    <mergeCell ref="AA229:AB229"/>
    <mergeCell ref="C228:D228"/>
    <mergeCell ref="G228:H228"/>
    <mergeCell ref="K228:L228"/>
    <mergeCell ref="O228:P228"/>
    <mergeCell ref="S228:T228"/>
    <mergeCell ref="W228:X228"/>
    <mergeCell ref="AA226:AB226"/>
    <mergeCell ref="C227:D227"/>
    <mergeCell ref="G227:H227"/>
    <mergeCell ref="K227:L227"/>
    <mergeCell ref="O227:P227"/>
    <mergeCell ref="S227:T227"/>
    <mergeCell ref="W227:X227"/>
    <mergeCell ref="AA227:AB227"/>
    <mergeCell ref="C226:D226"/>
    <mergeCell ref="G226:H226"/>
    <mergeCell ref="K226:L226"/>
    <mergeCell ref="O226:P226"/>
    <mergeCell ref="S226:T226"/>
    <mergeCell ref="W226:X226"/>
    <mergeCell ref="AA232:AB232"/>
    <mergeCell ref="C233:D233"/>
    <mergeCell ref="G233:H233"/>
    <mergeCell ref="K233:L233"/>
    <mergeCell ref="O233:P233"/>
    <mergeCell ref="S233:T233"/>
    <mergeCell ref="W233:X233"/>
    <mergeCell ref="AA233:AB233"/>
    <mergeCell ref="C232:D232"/>
    <mergeCell ref="G232:H232"/>
    <mergeCell ref="K232:L232"/>
    <mergeCell ref="O232:P232"/>
    <mergeCell ref="S232:T232"/>
    <mergeCell ref="W232:X232"/>
    <mergeCell ref="AA230:AB230"/>
    <mergeCell ref="C231:D231"/>
    <mergeCell ref="G231:H231"/>
    <mergeCell ref="K231:L231"/>
    <mergeCell ref="O231:P231"/>
    <mergeCell ref="S231:T231"/>
    <mergeCell ref="W231:X231"/>
    <mergeCell ref="AA231:AB231"/>
    <mergeCell ref="C230:D230"/>
    <mergeCell ref="G230:H230"/>
    <mergeCell ref="K230:L230"/>
    <mergeCell ref="O230:P230"/>
    <mergeCell ref="S230:T230"/>
    <mergeCell ref="W230:X230"/>
    <mergeCell ref="AA236:AB236"/>
    <mergeCell ref="C237:D237"/>
    <mergeCell ref="G237:H237"/>
    <mergeCell ref="K237:L237"/>
    <mergeCell ref="O237:P237"/>
    <mergeCell ref="S237:T237"/>
    <mergeCell ref="W237:X237"/>
    <mergeCell ref="AA237:AB237"/>
    <mergeCell ref="C236:D236"/>
    <mergeCell ref="G236:H236"/>
    <mergeCell ref="K236:L236"/>
    <mergeCell ref="O236:P236"/>
    <mergeCell ref="S236:T236"/>
    <mergeCell ref="W236:X236"/>
    <mergeCell ref="AA234:AB234"/>
    <mergeCell ref="C235:D235"/>
    <mergeCell ref="G235:H235"/>
    <mergeCell ref="K235:L235"/>
    <mergeCell ref="O235:P235"/>
    <mergeCell ref="S235:T235"/>
    <mergeCell ref="W235:X235"/>
    <mergeCell ref="AA235:AB235"/>
    <mergeCell ref="C234:D234"/>
    <mergeCell ref="G234:H234"/>
    <mergeCell ref="K234:L234"/>
    <mergeCell ref="O234:P234"/>
    <mergeCell ref="S234:T234"/>
    <mergeCell ref="W234:X234"/>
    <mergeCell ref="AA240:AB240"/>
    <mergeCell ref="C241:D241"/>
    <mergeCell ref="G241:H241"/>
    <mergeCell ref="K241:L241"/>
    <mergeCell ref="O241:P241"/>
    <mergeCell ref="S241:T241"/>
    <mergeCell ref="W241:X241"/>
    <mergeCell ref="AA241:AB241"/>
    <mergeCell ref="C240:D240"/>
    <mergeCell ref="G240:H240"/>
    <mergeCell ref="K240:L240"/>
    <mergeCell ref="O240:P240"/>
    <mergeCell ref="S240:T240"/>
    <mergeCell ref="W240:X240"/>
    <mergeCell ref="AA238:AB238"/>
    <mergeCell ref="C239:D239"/>
    <mergeCell ref="G239:H239"/>
    <mergeCell ref="K239:L239"/>
    <mergeCell ref="O239:P239"/>
    <mergeCell ref="S239:T239"/>
    <mergeCell ref="W239:X239"/>
    <mergeCell ref="AA239:AB239"/>
    <mergeCell ref="C238:D238"/>
    <mergeCell ref="G238:H238"/>
    <mergeCell ref="K238:L238"/>
    <mergeCell ref="O238:P238"/>
    <mergeCell ref="S238:T238"/>
    <mergeCell ref="W238:X238"/>
    <mergeCell ref="AA244:AB244"/>
    <mergeCell ref="C245:D245"/>
    <mergeCell ref="G245:H245"/>
    <mergeCell ref="K245:L245"/>
    <mergeCell ref="O245:P245"/>
    <mergeCell ref="S245:T245"/>
    <mergeCell ref="W245:X245"/>
    <mergeCell ref="AA245:AB245"/>
    <mergeCell ref="C244:D244"/>
    <mergeCell ref="G244:H244"/>
    <mergeCell ref="K244:L244"/>
    <mergeCell ref="O244:P244"/>
    <mergeCell ref="S244:T244"/>
    <mergeCell ref="W244:X244"/>
    <mergeCell ref="AA242:AB242"/>
    <mergeCell ref="C243:D243"/>
    <mergeCell ref="G243:H243"/>
    <mergeCell ref="K243:L243"/>
    <mergeCell ref="O243:P243"/>
    <mergeCell ref="S243:T243"/>
    <mergeCell ref="W243:X243"/>
    <mergeCell ref="AA243:AB243"/>
    <mergeCell ref="C242:D242"/>
    <mergeCell ref="G242:H242"/>
    <mergeCell ref="K242:L242"/>
    <mergeCell ref="O242:P242"/>
    <mergeCell ref="S242:T242"/>
    <mergeCell ref="W242:X242"/>
    <mergeCell ref="AA248:AB248"/>
    <mergeCell ref="C249:D249"/>
    <mergeCell ref="G249:H249"/>
    <mergeCell ref="K249:L249"/>
    <mergeCell ref="O249:P249"/>
    <mergeCell ref="S249:T249"/>
    <mergeCell ref="W249:X249"/>
    <mergeCell ref="AA249:AB249"/>
    <mergeCell ref="C248:D248"/>
    <mergeCell ref="G248:H248"/>
    <mergeCell ref="K248:L248"/>
    <mergeCell ref="O248:P248"/>
    <mergeCell ref="S248:T248"/>
    <mergeCell ref="W248:X248"/>
    <mergeCell ref="AA246:AB246"/>
    <mergeCell ref="C247:D247"/>
    <mergeCell ref="G247:H247"/>
    <mergeCell ref="K247:L247"/>
    <mergeCell ref="O247:P247"/>
    <mergeCell ref="S247:T247"/>
    <mergeCell ref="W247:X247"/>
    <mergeCell ref="AA247:AB247"/>
    <mergeCell ref="C246:D246"/>
    <mergeCell ref="G246:H246"/>
    <mergeCell ref="K246:L246"/>
    <mergeCell ref="O246:P246"/>
    <mergeCell ref="S246:T246"/>
    <mergeCell ref="W246:X246"/>
    <mergeCell ref="AA252:AB252"/>
    <mergeCell ref="C253:D253"/>
    <mergeCell ref="G253:H253"/>
    <mergeCell ref="K253:L253"/>
    <mergeCell ref="O253:P253"/>
    <mergeCell ref="S253:T253"/>
    <mergeCell ref="W253:X253"/>
    <mergeCell ref="AA253:AB253"/>
    <mergeCell ref="C252:D252"/>
    <mergeCell ref="G252:H252"/>
    <mergeCell ref="K252:L252"/>
    <mergeCell ref="O252:P252"/>
    <mergeCell ref="S252:T252"/>
    <mergeCell ref="W252:X252"/>
    <mergeCell ref="AA250:AB250"/>
    <mergeCell ref="C251:D251"/>
    <mergeCell ref="G251:H251"/>
    <mergeCell ref="K251:L251"/>
    <mergeCell ref="O251:P251"/>
    <mergeCell ref="S251:T251"/>
    <mergeCell ref="W251:X251"/>
    <mergeCell ref="AA251:AB251"/>
    <mergeCell ref="C250:D250"/>
    <mergeCell ref="G250:H250"/>
    <mergeCell ref="K250:L250"/>
    <mergeCell ref="O250:P250"/>
    <mergeCell ref="S250:T250"/>
    <mergeCell ref="W250:X250"/>
  </mergeCells>
  <conditionalFormatting sqref="A1:A2">
    <cfRule type="containsText" dxfId="18" priority="18" operator="containsText" text="NO VIGENTE">
      <formula>NOT(ISERROR(SEARCH("NO VIGENTE",A1)))</formula>
    </cfRule>
    <cfRule type="containsText" dxfId="17" priority="19" operator="containsText" text="VIGENTE">
      <formula>NOT(ISERROR(SEARCH("VIGENTE",A1)))</formula>
    </cfRule>
  </conditionalFormatting>
  <conditionalFormatting sqref="B5:AC39">
    <cfRule type="containsBlanks" dxfId="16" priority="20">
      <formula>LEN(TRIM(B5))=0</formula>
    </cfRule>
  </conditionalFormatting>
  <conditionalFormatting sqref="AD79:AG113">
    <cfRule type="cellIs" dxfId="15" priority="15" operator="lessThan">
      <formula>$AD$44</formula>
    </cfRule>
    <cfRule type="cellIs" dxfId="14" priority="16" operator="equal">
      <formula>$AD$44</formula>
    </cfRule>
    <cfRule type="cellIs" dxfId="13" priority="17" operator="greaterThan">
      <formula>$AD$44</formula>
    </cfRule>
  </conditionalFormatting>
  <conditionalFormatting sqref="AD114:AG148">
    <cfRule type="cellIs" dxfId="12" priority="12" operator="lessThan">
      <formula>$AD$79</formula>
    </cfRule>
    <cfRule type="cellIs" dxfId="11" priority="13" operator="equal">
      <formula>$AD$79</formula>
    </cfRule>
    <cfRule type="cellIs" dxfId="10" priority="14" operator="greaterThan">
      <formula>$AD$79</formula>
    </cfRule>
  </conditionalFormatting>
  <conditionalFormatting sqref="AD149:AG183">
    <cfRule type="cellIs" dxfId="9" priority="9" operator="lessThan">
      <formula>$AD$114</formula>
    </cfRule>
    <cfRule type="cellIs" dxfId="8" priority="10" operator="equal">
      <formula>$AD$114</formula>
    </cfRule>
    <cfRule type="cellIs" dxfId="7" priority="11" operator="greaterThan">
      <formula>$AD$114</formula>
    </cfRule>
  </conditionalFormatting>
  <conditionalFormatting sqref="AD184:AG218">
    <cfRule type="cellIs" dxfId="6" priority="6" operator="lessThan">
      <formula>$AD$149</formula>
    </cfRule>
    <cfRule type="cellIs" dxfId="5" priority="7" operator="equal">
      <formula>$AD$149</formula>
    </cfRule>
    <cfRule type="cellIs" dxfId="4" priority="8" operator="greaterThan">
      <formula>$AD$149</formula>
    </cfRule>
  </conditionalFormatting>
  <conditionalFormatting sqref="AD219:AG253">
    <cfRule type="cellIs" dxfId="3" priority="3" operator="lessThan">
      <formula>$AD$184</formula>
    </cfRule>
    <cfRule type="cellIs" dxfId="2" priority="4" operator="equal">
      <formula>$AD$184</formula>
    </cfRule>
    <cfRule type="cellIs" dxfId="1" priority="5" operator="greaterThan">
      <formula>$AD$184</formula>
    </cfRule>
  </conditionalFormatting>
  <conditionalFormatting sqref="A44:A253">
    <cfRule type="timePeriod" dxfId="0" priority="1" timePeriod="today">
      <formula>FLOOR(A44,1)=TODAY()</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3C59CDD42BC7148B45434C16EE3816D" ma:contentTypeVersion="5" ma:contentTypeDescription="Create a new document." ma:contentTypeScope="" ma:versionID="9c73826e536caae43165db9508630a67">
  <xsd:schema xmlns:xsd="http://www.w3.org/2001/XMLSchema" xmlns:xs="http://www.w3.org/2001/XMLSchema" xmlns:p="http://schemas.microsoft.com/office/2006/metadata/properties" xmlns:ns3="af5b8fc3-0184-4c3c-95af-760579db336c" xmlns:ns4="ddd51b9f-f011-4976-a493-0a287e7da847" targetNamespace="http://schemas.microsoft.com/office/2006/metadata/properties" ma:root="true" ma:fieldsID="24c07feacb0c60bde3ccedf0af9ee632" ns3:_="" ns4:_="">
    <xsd:import namespace="af5b8fc3-0184-4c3c-95af-760579db336c"/>
    <xsd:import namespace="ddd51b9f-f011-4976-a493-0a287e7da84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5b8fc3-0184-4c3c-95af-760579db33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dd51b9f-f011-4976-a493-0a287e7da84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439B436-ADB0-49C4-8F11-1AC59133519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BBEBB85-A6C8-418A-8BE4-83345E1B1F39}">
  <ds:schemaRefs>
    <ds:schemaRef ds:uri="http://schemas.microsoft.com/sharepoint/v3/contenttype/forms"/>
  </ds:schemaRefs>
</ds:datastoreItem>
</file>

<file path=customXml/itemProps3.xml><?xml version="1.0" encoding="utf-8"?>
<ds:datastoreItem xmlns:ds="http://schemas.openxmlformats.org/officeDocument/2006/customXml" ds:itemID="{DB1141F6-0703-4068-B96B-E431C17EA6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5b8fc3-0184-4c3c-95af-760579db336c"/>
    <ds:schemaRef ds:uri="ddd51b9f-f011-4976-a493-0a287e7da8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Menu</vt:lpstr>
      <vt:lpstr>Dieta</vt:lpstr>
      <vt:lpstr>Resumen</vt:lpstr>
      <vt:lpstr>2022-1</vt:lpstr>
      <vt:lpstr>2022-2</vt:lpstr>
      <vt:lpstr>2022-3</vt:lpstr>
      <vt:lpstr>2022-4</vt:lpstr>
      <vt:lpstr>2023-1</vt:lpstr>
      <vt:lpstr>2023-2</vt:lpstr>
      <vt:lpstr>2023-3</vt:lpstr>
      <vt:lpstr>2023-4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Ramirez</dc:creator>
  <cp:keywords/>
  <dc:description/>
  <cp:lastModifiedBy>Daniel Ramirez</cp:lastModifiedBy>
  <cp:revision/>
  <dcterms:created xsi:type="dcterms:W3CDTF">2020-10-12T21:18:34Z</dcterms:created>
  <dcterms:modified xsi:type="dcterms:W3CDTF">2022-01-10T05:36:47Z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0x01010033C59CDD42BC7148B45434C16EE3816D</vt:lpwstr>
  </property>
</Properties>
</file>